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 (BIWS)\BIWS-All-Courses\80-Real-Estate-2017-2018-Edition\RE-02-Office-Development-FIXED\"/>
    </mc:Choice>
  </mc:AlternateContent>
  <xr:revisionPtr revIDLastSave="0" documentId="13_ncr:1_{963F9511-E348-4810-8388-60E3A7057D2E}" xr6:coauthVersionLast="37" xr6:coauthVersionMax="37" xr10:uidLastSave="{00000000-0000-0000-0000-000000000000}"/>
  <bookViews>
    <workbookView xWindow="2205" yWindow="465" windowWidth="23295" windowHeight="13785" tabRatio="500" xr2:uid="{00000000-000D-0000-FFFF-FFFF00000000}"/>
  </bookViews>
  <sheets>
    <sheet name="Annual" sheetId="1" r:id="rId1"/>
    <sheet name="Monthly" sheetId="2" r:id="rId2"/>
  </sheets>
  <definedNames>
    <definedName name="Constr_Costs">Annual!$J$13</definedName>
    <definedName name="Constr_End">Annual!$J$14</definedName>
    <definedName name="Constr_Loan_Ann_Interest">Annual!$E$28</definedName>
    <definedName name="Constr_Loan_Fees">Annual!$E$30</definedName>
    <definedName name="Constr_Loan_LTC">Annual!$E$27</definedName>
    <definedName name="Constr_Loan_Monthly_Interest">Annual!$E$29</definedName>
    <definedName name="Constr_Start_Date">Annual!$E$11</definedName>
    <definedName name="Cost_per_Sq_M">Annual!$E$15</definedName>
    <definedName name="Dev_Equity_Pct">Annual!$E$35</definedName>
    <definedName name="Developer_IRR">Monthly!$E$303</definedName>
    <definedName name="Developer_Name">Annual!$J$18</definedName>
    <definedName name="Down_Months">Annual!$E$101</definedName>
    <definedName name="Exit_Date">Annual!$E$37</definedName>
    <definedName name="Exit_Fee_Pct">Annual!$E$38</definedName>
    <definedName name="Expenses_per_RSM">Annual!$E$112</definedName>
    <definedName name="Gross_Sq_M">Annual!$E$19</definedName>
    <definedName name="Hard_Costs">Annual!$J$8</definedName>
    <definedName name="Investor_Equity_Pct">Annual!$E$34</definedName>
    <definedName name="Investor_IRR">Monthly!$E$297</definedName>
    <definedName name="Investor_Lookback_IRR">Annual!$E$55</definedName>
    <definedName name="Investor_Name">Annual!$J$19</definedName>
    <definedName name="Land_Acq_Costs">Annual!$E$16</definedName>
    <definedName name="Lookback_Range">Monthly!$F$293:$CW$293</definedName>
    <definedName name="Max_Equity">Monthly!$E$22</definedName>
    <definedName name="Mezz_Ann_Cash_Interest">Annual!$J$49</definedName>
    <definedName name="Mezz_Ann_PIK_Interest">Annual!$J$51</definedName>
    <definedName name="Mezz_Balance">Annual!$J$48</definedName>
    <definedName name="Mezz_Equity_Pct">Annual!$J$56</definedName>
    <definedName name="Mezz_LTV">Annual!$J$47</definedName>
    <definedName name="Mezz_Maturity">Annual!$J$55</definedName>
    <definedName name="Mezz_Monthly_Cash_Interest">Annual!$J$50</definedName>
    <definedName name="Mezz_Monthly_PIK_Interest">Annual!$J$52</definedName>
    <definedName name="Months">Annual!$E$12</definedName>
    <definedName name="New_Free_Rent_Months">Annual!$E$103</definedName>
    <definedName name="New_LC_Pct">Annual!$E$109</definedName>
    <definedName name="New_Lease_Years">Annual!$E$115</definedName>
    <definedName name="New_TIs">Annual!$E$106</definedName>
    <definedName name="Perm_Loan_Fees">Annual!$J$34</definedName>
    <definedName name="Perm_Loan_Prepay_Penalty">Annual!$J$35</definedName>
    <definedName name="_xlnm.Print_Area" localSheetId="0">Annual!$A$1:$O$247</definedName>
    <definedName name="_xlnm.Print_Area" localSheetId="1">Monthly!$A$1:$DJ$307</definedName>
    <definedName name="Prop_Mgmt_Fee_Pct">Annual!$E$114</definedName>
    <definedName name="Refi_Date">Annual!$J$27</definedName>
    <definedName name="Refi_Month">Annual!$J$28</definedName>
    <definedName name="Renewal_Free_Rent_Months">Annual!$E$104</definedName>
    <definedName name="Renewal_LC_Pct">Annual!$E$110</definedName>
    <definedName name="Renewal_Probability">Annual!$E$100</definedName>
    <definedName name="Renewal_TIs">Annual!$E$107</definedName>
    <definedName name="Rentable_Sq_M">Annual!$E$22</definedName>
    <definedName name="Reserves_per_RSM">Annual!$E$113</definedName>
    <definedName name="Returns_Date_Range">Monthly!$F$267:$CW$267</definedName>
    <definedName name="Returns_Full_Range">Monthly!$F$267:$CW$293</definedName>
    <definedName name="Scenario">Annual!$J$16</definedName>
    <definedName name="Senior_Loan_Amort_Period">Annual!$J$42</definedName>
    <definedName name="Senior_Loan_Ann_Interest">Annual!$J$40</definedName>
    <definedName name="Senior_Loan_Balance">Annual!$J$39</definedName>
    <definedName name="Senior_Loan_LTV">Annual!$J$38</definedName>
    <definedName name="Senior_Loan_Maturity">Annual!$J$44</definedName>
    <definedName name="Senior_Loan_Monthly_Interest">Annual!$J$41</definedName>
    <definedName name="Soft_Costs">Annual!$J$11</definedName>
    <definedName name="Tier_1_Investor_Split">Annual!$E$42</definedName>
    <definedName name="Tier_1_IRR_Max">Annual!$E$41</definedName>
    <definedName name="Tier_1_IRR_Min">Annual!$D$41</definedName>
    <definedName name="Tier_2_Investor_Split">Annual!$E$47</definedName>
    <definedName name="Tier_2_IRR_Max">Annual!$E$45</definedName>
    <definedName name="Tier_2_IRR_Min">Annual!$D$45</definedName>
    <definedName name="Tier_3_Investor_Split">Annual!$E$52</definedName>
    <definedName name="Tier_3_IRR_Max">Annual!$E$50</definedName>
    <definedName name="Tier_3_IRR_Min">Annual!$D$50</definedName>
  </definedNames>
  <calcPr calcId="162913" iterate="1"/>
  <fileRecoveryPr autoRecover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8" i="1" l="1"/>
  <c r="D218" i="1" l="1"/>
  <c r="D210" i="1"/>
  <c r="D202" i="1"/>
  <c r="O243" i="1"/>
  <c r="N243" i="1"/>
  <c r="M243" i="1"/>
  <c r="L243" i="1"/>
  <c r="K243" i="1"/>
  <c r="J243" i="1"/>
  <c r="I243" i="1"/>
  <c r="H243" i="1"/>
  <c r="G243" i="1"/>
  <c r="F243" i="1"/>
  <c r="E243" i="1"/>
  <c r="D243" i="1"/>
  <c r="O235" i="1"/>
  <c r="N235" i="1"/>
  <c r="M235" i="1"/>
  <c r="L235" i="1"/>
  <c r="K235" i="1"/>
  <c r="J235" i="1"/>
  <c r="I235" i="1"/>
  <c r="H235" i="1"/>
  <c r="G235" i="1"/>
  <c r="F235" i="1"/>
  <c r="E235" i="1"/>
  <c r="D235" i="1"/>
  <c r="O227" i="1"/>
  <c r="N227" i="1"/>
  <c r="M227" i="1"/>
  <c r="L227" i="1"/>
  <c r="K227" i="1"/>
  <c r="J227" i="1"/>
  <c r="I227" i="1"/>
  <c r="H227" i="1"/>
  <c r="G227" i="1"/>
  <c r="F227" i="1"/>
  <c r="E227" i="1"/>
  <c r="D227" i="1"/>
  <c r="C246" i="1"/>
  <c r="C245" i="1"/>
  <c r="C244" i="1"/>
  <c r="C238" i="1"/>
  <c r="C237" i="1"/>
  <c r="C236" i="1"/>
  <c r="C230" i="1"/>
  <c r="C229" i="1"/>
  <c r="C228" i="1"/>
  <c r="C222" i="1"/>
  <c r="C221" i="1"/>
  <c r="C220" i="1"/>
  <c r="C214" i="1"/>
  <c r="C213" i="1"/>
  <c r="C212" i="1"/>
  <c r="C206" i="1"/>
  <c r="C205" i="1"/>
  <c r="C204" i="1"/>
  <c r="L219" i="1"/>
  <c r="K219" i="1"/>
  <c r="J219" i="1"/>
  <c r="I219" i="1"/>
  <c r="H219" i="1"/>
  <c r="G219" i="1"/>
  <c r="F219" i="1"/>
  <c r="E219" i="1"/>
  <c r="D219" i="1"/>
  <c r="L211" i="1"/>
  <c r="K211" i="1"/>
  <c r="J211" i="1"/>
  <c r="I211" i="1"/>
  <c r="H211" i="1"/>
  <c r="G211" i="1"/>
  <c r="F211" i="1"/>
  <c r="E211" i="1"/>
  <c r="D211" i="1"/>
  <c r="F203" i="1"/>
  <c r="G203" i="1" s="1"/>
  <c r="H203" i="1" s="1"/>
  <c r="I203" i="1" s="1"/>
  <c r="J203" i="1" s="1"/>
  <c r="K203" i="1" s="1"/>
  <c r="L203" i="1" s="1"/>
  <c r="E203" i="1"/>
  <c r="N192" i="1"/>
  <c r="N186" i="1"/>
  <c r="N180" i="1"/>
  <c r="N174" i="1"/>
  <c r="N168" i="1"/>
  <c r="E250" i="2" l="1"/>
  <c r="E238" i="2"/>
  <c r="F238" i="2" s="1"/>
  <c r="J52" i="1" l="1"/>
  <c r="J50" i="1"/>
  <c r="J41" i="1"/>
  <c r="E125" i="2" l="1"/>
  <c r="E120" i="2"/>
  <c r="E91" i="2"/>
  <c r="E86" i="2"/>
  <c r="E115" i="2"/>
  <c r="E81" i="2"/>
  <c r="E85" i="2" l="1"/>
  <c r="E87" i="2" s="1"/>
  <c r="E119" i="2"/>
  <c r="E121" i="2" s="1"/>
  <c r="E57" i="2" l="1"/>
  <c r="E52" i="2"/>
  <c r="E47" i="2"/>
  <c r="E51" i="2" l="1"/>
  <c r="G33" i="2"/>
  <c r="J27" i="1"/>
  <c r="F26" i="2"/>
  <c r="CZ17" i="2"/>
  <c r="CB17" i="2"/>
  <c r="BO16" i="2"/>
  <c r="AQ16" i="2"/>
  <c r="F9" i="2"/>
  <c r="E110" i="1"/>
  <c r="E109" i="1"/>
  <c r="E107" i="1"/>
  <c r="E106" i="1"/>
  <c r="E104" i="1"/>
  <c r="E103" i="1"/>
  <c r="E101" i="1"/>
  <c r="E100" i="1"/>
  <c r="N96" i="1"/>
  <c r="M96" i="1"/>
  <c r="L96" i="1"/>
  <c r="K96" i="1"/>
  <c r="J96" i="1"/>
  <c r="I96" i="1"/>
  <c r="H96" i="1"/>
  <c r="G96" i="1"/>
  <c r="F96" i="1"/>
  <c r="N90" i="1"/>
  <c r="M90" i="1"/>
  <c r="L90" i="1"/>
  <c r="K90" i="1"/>
  <c r="J90" i="1"/>
  <c r="I90" i="1"/>
  <c r="H90" i="1"/>
  <c r="G90" i="1"/>
  <c r="F90" i="1"/>
  <c r="N84" i="1"/>
  <c r="M84" i="1"/>
  <c r="L84" i="1"/>
  <c r="K84" i="1"/>
  <c r="J84" i="1"/>
  <c r="I84" i="1"/>
  <c r="H84" i="1"/>
  <c r="G84" i="1"/>
  <c r="F84" i="1"/>
  <c r="M78" i="1"/>
  <c r="K78" i="1"/>
  <c r="J78" i="1"/>
  <c r="I78" i="1"/>
  <c r="H78" i="1"/>
  <c r="G78" i="1"/>
  <c r="F78" i="1"/>
  <c r="J64" i="1"/>
  <c r="CX19" i="2" s="1"/>
  <c r="E42" i="1"/>
  <c r="E242" i="2" s="1"/>
  <c r="E243" i="2" s="1"/>
  <c r="E35" i="1"/>
  <c r="E43" i="1" s="1"/>
  <c r="E48" i="1" s="1"/>
  <c r="E53" i="1" s="1"/>
  <c r="E29" i="1"/>
  <c r="CX33" i="2" s="1"/>
  <c r="J11" i="1"/>
  <c r="CZ18" i="2" s="1"/>
  <c r="J8" i="1"/>
  <c r="CY17" i="2" s="1"/>
  <c r="E22" i="1"/>
  <c r="E19" i="1"/>
  <c r="E16" i="1"/>
  <c r="CX16" i="2" s="1"/>
  <c r="BC16" i="2" l="1"/>
  <c r="CN17" i="2"/>
  <c r="CA16" i="2"/>
  <c r="I18" i="2"/>
  <c r="S33" i="2"/>
  <c r="CM16" i="2"/>
  <c r="U18" i="2"/>
  <c r="AE33" i="2"/>
  <c r="CY16" i="2"/>
  <c r="AG18" i="2"/>
  <c r="AQ33" i="2"/>
  <c r="H17" i="2"/>
  <c r="H20" i="2" s="1"/>
  <c r="AS18" i="2"/>
  <c r="BC33" i="2"/>
  <c r="T17" i="2"/>
  <c r="BE18" i="2"/>
  <c r="BO33" i="2"/>
  <c r="J13" i="1"/>
  <c r="AF17" i="2"/>
  <c r="BQ18" i="2"/>
  <c r="CA33" i="2"/>
  <c r="G16" i="2"/>
  <c r="AR17" i="2"/>
  <c r="CC18" i="2"/>
  <c r="CM33" i="2"/>
  <c r="S16" i="2"/>
  <c r="BD17" i="2"/>
  <c r="CO18" i="2"/>
  <c r="CY33" i="2"/>
  <c r="AE16" i="2"/>
  <c r="BP17" i="2"/>
  <c r="DA18" i="2"/>
  <c r="H16" i="2"/>
  <c r="T16" i="2"/>
  <c r="AF16" i="2"/>
  <c r="AF20" i="2" s="1"/>
  <c r="AR16" i="2"/>
  <c r="BD16" i="2"/>
  <c r="BP16" i="2"/>
  <c r="CB16" i="2"/>
  <c r="CN16" i="2"/>
  <c r="CZ16" i="2"/>
  <c r="I17" i="2"/>
  <c r="U17" i="2"/>
  <c r="AG17" i="2"/>
  <c r="AS17" i="2"/>
  <c r="BE17" i="2"/>
  <c r="BQ17" i="2"/>
  <c r="CC17" i="2"/>
  <c r="CC20" i="2" s="1"/>
  <c r="CO17" i="2"/>
  <c r="DA17" i="2"/>
  <c r="J18" i="2"/>
  <c r="V18" i="2"/>
  <c r="AH18" i="2"/>
  <c r="AT18" i="2"/>
  <c r="BF18" i="2"/>
  <c r="BR18" i="2"/>
  <c r="CD18" i="2"/>
  <c r="CP18" i="2"/>
  <c r="DB18" i="2"/>
  <c r="H33" i="2"/>
  <c r="T33" i="2"/>
  <c r="AF33" i="2"/>
  <c r="AR33" i="2"/>
  <c r="BD33" i="2"/>
  <c r="BP33" i="2"/>
  <c r="CB33" i="2"/>
  <c r="CN33" i="2"/>
  <c r="CZ33" i="2"/>
  <c r="H19" i="2"/>
  <c r="T19" i="2"/>
  <c r="AF19" i="2"/>
  <c r="AR19" i="2"/>
  <c r="BD19" i="2"/>
  <c r="BP19" i="2"/>
  <c r="CB19" i="2"/>
  <c r="CN19" i="2"/>
  <c r="CZ19" i="2"/>
  <c r="BO19" i="2"/>
  <c r="I16" i="2"/>
  <c r="U16" i="2"/>
  <c r="AG16" i="2"/>
  <c r="AS16" i="2"/>
  <c r="BE16" i="2"/>
  <c r="BE20" i="2" s="1"/>
  <c r="BQ16" i="2"/>
  <c r="BQ20" i="2" s="1"/>
  <c r="CC16" i="2"/>
  <c r="CO16" i="2"/>
  <c r="DA16" i="2"/>
  <c r="J17" i="2"/>
  <c r="V17" i="2"/>
  <c r="AH17" i="2"/>
  <c r="AT17" i="2"/>
  <c r="BF17" i="2"/>
  <c r="BR17" i="2"/>
  <c r="CD17" i="2"/>
  <c r="CP17" i="2"/>
  <c r="DB17" i="2"/>
  <c r="DB20" i="2" s="1"/>
  <c r="K18" i="2"/>
  <c r="W18" i="2"/>
  <c r="AI18" i="2"/>
  <c r="AU18" i="2"/>
  <c r="BG18" i="2"/>
  <c r="BS18" i="2"/>
  <c r="CE18" i="2"/>
  <c r="CQ18" i="2"/>
  <c r="DC18" i="2"/>
  <c r="I33" i="2"/>
  <c r="U33" i="2"/>
  <c r="AG33" i="2"/>
  <c r="AS33" i="2"/>
  <c r="BE33" i="2"/>
  <c r="BQ33" i="2"/>
  <c r="CC33" i="2"/>
  <c r="CO33" i="2"/>
  <c r="DA33" i="2"/>
  <c r="I19" i="2"/>
  <c r="U19" i="2"/>
  <c r="AG19" i="2"/>
  <c r="AS19" i="2"/>
  <c r="BE19" i="2"/>
  <c r="BQ19" i="2"/>
  <c r="CC19" i="2"/>
  <c r="CO19" i="2"/>
  <c r="DA19" i="2"/>
  <c r="BC19" i="2"/>
  <c r="J16" i="2"/>
  <c r="V16" i="2"/>
  <c r="AH16" i="2"/>
  <c r="AT16" i="2"/>
  <c r="BF16" i="2"/>
  <c r="BR16" i="2"/>
  <c r="CD16" i="2"/>
  <c r="CD20" i="2" s="1"/>
  <c r="CP16" i="2"/>
  <c r="DB16" i="2"/>
  <c r="K17" i="2"/>
  <c r="W17" i="2"/>
  <c r="AI17" i="2"/>
  <c r="AU17" i="2"/>
  <c r="BG17" i="2"/>
  <c r="BS17" i="2"/>
  <c r="CE17" i="2"/>
  <c r="CQ17" i="2"/>
  <c r="DC17" i="2"/>
  <c r="L18" i="2"/>
  <c r="X18" i="2"/>
  <c r="AJ18" i="2"/>
  <c r="AV18" i="2"/>
  <c r="BH18" i="2"/>
  <c r="BT18" i="2"/>
  <c r="CF18" i="2"/>
  <c r="CR18" i="2"/>
  <c r="DD18" i="2"/>
  <c r="J33" i="2"/>
  <c r="V33" i="2"/>
  <c r="AH33" i="2"/>
  <c r="AT33" i="2"/>
  <c r="BF33" i="2"/>
  <c r="BR33" i="2"/>
  <c r="CD33" i="2"/>
  <c r="CP33" i="2"/>
  <c r="DB33" i="2"/>
  <c r="J19" i="2"/>
  <c r="V19" i="2"/>
  <c r="AH19" i="2"/>
  <c r="AT19" i="2"/>
  <c r="BF19" i="2"/>
  <c r="BR19" i="2"/>
  <c r="CD19" i="2"/>
  <c r="CP19" i="2"/>
  <c r="DB19" i="2"/>
  <c r="K16" i="2"/>
  <c r="W16" i="2"/>
  <c r="AI16" i="2"/>
  <c r="AU16" i="2"/>
  <c r="BG16" i="2"/>
  <c r="BS16" i="2"/>
  <c r="CE16" i="2"/>
  <c r="CQ16" i="2"/>
  <c r="DC16" i="2"/>
  <c r="L17" i="2"/>
  <c r="X17" i="2"/>
  <c r="X20" i="2" s="1"/>
  <c r="AJ17" i="2"/>
  <c r="AV17" i="2"/>
  <c r="BH17" i="2"/>
  <c r="BT17" i="2"/>
  <c r="CF17" i="2"/>
  <c r="CR17" i="2"/>
  <c r="DD17" i="2"/>
  <c r="M18" i="2"/>
  <c r="Y18" i="2"/>
  <c r="AK18" i="2"/>
  <c r="AW18" i="2"/>
  <c r="BI18" i="2"/>
  <c r="BI20" i="2" s="1"/>
  <c r="BU18" i="2"/>
  <c r="CG18" i="2"/>
  <c r="CS18" i="2"/>
  <c r="DE18" i="2"/>
  <c r="K33" i="2"/>
  <c r="W33" i="2"/>
  <c r="AI33" i="2"/>
  <c r="AU33" i="2"/>
  <c r="BG33" i="2"/>
  <c r="BS33" i="2"/>
  <c r="CE33" i="2"/>
  <c r="CQ33" i="2"/>
  <c r="DC33" i="2"/>
  <c r="K19" i="2"/>
  <c r="W19" i="2"/>
  <c r="AI19" i="2"/>
  <c r="AU19" i="2"/>
  <c r="BG19" i="2"/>
  <c r="BS19" i="2"/>
  <c r="CE19" i="2"/>
  <c r="CQ19" i="2"/>
  <c r="DC19" i="2"/>
  <c r="CA19" i="2"/>
  <c r="L16" i="2"/>
  <c r="L20" i="2" s="1"/>
  <c r="X16" i="2"/>
  <c r="AJ16" i="2"/>
  <c r="AV16" i="2"/>
  <c r="BH16" i="2"/>
  <c r="BT16" i="2"/>
  <c r="CF16" i="2"/>
  <c r="CR16" i="2"/>
  <c r="DD16" i="2"/>
  <c r="M17" i="2"/>
  <c r="Y17" i="2"/>
  <c r="AK17" i="2"/>
  <c r="AW17" i="2"/>
  <c r="AW20" i="2" s="1"/>
  <c r="BI17" i="2"/>
  <c r="BU17" i="2"/>
  <c r="CG17" i="2"/>
  <c r="CS17" i="2"/>
  <c r="DE17" i="2"/>
  <c r="N18" i="2"/>
  <c r="Z18" i="2"/>
  <c r="AL18" i="2"/>
  <c r="AX18" i="2"/>
  <c r="BJ18" i="2"/>
  <c r="BV18" i="2"/>
  <c r="CH18" i="2"/>
  <c r="CT18" i="2"/>
  <c r="DF18" i="2"/>
  <c r="L33" i="2"/>
  <c r="X33" i="2"/>
  <c r="AJ33" i="2"/>
  <c r="AV33" i="2"/>
  <c r="BH33" i="2"/>
  <c r="BT33" i="2"/>
  <c r="CF33" i="2"/>
  <c r="CR33" i="2"/>
  <c r="DD33" i="2"/>
  <c r="L19" i="2"/>
  <c r="X19" i="2"/>
  <c r="AJ19" i="2"/>
  <c r="AV19" i="2"/>
  <c r="BH19" i="2"/>
  <c r="BT19" i="2"/>
  <c r="CF19" i="2"/>
  <c r="CR19" i="2"/>
  <c r="DD19" i="2"/>
  <c r="S19" i="2"/>
  <c r="M16" i="2"/>
  <c r="Y16" i="2"/>
  <c r="Y20" i="2" s="1"/>
  <c r="AK16" i="2"/>
  <c r="AK20" i="2" s="1"/>
  <c r="AW16" i="2"/>
  <c r="BI16" i="2"/>
  <c r="BU16" i="2"/>
  <c r="CG16" i="2"/>
  <c r="CS16" i="2"/>
  <c r="DE16" i="2"/>
  <c r="N17" i="2"/>
  <c r="Z17" i="2"/>
  <c r="AL17" i="2"/>
  <c r="AX17" i="2"/>
  <c r="BJ17" i="2"/>
  <c r="BV17" i="2"/>
  <c r="BV20" i="2" s="1"/>
  <c r="CH17" i="2"/>
  <c r="CT17" i="2"/>
  <c r="DF17" i="2"/>
  <c r="O18" i="2"/>
  <c r="AA18" i="2"/>
  <c r="AM18" i="2"/>
  <c r="AY18" i="2"/>
  <c r="BK18" i="2"/>
  <c r="BW18" i="2"/>
  <c r="CI18" i="2"/>
  <c r="CU18" i="2"/>
  <c r="DG18" i="2"/>
  <c r="DG20" i="2" s="1"/>
  <c r="M33" i="2"/>
  <c r="Y33" i="2"/>
  <c r="AK33" i="2"/>
  <c r="AW33" i="2"/>
  <c r="BI33" i="2"/>
  <c r="BU33" i="2"/>
  <c r="CG33" i="2"/>
  <c r="CS33" i="2"/>
  <c r="DE33" i="2"/>
  <c r="M19" i="2"/>
  <c r="Y19" i="2"/>
  <c r="AK19" i="2"/>
  <c r="AW19" i="2"/>
  <c r="BI19" i="2"/>
  <c r="BU19" i="2"/>
  <c r="CG19" i="2"/>
  <c r="CS19" i="2"/>
  <c r="DE19" i="2"/>
  <c r="AQ19" i="2"/>
  <c r="N16" i="2"/>
  <c r="Z16" i="2"/>
  <c r="AL16" i="2"/>
  <c r="AX16" i="2"/>
  <c r="AX20" i="2" s="1"/>
  <c r="BJ16" i="2"/>
  <c r="BJ20" i="2" s="1"/>
  <c r="BV16" i="2"/>
  <c r="CH16" i="2"/>
  <c r="CT16" i="2"/>
  <c r="DF16" i="2"/>
  <c r="O17" i="2"/>
  <c r="AA17" i="2"/>
  <c r="AM17" i="2"/>
  <c r="AY17" i="2"/>
  <c r="BK17" i="2"/>
  <c r="BW17" i="2"/>
  <c r="CI17" i="2"/>
  <c r="CU17" i="2"/>
  <c r="CU20" i="2" s="1"/>
  <c r="DG17" i="2"/>
  <c r="P18" i="2"/>
  <c r="AB18" i="2"/>
  <c r="AN18" i="2"/>
  <c r="AZ18" i="2"/>
  <c r="BL18" i="2"/>
  <c r="BX18" i="2"/>
  <c r="CJ18" i="2"/>
  <c r="CV18" i="2"/>
  <c r="DH18" i="2"/>
  <c r="N33" i="2"/>
  <c r="Z33" i="2"/>
  <c r="AL33" i="2"/>
  <c r="AX33" i="2"/>
  <c r="BJ33" i="2"/>
  <c r="BV33" i="2"/>
  <c r="CH33" i="2"/>
  <c r="CT33" i="2"/>
  <c r="DF33" i="2"/>
  <c r="N19" i="2"/>
  <c r="Z19" i="2"/>
  <c r="AL19" i="2"/>
  <c r="AX19" i="2"/>
  <c r="BJ19" i="2"/>
  <c r="BV19" i="2"/>
  <c r="CH19" i="2"/>
  <c r="CT19" i="2"/>
  <c r="DF19" i="2"/>
  <c r="CM19" i="2"/>
  <c r="O16" i="2"/>
  <c r="AA16" i="2"/>
  <c r="AM16" i="2"/>
  <c r="AY16" i="2"/>
  <c r="BK16" i="2"/>
  <c r="BW16" i="2"/>
  <c r="BW20" i="2" s="1"/>
  <c r="CI16" i="2"/>
  <c r="CI20" i="2" s="1"/>
  <c r="CU16" i="2"/>
  <c r="DG16" i="2"/>
  <c r="P17" i="2"/>
  <c r="AB17" i="2"/>
  <c r="AN17" i="2"/>
  <c r="AZ17" i="2"/>
  <c r="BL17" i="2"/>
  <c r="BX17" i="2"/>
  <c r="CJ17" i="2"/>
  <c r="CV17" i="2"/>
  <c r="DH17" i="2"/>
  <c r="Q18" i="2"/>
  <c r="AC18" i="2"/>
  <c r="AO18" i="2"/>
  <c r="BA18" i="2"/>
  <c r="BM18" i="2"/>
  <c r="BY18" i="2"/>
  <c r="CK18" i="2"/>
  <c r="CW18" i="2"/>
  <c r="DI18" i="2"/>
  <c r="O33" i="2"/>
  <c r="AA33" i="2"/>
  <c r="AM33" i="2"/>
  <c r="AY33" i="2"/>
  <c r="BK33" i="2"/>
  <c r="BW33" i="2"/>
  <c r="CI33" i="2"/>
  <c r="CU33" i="2"/>
  <c r="DG33" i="2"/>
  <c r="O19" i="2"/>
  <c r="AA19" i="2"/>
  <c r="AM19" i="2"/>
  <c r="AY19" i="2"/>
  <c r="BK19" i="2"/>
  <c r="BW19" i="2"/>
  <c r="CI19" i="2"/>
  <c r="CU19" i="2"/>
  <c r="DG19" i="2"/>
  <c r="AE19" i="2"/>
  <c r="E112" i="2"/>
  <c r="E78" i="2"/>
  <c r="E44" i="2"/>
  <c r="J61" i="1"/>
  <c r="F16" i="2"/>
  <c r="P16" i="2"/>
  <c r="AB16" i="2"/>
  <c r="AN16" i="2"/>
  <c r="AN20" i="2" s="1"/>
  <c r="AZ16" i="2"/>
  <c r="AZ20" i="2" s="1"/>
  <c r="BL16" i="2"/>
  <c r="BX16" i="2"/>
  <c r="CJ16" i="2"/>
  <c r="CV16" i="2"/>
  <c r="DH16" i="2"/>
  <c r="Q17" i="2"/>
  <c r="AC17" i="2"/>
  <c r="AO17" i="2"/>
  <c r="BA17" i="2"/>
  <c r="BM17" i="2"/>
  <c r="BY17" i="2"/>
  <c r="CK17" i="2"/>
  <c r="CW17" i="2"/>
  <c r="DI17" i="2"/>
  <c r="R18" i="2"/>
  <c r="AD18" i="2"/>
  <c r="AP18" i="2"/>
  <c r="BB18" i="2"/>
  <c r="BN18" i="2"/>
  <c r="BZ18" i="2"/>
  <c r="CL18" i="2"/>
  <c r="CX18" i="2"/>
  <c r="P33" i="2"/>
  <c r="AB33" i="2"/>
  <c r="AN33" i="2"/>
  <c r="AZ33" i="2"/>
  <c r="BL33" i="2"/>
  <c r="BX33" i="2"/>
  <c r="CJ33" i="2"/>
  <c r="CV33" i="2"/>
  <c r="DH33" i="2"/>
  <c r="P19" i="2"/>
  <c r="P20" i="2" s="1"/>
  <c r="AB19" i="2"/>
  <c r="AN19" i="2"/>
  <c r="AZ19" i="2"/>
  <c r="BL19" i="2"/>
  <c r="BX19" i="2"/>
  <c r="CJ19" i="2"/>
  <c r="CV19" i="2"/>
  <c r="DH19" i="2"/>
  <c r="CY19" i="2"/>
  <c r="J62" i="1"/>
  <c r="F17" i="2"/>
  <c r="Q16" i="2"/>
  <c r="AC16" i="2"/>
  <c r="AO16" i="2"/>
  <c r="BA16" i="2"/>
  <c r="BA20" i="2" s="1"/>
  <c r="BM16" i="2"/>
  <c r="BY16" i="2"/>
  <c r="CK16" i="2"/>
  <c r="CW16" i="2"/>
  <c r="DI16" i="2"/>
  <c r="R17" i="2"/>
  <c r="AD17" i="2"/>
  <c r="AP17" i="2"/>
  <c r="BB17" i="2"/>
  <c r="BN17" i="2"/>
  <c r="BN20" i="2" s="1"/>
  <c r="BZ17" i="2"/>
  <c r="CL17" i="2"/>
  <c r="CL20" i="2" s="1"/>
  <c r="CX17" i="2"/>
  <c r="CX20" i="2" s="1"/>
  <c r="G18" i="2"/>
  <c r="S18" i="2"/>
  <c r="AE18" i="2"/>
  <c r="AQ18" i="2"/>
  <c r="BC18" i="2"/>
  <c r="BO18" i="2"/>
  <c r="CA18" i="2"/>
  <c r="CM18" i="2"/>
  <c r="CY18" i="2"/>
  <c r="F33" i="2"/>
  <c r="F29" i="2" s="1"/>
  <c r="Q33" i="2"/>
  <c r="AC33" i="2"/>
  <c r="AO33" i="2"/>
  <c r="BA33" i="2"/>
  <c r="BM33" i="2"/>
  <c r="BY33" i="2"/>
  <c r="CK33" i="2"/>
  <c r="CW33" i="2"/>
  <c r="DI33" i="2"/>
  <c r="Q19" i="2"/>
  <c r="AC19" i="2"/>
  <c r="AO19" i="2"/>
  <c r="BA19" i="2"/>
  <c r="BM19" i="2"/>
  <c r="BY19" i="2"/>
  <c r="CK19" i="2"/>
  <c r="CW19" i="2"/>
  <c r="DI19" i="2"/>
  <c r="G19" i="2"/>
  <c r="E47" i="1"/>
  <c r="J63" i="1"/>
  <c r="F18" i="2"/>
  <c r="R16" i="2"/>
  <c r="AD16" i="2"/>
  <c r="AP16" i="2"/>
  <c r="BB16" i="2"/>
  <c r="BN16" i="2"/>
  <c r="BZ16" i="2"/>
  <c r="CL16" i="2"/>
  <c r="G17" i="2"/>
  <c r="G20" i="2" s="1"/>
  <c r="S17" i="2"/>
  <c r="S20" i="2" s="1"/>
  <c r="AE17" i="2"/>
  <c r="AQ17" i="2"/>
  <c r="AQ20" i="2" s="1"/>
  <c r="BC17" i="2"/>
  <c r="BC20" i="2" s="1"/>
  <c r="BO17" i="2"/>
  <c r="CA17" i="2"/>
  <c r="CM17" i="2"/>
  <c r="H18" i="2"/>
  <c r="T18" i="2"/>
  <c r="T20" i="2" s="1"/>
  <c r="AF18" i="2"/>
  <c r="AR18" i="2"/>
  <c r="BD18" i="2"/>
  <c r="BP18" i="2"/>
  <c r="BP20" i="2" s="1"/>
  <c r="CB18" i="2"/>
  <c r="CN18" i="2"/>
  <c r="CN20" i="2" s="1"/>
  <c r="J55" i="1"/>
  <c r="J44" i="1"/>
  <c r="R33" i="2"/>
  <c r="AD33" i="2"/>
  <c r="AP33" i="2"/>
  <c r="BB33" i="2"/>
  <c r="BN33" i="2"/>
  <c r="BZ33" i="2"/>
  <c r="CL33" i="2"/>
  <c r="F19" i="2"/>
  <c r="R19" i="2"/>
  <c r="AD19" i="2"/>
  <c r="AP19" i="2"/>
  <c r="BB19" i="2"/>
  <c r="BN19" i="2"/>
  <c r="BZ19" i="2"/>
  <c r="CL19" i="2"/>
  <c r="F186" i="2"/>
  <c r="E90" i="2"/>
  <c r="E92" i="2" s="1"/>
  <c r="E124" i="2"/>
  <c r="E126" i="2" s="1"/>
  <c r="E56" i="2"/>
  <c r="E58" i="2" s="1"/>
  <c r="E53" i="2"/>
  <c r="F37" i="2"/>
  <c r="F39" i="2"/>
  <c r="F40" i="2" s="1"/>
  <c r="CF20" i="2"/>
  <c r="CV20" i="2"/>
  <c r="CT20" i="2"/>
  <c r="AB20" i="2"/>
  <c r="AU20" i="2"/>
  <c r="BS20" i="2"/>
  <c r="W20" i="2"/>
  <c r="AE20" i="2"/>
  <c r="AA20" i="2"/>
  <c r="V20" i="2"/>
  <c r="CP20" i="2"/>
  <c r="BD20" i="2"/>
  <c r="CB20" i="2"/>
  <c r="CZ20" i="2"/>
  <c r="BU20" i="2"/>
  <c r="CS20" i="2"/>
  <c r="CH20" i="2"/>
  <c r="DF20" i="2"/>
  <c r="CR20" i="2"/>
  <c r="O20" i="2"/>
  <c r="I20" i="2"/>
  <c r="AO20" i="2"/>
  <c r="DA20" i="2"/>
  <c r="DE20" i="2"/>
  <c r="AC20" i="2"/>
  <c r="AS20" i="2"/>
  <c r="CO20" i="2"/>
  <c r="K20" i="2"/>
  <c r="AI20" i="2"/>
  <c r="BG20" i="2"/>
  <c r="BO20" i="2"/>
  <c r="DC20" i="2"/>
  <c r="CG20" i="2"/>
  <c r="J20" i="2"/>
  <c r="AH20" i="2"/>
  <c r="AJ20" i="2"/>
  <c r="AV20" i="2"/>
  <c r="BH20" i="2"/>
  <c r="BT20" i="2"/>
  <c r="CM20" i="2" l="1"/>
  <c r="BB20" i="2"/>
  <c r="Q20" i="2"/>
  <c r="BZ20" i="2"/>
  <c r="F20" i="2"/>
  <c r="DI20" i="2"/>
  <c r="AM20" i="2"/>
  <c r="AY20" i="2"/>
  <c r="N20" i="2"/>
  <c r="BK20" i="2"/>
  <c r="Z20" i="2"/>
  <c r="AL20" i="2"/>
  <c r="DD20" i="2"/>
  <c r="M20" i="2"/>
  <c r="CE20" i="2"/>
  <c r="AT20" i="2"/>
  <c r="CQ20" i="2"/>
  <c r="BF20" i="2"/>
  <c r="U20" i="2"/>
  <c r="BR20" i="2"/>
  <c r="AG20" i="2"/>
  <c r="CA20" i="2"/>
  <c r="CW20" i="2"/>
  <c r="BM20" i="2"/>
  <c r="AP20" i="2"/>
  <c r="R20" i="2"/>
  <c r="AD20" i="2"/>
  <c r="CK20" i="2"/>
  <c r="CY20" i="2"/>
  <c r="DH20" i="2"/>
  <c r="AR20" i="2"/>
  <c r="CJ20" i="2"/>
  <c r="BX20" i="2"/>
  <c r="BY20" i="2"/>
  <c r="BL20" i="2"/>
  <c r="J65" i="1"/>
  <c r="E255" i="2"/>
  <c r="E256" i="2" s="1"/>
  <c r="E52" i="1"/>
  <c r="E262" i="2" s="1"/>
  <c r="E263" i="2" s="1"/>
  <c r="F61" i="2"/>
  <c r="F129" i="2"/>
  <c r="F95" i="2"/>
  <c r="D166" i="1" l="1"/>
  <c r="J165" i="1"/>
  <c r="F165" i="1"/>
  <c r="J117" i="1"/>
  <c r="F117" i="1"/>
  <c r="C87" i="1" l="1"/>
  <c r="C89" i="1"/>
  <c r="C88" i="1"/>
  <c r="C196" i="1" l="1"/>
  <c r="C195" i="1"/>
  <c r="C194" i="1"/>
  <c r="C193" i="1"/>
  <c r="C190" i="1"/>
  <c r="C189" i="1"/>
  <c r="C188" i="1"/>
  <c r="C187" i="1"/>
  <c r="C291" i="2"/>
  <c r="C290" i="2"/>
  <c r="C289" i="2"/>
  <c r="C288" i="2"/>
  <c r="C285" i="2"/>
  <c r="C284" i="2"/>
  <c r="C283" i="2"/>
  <c r="C282" i="2"/>
  <c r="F267" i="2" l="1"/>
  <c r="G267" i="2" s="1"/>
  <c r="H267" i="2" s="1"/>
  <c r="I267" i="2" s="1"/>
  <c r="J267" i="2" s="1"/>
  <c r="K267" i="2" s="1"/>
  <c r="L267" i="2" s="1"/>
  <c r="M267" i="2" s="1"/>
  <c r="N267" i="2" s="1"/>
  <c r="O267" i="2" s="1"/>
  <c r="P267" i="2" s="1"/>
  <c r="Q267" i="2" s="1"/>
  <c r="R267" i="2" s="1"/>
  <c r="S267" i="2" s="1"/>
  <c r="T267" i="2" s="1"/>
  <c r="U267" i="2" s="1"/>
  <c r="V267" i="2" s="1"/>
  <c r="W267" i="2" s="1"/>
  <c r="X267" i="2" s="1"/>
  <c r="Y267" i="2" s="1"/>
  <c r="Z267" i="2" s="1"/>
  <c r="AA267" i="2" s="1"/>
  <c r="AB267" i="2" s="1"/>
  <c r="AC267" i="2" s="1"/>
  <c r="AD267" i="2" s="1"/>
  <c r="AE267" i="2" s="1"/>
  <c r="AF267" i="2" s="1"/>
  <c r="AG267" i="2" s="1"/>
  <c r="AH267" i="2" s="1"/>
  <c r="AI267" i="2" s="1"/>
  <c r="AJ267" i="2" s="1"/>
  <c r="AK267" i="2" s="1"/>
  <c r="AL267" i="2" s="1"/>
  <c r="AM267" i="2" s="1"/>
  <c r="AN267" i="2" s="1"/>
  <c r="AO267" i="2" s="1"/>
  <c r="AP267" i="2" s="1"/>
  <c r="AQ267" i="2" s="1"/>
  <c r="AR267" i="2" s="1"/>
  <c r="AS267" i="2" s="1"/>
  <c r="AT267" i="2" s="1"/>
  <c r="AU267" i="2" s="1"/>
  <c r="AV267" i="2" s="1"/>
  <c r="AW267" i="2" s="1"/>
  <c r="AX267" i="2" s="1"/>
  <c r="AY267" i="2" s="1"/>
  <c r="AZ267" i="2" s="1"/>
  <c r="BA267" i="2" s="1"/>
  <c r="BB267" i="2" s="1"/>
  <c r="BC267" i="2" s="1"/>
  <c r="BD267" i="2" s="1"/>
  <c r="BE267" i="2" s="1"/>
  <c r="BF267" i="2" s="1"/>
  <c r="BG267" i="2" s="1"/>
  <c r="BH267" i="2" s="1"/>
  <c r="BI267" i="2" s="1"/>
  <c r="BJ267" i="2" s="1"/>
  <c r="BK267" i="2" s="1"/>
  <c r="BL267" i="2" s="1"/>
  <c r="BM267" i="2" s="1"/>
  <c r="BN267" i="2" s="1"/>
  <c r="BO267" i="2" s="1"/>
  <c r="BP267" i="2" s="1"/>
  <c r="BQ267" i="2" s="1"/>
  <c r="BR267" i="2" s="1"/>
  <c r="BS267" i="2" s="1"/>
  <c r="BT267" i="2" s="1"/>
  <c r="BU267" i="2" s="1"/>
  <c r="BV267" i="2" s="1"/>
  <c r="BW267" i="2" s="1"/>
  <c r="BX267" i="2" s="1"/>
  <c r="BY267" i="2" s="1"/>
  <c r="BZ267" i="2" s="1"/>
  <c r="C306" i="2"/>
  <c r="C305" i="2"/>
  <c r="C304" i="2"/>
  <c r="C303" i="2"/>
  <c r="C300" i="2"/>
  <c r="C299" i="2"/>
  <c r="C298" i="2"/>
  <c r="C297" i="2"/>
  <c r="CA267" i="2" l="1"/>
  <c r="C260" i="2"/>
  <c r="C247" i="2"/>
  <c r="C235" i="2"/>
  <c r="F228" i="2"/>
  <c r="G228" i="2" s="1"/>
  <c r="H228" i="2" s="1"/>
  <c r="I228" i="2" s="1"/>
  <c r="J228" i="2" s="1"/>
  <c r="K228" i="2" s="1"/>
  <c r="L228" i="2" s="1"/>
  <c r="M228" i="2" s="1"/>
  <c r="N228" i="2" s="1"/>
  <c r="O228" i="2" s="1"/>
  <c r="P228" i="2" s="1"/>
  <c r="Q228" i="2" s="1"/>
  <c r="R228" i="2" s="1"/>
  <c r="S228" i="2" s="1"/>
  <c r="T228" i="2" s="1"/>
  <c r="U228" i="2" s="1"/>
  <c r="V228" i="2" s="1"/>
  <c r="W228" i="2" s="1"/>
  <c r="X228" i="2" s="1"/>
  <c r="Y228" i="2" s="1"/>
  <c r="Z228" i="2" s="1"/>
  <c r="AA228" i="2" s="1"/>
  <c r="AB228" i="2" s="1"/>
  <c r="AC228" i="2" s="1"/>
  <c r="AD228" i="2" s="1"/>
  <c r="AE228" i="2" s="1"/>
  <c r="AF228" i="2" s="1"/>
  <c r="AG228" i="2" s="1"/>
  <c r="AH228" i="2" s="1"/>
  <c r="AI228" i="2" s="1"/>
  <c r="AJ228" i="2" s="1"/>
  <c r="AK228" i="2" s="1"/>
  <c r="AL228" i="2" s="1"/>
  <c r="AM228" i="2" s="1"/>
  <c r="AN228" i="2" s="1"/>
  <c r="AO228" i="2" s="1"/>
  <c r="AP228" i="2" s="1"/>
  <c r="AQ228" i="2" s="1"/>
  <c r="AR228" i="2" s="1"/>
  <c r="AS228" i="2" s="1"/>
  <c r="AT228" i="2" s="1"/>
  <c r="AU228" i="2" s="1"/>
  <c r="AV228" i="2" s="1"/>
  <c r="AW228" i="2" s="1"/>
  <c r="AX228" i="2" s="1"/>
  <c r="AY228" i="2" s="1"/>
  <c r="AZ228" i="2" s="1"/>
  <c r="BA228" i="2" s="1"/>
  <c r="BB228" i="2" s="1"/>
  <c r="BC228" i="2" s="1"/>
  <c r="BD228" i="2" s="1"/>
  <c r="BE228" i="2" s="1"/>
  <c r="BF228" i="2" s="1"/>
  <c r="BG228" i="2" s="1"/>
  <c r="BH228" i="2" s="1"/>
  <c r="BI228" i="2" s="1"/>
  <c r="BJ228" i="2" s="1"/>
  <c r="BK228" i="2" s="1"/>
  <c r="BL228" i="2" s="1"/>
  <c r="BM228" i="2" s="1"/>
  <c r="BN228" i="2" s="1"/>
  <c r="BO228" i="2" s="1"/>
  <c r="BP228" i="2" s="1"/>
  <c r="BQ228" i="2" s="1"/>
  <c r="BR228" i="2" s="1"/>
  <c r="BS228" i="2" s="1"/>
  <c r="BT228" i="2" s="1"/>
  <c r="BU228" i="2" s="1"/>
  <c r="BV228" i="2" s="1"/>
  <c r="BW228" i="2" s="1"/>
  <c r="BX228" i="2" s="1"/>
  <c r="BY228" i="2" s="1"/>
  <c r="BZ228" i="2" s="1"/>
  <c r="CA228" i="2" s="1"/>
  <c r="CB228" i="2" s="1"/>
  <c r="CC228" i="2" s="1"/>
  <c r="CD228" i="2" s="1"/>
  <c r="CE228" i="2" s="1"/>
  <c r="CF228" i="2" s="1"/>
  <c r="CG228" i="2" s="1"/>
  <c r="CH228" i="2" s="1"/>
  <c r="CI228" i="2" s="1"/>
  <c r="CJ228" i="2" s="1"/>
  <c r="CK228" i="2" s="1"/>
  <c r="CL228" i="2" s="1"/>
  <c r="CM228" i="2" s="1"/>
  <c r="CN228" i="2" s="1"/>
  <c r="CO228" i="2" s="1"/>
  <c r="CP228" i="2" s="1"/>
  <c r="CQ228" i="2" s="1"/>
  <c r="CR228" i="2" s="1"/>
  <c r="CS228" i="2" s="1"/>
  <c r="CT228" i="2" s="1"/>
  <c r="CU228" i="2" s="1"/>
  <c r="CV228" i="2" s="1"/>
  <c r="CW228" i="2" s="1"/>
  <c r="CB267" i="2" l="1"/>
  <c r="CC267" i="2" l="1"/>
  <c r="CD267" i="2" l="1"/>
  <c r="C52" i="1"/>
  <c r="C47" i="1"/>
  <c r="C42" i="1"/>
  <c r="CE267" i="2" l="1"/>
  <c r="C93" i="1"/>
  <c r="C95" i="1"/>
  <c r="C94" i="1"/>
  <c r="C81" i="1"/>
  <c r="C83" i="1"/>
  <c r="C82" i="1"/>
  <c r="CF267" i="2" l="1"/>
  <c r="CG267" i="2" l="1"/>
  <c r="F212" i="2"/>
  <c r="CH267" i="2" l="1"/>
  <c r="G212" i="2"/>
  <c r="CI267" i="2" l="1"/>
  <c r="CI269" i="2" s="1"/>
  <c r="H212" i="2"/>
  <c r="I212" i="2" s="1"/>
  <c r="CJ267" i="2" l="1"/>
  <c r="CJ269" i="2" s="1"/>
  <c r="J212" i="2"/>
  <c r="F183" i="2"/>
  <c r="E32" i="1"/>
  <c r="F200" i="2" l="1"/>
  <c r="F217" i="2" s="1"/>
  <c r="F199" i="2"/>
  <c r="F196" i="2"/>
  <c r="F197" i="2" s="1"/>
  <c r="F198" i="2"/>
  <c r="F202" i="2"/>
  <c r="F218" i="2" s="1"/>
  <c r="F203" i="2"/>
  <c r="F219" i="2" s="1"/>
  <c r="F201" i="2"/>
  <c r="F194" i="2"/>
  <c r="F191" i="2"/>
  <c r="F214" i="2" s="1"/>
  <c r="F190" i="2"/>
  <c r="CK267" i="2"/>
  <c r="K212" i="2"/>
  <c r="G183" i="2"/>
  <c r="F69" i="1"/>
  <c r="G7" i="2"/>
  <c r="G9" i="2" s="1"/>
  <c r="G186" i="2" s="1"/>
  <c r="G72" i="1"/>
  <c r="CL267" i="2" l="1"/>
  <c r="CL269" i="2" s="1"/>
  <c r="CK269" i="2"/>
  <c r="G202" i="2"/>
  <c r="G218" i="2" s="1"/>
  <c r="G201" i="2"/>
  <c r="G203" i="2"/>
  <c r="G219" i="2" s="1"/>
  <c r="G196" i="2"/>
  <c r="G197" i="2" s="1"/>
  <c r="G199" i="2"/>
  <c r="G198" i="2"/>
  <c r="G190" i="2"/>
  <c r="G192" i="2" s="1"/>
  <c r="G191" i="2"/>
  <c r="G194" i="2"/>
  <c r="G200" i="2"/>
  <c r="G217" i="2" s="1"/>
  <c r="F192" i="2"/>
  <c r="F193" i="2"/>
  <c r="F216" i="2" s="1"/>
  <c r="G37" i="2"/>
  <c r="G39" i="2"/>
  <c r="G40" i="2" s="1"/>
  <c r="F118" i="1"/>
  <c r="F166" i="1"/>
  <c r="F71" i="1"/>
  <c r="H72" i="1"/>
  <c r="L212" i="2"/>
  <c r="H183" i="2"/>
  <c r="H7" i="2"/>
  <c r="H9" i="2" s="1"/>
  <c r="H186" i="2" s="1"/>
  <c r="CM267" i="2" l="1"/>
  <c r="CM269" i="2" s="1"/>
  <c r="H194" i="2"/>
  <c r="H203" i="2"/>
  <c r="H219" i="2" s="1"/>
  <c r="H196" i="2"/>
  <c r="H197" i="2" s="1"/>
  <c r="H198" i="2"/>
  <c r="H201" i="2"/>
  <c r="H199" i="2"/>
  <c r="H191" i="2"/>
  <c r="H202" i="2"/>
  <c r="H218" i="2" s="1"/>
  <c r="H200" i="2"/>
  <c r="H217" i="2" s="1"/>
  <c r="H190" i="2"/>
  <c r="H192" i="2" s="1"/>
  <c r="G193" i="2"/>
  <c r="G216" i="2" s="1"/>
  <c r="G214" i="2"/>
  <c r="G61" i="2"/>
  <c r="G129" i="2"/>
  <c r="G95" i="2"/>
  <c r="H37" i="2"/>
  <c r="H39" i="2"/>
  <c r="H40" i="2" s="1"/>
  <c r="I7" i="2"/>
  <c r="I9" i="2" s="1"/>
  <c r="I186" i="2" s="1"/>
  <c r="I72" i="1"/>
  <c r="M212" i="2"/>
  <c r="I183" i="2"/>
  <c r="CN267" i="2" l="1"/>
  <c r="CN269" i="2" s="1"/>
  <c r="I200" i="2"/>
  <c r="I217" i="2" s="1"/>
  <c r="I203" i="2"/>
  <c r="I219" i="2" s="1"/>
  <c r="I202" i="2"/>
  <c r="I218" i="2" s="1"/>
  <c r="I198" i="2"/>
  <c r="I199" i="2"/>
  <c r="I190" i="2"/>
  <c r="I192" i="2" s="1"/>
  <c r="I194" i="2"/>
  <c r="I196" i="2"/>
  <c r="I197" i="2" s="1"/>
  <c r="I201" i="2"/>
  <c r="I191" i="2"/>
  <c r="H214" i="2"/>
  <c r="H193" i="2"/>
  <c r="H216" i="2" s="1"/>
  <c r="H61" i="2"/>
  <c r="H95" i="2"/>
  <c r="H129" i="2"/>
  <c r="I39" i="2"/>
  <c r="I40" i="2" s="1"/>
  <c r="I37" i="2"/>
  <c r="J7" i="2"/>
  <c r="J9" i="2" s="1"/>
  <c r="J186" i="2" s="1"/>
  <c r="J72" i="1"/>
  <c r="N212" i="2"/>
  <c r="J183" i="2"/>
  <c r="CO267" i="2" l="1"/>
  <c r="CO269" i="2" s="1"/>
  <c r="J200" i="2"/>
  <c r="J217" i="2" s="1"/>
  <c r="J196" i="2"/>
  <c r="J197" i="2" s="1"/>
  <c r="J198" i="2"/>
  <c r="J199" i="2"/>
  <c r="J202" i="2"/>
  <c r="J218" i="2" s="1"/>
  <c r="J194" i="2"/>
  <c r="J203" i="2"/>
  <c r="J219" i="2" s="1"/>
  <c r="J201" i="2"/>
  <c r="J190" i="2"/>
  <c r="J192" i="2" s="1"/>
  <c r="J191" i="2"/>
  <c r="I214" i="2"/>
  <c r="I193" i="2"/>
  <c r="I216" i="2" s="1"/>
  <c r="I61" i="2"/>
  <c r="I129" i="2"/>
  <c r="I95" i="2"/>
  <c r="J37" i="2"/>
  <c r="J39" i="2"/>
  <c r="J40" i="2" s="1"/>
  <c r="K7" i="2"/>
  <c r="K9" i="2" s="1"/>
  <c r="K186" i="2" s="1"/>
  <c r="K72" i="1"/>
  <c r="O212" i="2"/>
  <c r="K183" i="2"/>
  <c r="CP267" i="2" l="1"/>
  <c r="CP269" i="2" s="1"/>
  <c r="J61" i="2"/>
  <c r="K201" i="2"/>
  <c r="K203" i="2"/>
  <c r="K219" i="2" s="1"/>
  <c r="K199" i="2"/>
  <c r="K200" i="2"/>
  <c r="K217" i="2" s="1"/>
  <c r="K198" i="2"/>
  <c r="K194" i="2"/>
  <c r="K190" i="2"/>
  <c r="K192" i="2" s="1"/>
  <c r="K196" i="2"/>
  <c r="K197" i="2" s="1"/>
  <c r="K191" i="2"/>
  <c r="K202" i="2"/>
  <c r="K218" i="2" s="1"/>
  <c r="J193" i="2"/>
  <c r="J216" i="2" s="1"/>
  <c r="J214" i="2"/>
  <c r="J95" i="2"/>
  <c r="J129" i="2"/>
  <c r="K37" i="2"/>
  <c r="K61" i="2" s="1"/>
  <c r="K39" i="2"/>
  <c r="K40" i="2" s="1"/>
  <c r="CQ267" i="2"/>
  <c r="CQ269" i="2" s="1"/>
  <c r="L7" i="2"/>
  <c r="L9" i="2" s="1"/>
  <c r="L186" i="2" s="1"/>
  <c r="L72" i="1"/>
  <c r="P212" i="2"/>
  <c r="L183" i="2"/>
  <c r="K193" i="2" l="1"/>
  <c r="K216" i="2" s="1"/>
  <c r="K214" i="2"/>
  <c r="L201" i="2"/>
  <c r="L202" i="2"/>
  <c r="L218" i="2" s="1"/>
  <c r="L198" i="2"/>
  <c r="L194" i="2"/>
  <c r="L199" i="2"/>
  <c r="L203" i="2"/>
  <c r="L219" i="2" s="1"/>
  <c r="L196" i="2"/>
  <c r="L197" i="2" s="1"/>
  <c r="L200" i="2"/>
  <c r="L217" i="2" s="1"/>
  <c r="L190" i="2"/>
  <c r="L192" i="2" s="1"/>
  <c r="L191" i="2"/>
  <c r="K95" i="2"/>
  <c r="K129" i="2"/>
  <c r="L39" i="2"/>
  <c r="L40" i="2" s="1"/>
  <c r="L37" i="2"/>
  <c r="L61" i="2" s="1"/>
  <c r="CR267" i="2"/>
  <c r="CR269" i="2" s="1"/>
  <c r="M7" i="2"/>
  <c r="M9" i="2" s="1"/>
  <c r="M186" i="2" s="1"/>
  <c r="M72" i="1"/>
  <c r="N72" i="1" s="1"/>
  <c r="Q212" i="2"/>
  <c r="M183" i="2"/>
  <c r="L193" i="2" l="1"/>
  <c r="L216" i="2" s="1"/>
  <c r="L214" i="2"/>
  <c r="M202" i="2"/>
  <c r="M218" i="2" s="1"/>
  <c r="M199" i="2"/>
  <c r="M200" i="2"/>
  <c r="M217" i="2" s="1"/>
  <c r="M201" i="2"/>
  <c r="M194" i="2"/>
  <c r="M190" i="2"/>
  <c r="M192" i="2" s="1"/>
  <c r="M203" i="2"/>
  <c r="M219" i="2" s="1"/>
  <c r="M196" i="2"/>
  <c r="M197" i="2" s="1"/>
  <c r="M191" i="2"/>
  <c r="M198" i="2"/>
  <c r="L129" i="2"/>
  <c r="L95" i="2"/>
  <c r="M39" i="2"/>
  <c r="M40" i="2" s="1"/>
  <c r="M37" i="2"/>
  <c r="M61" i="2" s="1"/>
  <c r="CS267" i="2"/>
  <c r="CS269" i="2" s="1"/>
  <c r="N7" i="2"/>
  <c r="N9" i="2" s="1"/>
  <c r="N186" i="2" s="1"/>
  <c r="R212" i="2"/>
  <c r="N183" i="2"/>
  <c r="D145" i="2"/>
  <c r="F145" i="2"/>
  <c r="D35" i="2"/>
  <c r="N202" i="2" l="1"/>
  <c r="N218" i="2" s="1"/>
  <c r="N203" i="2"/>
  <c r="N219" i="2" s="1"/>
  <c r="N194" i="2"/>
  <c r="N196" i="2"/>
  <c r="N197" i="2" s="1"/>
  <c r="N190" i="2"/>
  <c r="N192" i="2" s="1"/>
  <c r="N191" i="2"/>
  <c r="N200" i="2"/>
  <c r="N217" i="2" s="1"/>
  <c r="N201" i="2"/>
  <c r="N198" i="2"/>
  <c r="N199" i="2"/>
  <c r="M193" i="2"/>
  <c r="M216" i="2" s="1"/>
  <c r="M214" i="2"/>
  <c r="F159" i="2"/>
  <c r="F148" i="2"/>
  <c r="F158" i="2"/>
  <c r="F157" i="2"/>
  <c r="F153" i="2"/>
  <c r="M95" i="2"/>
  <c r="M129" i="2"/>
  <c r="N37" i="2"/>
  <c r="N61" i="2" s="1"/>
  <c r="N39" i="2"/>
  <c r="N40" i="2" s="1"/>
  <c r="CT267" i="2"/>
  <c r="CT269" i="2" s="1"/>
  <c r="O7" i="2"/>
  <c r="O9" i="2" s="1"/>
  <c r="O186" i="2" s="1"/>
  <c r="S212" i="2"/>
  <c r="O183" i="2"/>
  <c r="G145" i="2"/>
  <c r="F35" i="2"/>
  <c r="F5" i="2"/>
  <c r="N193" i="2" l="1"/>
  <c r="N216" i="2" s="1"/>
  <c r="N214" i="2"/>
  <c r="O203" i="2"/>
  <c r="O219" i="2" s="1"/>
  <c r="O200" i="2"/>
  <c r="O217" i="2" s="1"/>
  <c r="O201" i="2"/>
  <c r="O202" i="2"/>
  <c r="O218" i="2" s="1"/>
  <c r="O194" i="2"/>
  <c r="O196" i="2"/>
  <c r="O197" i="2" s="1"/>
  <c r="O190" i="2"/>
  <c r="O192" i="2" s="1"/>
  <c r="O191" i="2"/>
  <c r="O198" i="2"/>
  <c r="O199" i="2"/>
  <c r="F177" i="2"/>
  <c r="F180" i="2" s="1"/>
  <c r="F172" i="2"/>
  <c r="F215" i="2" s="1"/>
  <c r="F220" i="2" s="1"/>
  <c r="F173" i="2"/>
  <c r="F171" i="2"/>
  <c r="F160" i="2"/>
  <c r="F140" i="2"/>
  <c r="F139" i="2"/>
  <c r="F137" i="2"/>
  <c r="F138" i="2"/>
  <c r="F131" i="2"/>
  <c r="F135" i="2" s="1"/>
  <c r="F108" i="2"/>
  <c r="F103" i="2"/>
  <c r="F106" i="2"/>
  <c r="F130" i="2"/>
  <c r="F134" i="2" s="1"/>
  <c r="F132" i="2"/>
  <c r="F136" i="2" s="1"/>
  <c r="F82" i="2"/>
  <c r="F96" i="2"/>
  <c r="F100" i="2" s="1"/>
  <c r="F105" i="2"/>
  <c r="F48" i="2"/>
  <c r="F98" i="2"/>
  <c r="F102" i="2" s="1"/>
  <c r="F104" i="2"/>
  <c r="F97" i="2"/>
  <c r="F101" i="2" s="1"/>
  <c r="F127" i="2"/>
  <c r="F122" i="2"/>
  <c r="F116" i="2"/>
  <c r="F88" i="2"/>
  <c r="F93" i="2"/>
  <c r="F59" i="2"/>
  <c r="F54" i="2"/>
  <c r="G159" i="2"/>
  <c r="G158" i="2"/>
  <c r="G153" i="2"/>
  <c r="G148" i="2"/>
  <c r="G157" i="2"/>
  <c r="N95" i="2"/>
  <c r="N129" i="2"/>
  <c r="F74" i="2"/>
  <c r="F72" i="2"/>
  <c r="F70" i="2"/>
  <c r="F69" i="2"/>
  <c r="F71" i="2"/>
  <c r="O39" i="2"/>
  <c r="O40" i="2" s="1"/>
  <c r="O37" i="2"/>
  <c r="O61" i="2" s="1"/>
  <c r="F62" i="2"/>
  <c r="F66" i="2" s="1"/>
  <c r="F64" i="2"/>
  <c r="F68" i="2" s="1"/>
  <c r="F63" i="2"/>
  <c r="F67" i="2" s="1"/>
  <c r="F30" i="2"/>
  <c r="CU267" i="2"/>
  <c r="CU269" i="2" s="1"/>
  <c r="P7" i="2"/>
  <c r="P9" i="2" s="1"/>
  <c r="P186" i="2" s="1"/>
  <c r="C48" i="1"/>
  <c r="C43" i="1"/>
  <c r="C53" i="1"/>
  <c r="T212" i="2"/>
  <c r="P183" i="2"/>
  <c r="G5" i="2"/>
  <c r="F8" i="2"/>
  <c r="H145" i="2"/>
  <c r="G35" i="2"/>
  <c r="G48" i="2" s="1"/>
  <c r="F179" i="2" l="1"/>
  <c r="F181" i="2" s="1"/>
  <c r="O193" i="2"/>
  <c r="O216" i="2" s="1"/>
  <c r="O214" i="2"/>
  <c r="P203" i="2"/>
  <c r="P219" i="2" s="1"/>
  <c r="P200" i="2"/>
  <c r="P217" i="2" s="1"/>
  <c r="P196" i="2"/>
  <c r="P197" i="2" s="1"/>
  <c r="P198" i="2"/>
  <c r="P194" i="2"/>
  <c r="P190" i="2"/>
  <c r="P192" i="2" s="1"/>
  <c r="P191" i="2"/>
  <c r="P201" i="2"/>
  <c r="P199" i="2"/>
  <c r="P202" i="2"/>
  <c r="P218" i="2" s="1"/>
  <c r="G30" i="2"/>
  <c r="G171" i="2"/>
  <c r="G172" i="2"/>
  <c r="G173" i="2"/>
  <c r="G177" i="2"/>
  <c r="F150" i="2"/>
  <c r="F149" i="2"/>
  <c r="F151" i="2"/>
  <c r="G160" i="2"/>
  <c r="O95" i="2"/>
  <c r="G93" i="2"/>
  <c r="G54" i="2"/>
  <c r="O129" i="2"/>
  <c r="G116" i="2"/>
  <c r="G140" i="2"/>
  <c r="G131" i="2"/>
  <c r="G135" i="2" s="1"/>
  <c r="G139" i="2"/>
  <c r="G137" i="2"/>
  <c r="G138" i="2"/>
  <c r="G106" i="2"/>
  <c r="G132" i="2"/>
  <c r="G136" i="2" s="1"/>
  <c r="G130" i="2"/>
  <c r="G134" i="2" s="1"/>
  <c r="G103" i="2"/>
  <c r="G108" i="2"/>
  <c r="G96" i="2"/>
  <c r="G100" i="2" s="1"/>
  <c r="G105" i="2"/>
  <c r="G98" i="2"/>
  <c r="G102" i="2" s="1"/>
  <c r="G104" i="2"/>
  <c r="G97" i="2"/>
  <c r="G101" i="2" s="1"/>
  <c r="H159" i="2"/>
  <c r="H158" i="2"/>
  <c r="H157" i="2"/>
  <c r="H153" i="2"/>
  <c r="H148" i="2"/>
  <c r="F142" i="2"/>
  <c r="F165" i="2" s="1"/>
  <c r="G88" i="2"/>
  <c r="G127" i="2"/>
  <c r="G82" i="2"/>
  <c r="G122" i="2"/>
  <c r="G59" i="2"/>
  <c r="G74" i="2"/>
  <c r="G72" i="2"/>
  <c r="G70" i="2"/>
  <c r="G71" i="2"/>
  <c r="G69" i="2"/>
  <c r="P39" i="2"/>
  <c r="P40" i="2" s="1"/>
  <c r="P37" i="2"/>
  <c r="P61" i="2" s="1"/>
  <c r="G64" i="2"/>
  <c r="G68" i="2" s="1"/>
  <c r="G63" i="2"/>
  <c r="G67" i="2" s="1"/>
  <c r="G62" i="2"/>
  <c r="G66" i="2" s="1"/>
  <c r="CV267" i="2"/>
  <c r="CV269" i="2" s="1"/>
  <c r="Q7" i="2"/>
  <c r="Q9" i="2" s="1"/>
  <c r="Q186" i="2" s="1"/>
  <c r="U212" i="2"/>
  <c r="Q183" i="2"/>
  <c r="H5" i="2"/>
  <c r="G8" i="2"/>
  <c r="I145" i="2"/>
  <c r="H35" i="2"/>
  <c r="H122" i="2" s="1"/>
  <c r="G215" i="2" l="1"/>
  <c r="G220" i="2" s="1"/>
  <c r="F166" i="2"/>
  <c r="G180" i="2"/>
  <c r="G179" i="2"/>
  <c r="P193" i="2"/>
  <c r="P216" i="2" s="1"/>
  <c r="P214" i="2"/>
  <c r="Q201" i="2"/>
  <c r="Q200" i="2"/>
  <c r="Q217" i="2" s="1"/>
  <c r="Q194" i="2"/>
  <c r="Q202" i="2"/>
  <c r="Q218" i="2" s="1"/>
  <c r="Q203" i="2"/>
  <c r="Q219" i="2" s="1"/>
  <c r="Q199" i="2"/>
  <c r="Q190" i="2"/>
  <c r="Q192" i="2" s="1"/>
  <c r="Q196" i="2"/>
  <c r="Q197" i="2" s="1"/>
  <c r="Q191" i="2"/>
  <c r="Q198" i="2"/>
  <c r="H171" i="2"/>
  <c r="H172" i="2"/>
  <c r="H215" i="2" s="1"/>
  <c r="H220" i="2" s="1"/>
  <c r="H173" i="2"/>
  <c r="H177" i="2"/>
  <c r="H180" i="2" s="1"/>
  <c r="G151" i="2"/>
  <c r="F152" i="2"/>
  <c r="F154" i="2" s="1"/>
  <c r="F162" i="2" s="1"/>
  <c r="F163" i="2" s="1"/>
  <c r="H82" i="2"/>
  <c r="H160" i="2"/>
  <c r="H59" i="2"/>
  <c r="H127" i="2"/>
  <c r="H116" i="2"/>
  <c r="H93" i="2"/>
  <c r="H54" i="2"/>
  <c r="P129" i="2"/>
  <c r="G149" i="2"/>
  <c r="G142" i="2"/>
  <c r="G165" i="2" s="1"/>
  <c r="H88" i="2"/>
  <c r="G150" i="2"/>
  <c r="H140" i="2"/>
  <c r="H139" i="2"/>
  <c r="H137" i="2"/>
  <c r="H138" i="2"/>
  <c r="H105" i="2"/>
  <c r="H108" i="2"/>
  <c r="H103" i="2"/>
  <c r="H132" i="2"/>
  <c r="H136" i="2" s="1"/>
  <c r="H106" i="2"/>
  <c r="H96" i="2"/>
  <c r="H100" i="2" s="1"/>
  <c r="H131" i="2"/>
  <c r="H135" i="2" s="1"/>
  <c r="H130" i="2"/>
  <c r="H134" i="2" s="1"/>
  <c r="H98" i="2"/>
  <c r="H102" i="2" s="1"/>
  <c r="H104" i="2"/>
  <c r="H97" i="2"/>
  <c r="H101" i="2" s="1"/>
  <c r="H48" i="2"/>
  <c r="P95" i="2"/>
  <c r="I159" i="2"/>
  <c r="I158" i="2"/>
  <c r="I153" i="2"/>
  <c r="I157" i="2"/>
  <c r="I148" i="2"/>
  <c r="H74" i="2"/>
  <c r="H72" i="2"/>
  <c r="H70" i="2"/>
  <c r="H69" i="2"/>
  <c r="H71" i="2"/>
  <c r="H64" i="2"/>
  <c r="H68" i="2" s="1"/>
  <c r="H63" i="2"/>
  <c r="H67" i="2" s="1"/>
  <c r="H62" i="2"/>
  <c r="H66" i="2" s="1"/>
  <c r="Q39" i="2"/>
  <c r="Q40" i="2" s="1"/>
  <c r="Q37" i="2"/>
  <c r="Q61" i="2" s="1"/>
  <c r="H30" i="2"/>
  <c r="CW267" i="2"/>
  <c r="CW269" i="2" s="1"/>
  <c r="M174" i="1" s="1"/>
  <c r="R7" i="2"/>
  <c r="R9" i="2" s="1"/>
  <c r="R186" i="2" s="1"/>
  <c r="V212" i="2"/>
  <c r="R183" i="2"/>
  <c r="I5" i="2"/>
  <c r="H8" i="2"/>
  <c r="I35" i="2"/>
  <c r="I88" i="2" s="1"/>
  <c r="J145" i="2"/>
  <c r="G181" i="2" l="1"/>
  <c r="F143" i="2"/>
  <c r="G166" i="2" s="1"/>
  <c r="H179" i="2"/>
  <c r="H181" i="2" s="1"/>
  <c r="Q193" i="2"/>
  <c r="Q216" i="2" s="1"/>
  <c r="Q214" i="2"/>
  <c r="R200" i="2"/>
  <c r="R217" i="2" s="1"/>
  <c r="R194" i="2"/>
  <c r="R201" i="2"/>
  <c r="R198" i="2"/>
  <c r="R190" i="2"/>
  <c r="R192" i="2" s="1"/>
  <c r="R196" i="2"/>
  <c r="R197" i="2" s="1"/>
  <c r="R191" i="2"/>
  <c r="R203" i="2"/>
  <c r="R219" i="2" s="1"/>
  <c r="R199" i="2"/>
  <c r="R202" i="2"/>
  <c r="R218" i="2" s="1"/>
  <c r="I171" i="2"/>
  <c r="I172" i="2"/>
  <c r="I215" i="2" s="1"/>
  <c r="I220" i="2" s="1"/>
  <c r="I173" i="2"/>
  <c r="I177" i="2"/>
  <c r="I180" i="2" s="1"/>
  <c r="F168" i="2"/>
  <c r="F269" i="2" s="1"/>
  <c r="H150" i="2"/>
  <c r="I160" i="2"/>
  <c r="G152" i="2"/>
  <c r="G154" i="2" s="1"/>
  <c r="G162" i="2" s="1"/>
  <c r="I93" i="2"/>
  <c r="I59" i="2"/>
  <c r="J153" i="2"/>
  <c r="J159" i="2"/>
  <c r="J157" i="2"/>
  <c r="J148" i="2"/>
  <c r="J158" i="2"/>
  <c r="I127" i="2"/>
  <c r="H151" i="2"/>
  <c r="I138" i="2"/>
  <c r="I140" i="2"/>
  <c r="I105" i="2"/>
  <c r="I139" i="2"/>
  <c r="I137" i="2"/>
  <c r="I131" i="2"/>
  <c r="I135" i="2" s="1"/>
  <c r="I106" i="2"/>
  <c r="I132" i="2"/>
  <c r="I136" i="2" s="1"/>
  <c r="I96" i="2"/>
  <c r="I100" i="2" s="1"/>
  <c r="I108" i="2"/>
  <c r="I104" i="2"/>
  <c r="I98" i="2"/>
  <c r="I102" i="2" s="1"/>
  <c r="I97" i="2"/>
  <c r="I101" i="2" s="1"/>
  <c r="I103" i="2"/>
  <c r="I130" i="2"/>
  <c r="I134" i="2" s="1"/>
  <c r="I82" i="2"/>
  <c r="Q95" i="2"/>
  <c r="I48" i="2"/>
  <c r="Q129" i="2"/>
  <c r="H142" i="2"/>
  <c r="H165" i="2" s="1"/>
  <c r="I116" i="2"/>
  <c r="H149" i="2"/>
  <c r="I122" i="2"/>
  <c r="I54" i="2"/>
  <c r="I74" i="2"/>
  <c r="I72" i="2"/>
  <c r="I70" i="2"/>
  <c r="I71" i="2"/>
  <c r="I69" i="2"/>
  <c r="I64" i="2"/>
  <c r="I68" i="2" s="1"/>
  <c r="I63" i="2"/>
  <c r="I67" i="2" s="1"/>
  <c r="I62" i="2"/>
  <c r="I66" i="2" s="1"/>
  <c r="R39" i="2"/>
  <c r="R40" i="2" s="1"/>
  <c r="R37" i="2"/>
  <c r="R61" i="2" s="1"/>
  <c r="I30" i="2"/>
  <c r="S7" i="2"/>
  <c r="S9" i="2" s="1"/>
  <c r="S186" i="2" s="1"/>
  <c r="W212" i="2"/>
  <c r="S183" i="2"/>
  <c r="J5" i="2"/>
  <c r="I8" i="2"/>
  <c r="J35" i="2"/>
  <c r="J59" i="2" s="1"/>
  <c r="K145" i="2"/>
  <c r="G143" i="2" l="1"/>
  <c r="H166" i="2" s="1"/>
  <c r="H143" i="2" s="1"/>
  <c r="I179" i="2"/>
  <c r="R193" i="2"/>
  <c r="R216" i="2" s="1"/>
  <c r="R214" i="2"/>
  <c r="S202" i="2"/>
  <c r="S218" i="2" s="1"/>
  <c r="S201" i="2"/>
  <c r="S196" i="2"/>
  <c r="S197" i="2" s="1"/>
  <c r="S203" i="2"/>
  <c r="S219" i="2" s="1"/>
  <c r="S199" i="2"/>
  <c r="S190" i="2"/>
  <c r="S192" i="2" s="1"/>
  <c r="S191" i="2"/>
  <c r="S198" i="2"/>
  <c r="S200" i="2"/>
  <c r="S217" i="2" s="1"/>
  <c r="S194" i="2"/>
  <c r="I181" i="2"/>
  <c r="J171" i="2"/>
  <c r="J172" i="2"/>
  <c r="J173" i="2"/>
  <c r="J177" i="2"/>
  <c r="G163" i="2"/>
  <c r="F169" i="2"/>
  <c r="F175" i="2"/>
  <c r="F195" i="2" s="1"/>
  <c r="I151" i="2"/>
  <c r="G168" i="2"/>
  <c r="G269" i="2" s="1"/>
  <c r="I142" i="2"/>
  <c r="I165" i="2" s="1"/>
  <c r="R95" i="2"/>
  <c r="J122" i="2"/>
  <c r="H152" i="2"/>
  <c r="H154" i="2" s="1"/>
  <c r="H162" i="2" s="1"/>
  <c r="J30" i="2"/>
  <c r="J127" i="2"/>
  <c r="J138" i="2"/>
  <c r="J132" i="2"/>
  <c r="J136" i="2" s="1"/>
  <c r="J140" i="2"/>
  <c r="J139" i="2"/>
  <c r="J105" i="2"/>
  <c r="J104" i="2"/>
  <c r="J130" i="2"/>
  <c r="J134" i="2" s="1"/>
  <c r="J108" i="2"/>
  <c r="J106" i="2"/>
  <c r="J131" i="2"/>
  <c r="J135" i="2" s="1"/>
  <c r="J98" i="2"/>
  <c r="J102" i="2" s="1"/>
  <c r="J97" i="2"/>
  <c r="J101" i="2" s="1"/>
  <c r="J137" i="2"/>
  <c r="J103" i="2"/>
  <c r="J96" i="2"/>
  <c r="J100" i="2" s="1"/>
  <c r="J88" i="2"/>
  <c r="J54" i="2"/>
  <c r="R129" i="2"/>
  <c r="J93" i="2"/>
  <c r="J160" i="2"/>
  <c r="I149" i="2"/>
  <c r="J116" i="2"/>
  <c r="I150" i="2"/>
  <c r="K153" i="2"/>
  <c r="K157" i="2"/>
  <c r="K159" i="2"/>
  <c r="K148" i="2"/>
  <c r="K158" i="2"/>
  <c r="J48" i="2"/>
  <c r="J82" i="2"/>
  <c r="J71" i="2"/>
  <c r="J69" i="2"/>
  <c r="J74" i="2"/>
  <c r="J72" i="2"/>
  <c r="J70" i="2"/>
  <c r="J64" i="2"/>
  <c r="J68" i="2" s="1"/>
  <c r="J63" i="2"/>
  <c r="J67" i="2" s="1"/>
  <c r="J62" i="2"/>
  <c r="J66" i="2" s="1"/>
  <c r="S39" i="2"/>
  <c r="S40" i="2" s="1"/>
  <c r="S37" i="2"/>
  <c r="S61" i="2" s="1"/>
  <c r="T7" i="2"/>
  <c r="T9" i="2" s="1"/>
  <c r="T186" i="2" s="1"/>
  <c r="X212" i="2"/>
  <c r="T183" i="2"/>
  <c r="K5" i="2"/>
  <c r="J8" i="2"/>
  <c r="K35" i="2"/>
  <c r="K48" i="2" s="1"/>
  <c r="L145" i="2"/>
  <c r="I166" i="2" l="1"/>
  <c r="I143" i="2" s="1"/>
  <c r="J179" i="2"/>
  <c r="J215" i="2"/>
  <c r="J220" i="2" s="1"/>
  <c r="J180" i="2"/>
  <c r="S193" i="2"/>
  <c r="S216" i="2" s="1"/>
  <c r="S214" i="2"/>
  <c r="T200" i="2"/>
  <c r="T217" i="2" s="1"/>
  <c r="T194" i="2"/>
  <c r="T201" i="2"/>
  <c r="T196" i="2"/>
  <c r="T197" i="2" s="1"/>
  <c r="T202" i="2"/>
  <c r="T218" i="2" s="1"/>
  <c r="T198" i="2"/>
  <c r="T191" i="2"/>
  <c r="T203" i="2"/>
  <c r="T219" i="2" s="1"/>
  <c r="T199" i="2"/>
  <c r="T190" i="2"/>
  <c r="T192" i="2" s="1"/>
  <c r="K171" i="2"/>
  <c r="K172" i="2"/>
  <c r="K215" i="2" s="1"/>
  <c r="K220" i="2" s="1"/>
  <c r="K173" i="2"/>
  <c r="K179" i="2" s="1"/>
  <c r="K177" i="2"/>
  <c r="G169" i="2"/>
  <c r="G175" i="2"/>
  <c r="G195" i="2" s="1"/>
  <c r="J151" i="2"/>
  <c r="I152" i="2"/>
  <c r="I154" i="2" s="1"/>
  <c r="I162" i="2" s="1"/>
  <c r="S129" i="2"/>
  <c r="S95" i="2"/>
  <c r="J150" i="2"/>
  <c r="K59" i="2"/>
  <c r="K54" i="2"/>
  <c r="K127" i="2"/>
  <c r="K93" i="2"/>
  <c r="K30" i="2"/>
  <c r="K82" i="2"/>
  <c r="K160" i="2"/>
  <c r="K122" i="2"/>
  <c r="K132" i="2"/>
  <c r="K136" i="2" s="1"/>
  <c r="K105" i="2"/>
  <c r="K104" i="2"/>
  <c r="K140" i="2"/>
  <c r="K138" i="2"/>
  <c r="K139" i="2"/>
  <c r="K130" i="2"/>
  <c r="K134" i="2" s="1"/>
  <c r="K108" i="2"/>
  <c r="K131" i="2"/>
  <c r="K135" i="2" s="1"/>
  <c r="K98" i="2"/>
  <c r="K102" i="2" s="1"/>
  <c r="K97" i="2"/>
  <c r="K101" i="2" s="1"/>
  <c r="K137" i="2"/>
  <c r="K103" i="2"/>
  <c r="K96" i="2"/>
  <c r="K100" i="2" s="1"/>
  <c r="K106" i="2"/>
  <c r="J149" i="2"/>
  <c r="K116" i="2"/>
  <c r="L157" i="2"/>
  <c r="L148" i="2"/>
  <c r="L158" i="2"/>
  <c r="L153" i="2"/>
  <c r="L159" i="2"/>
  <c r="J142" i="2"/>
  <c r="J165" i="2" s="1"/>
  <c r="J166" i="2" s="1"/>
  <c r="J143" i="2" s="1"/>
  <c r="K88" i="2"/>
  <c r="H163" i="2"/>
  <c r="H168" i="2"/>
  <c r="H269" i="2" s="1"/>
  <c r="K69" i="2"/>
  <c r="K71" i="2"/>
  <c r="K74" i="2"/>
  <c r="K72" i="2"/>
  <c r="K70" i="2"/>
  <c r="K64" i="2"/>
  <c r="K68" i="2" s="1"/>
  <c r="K63" i="2"/>
  <c r="K67" i="2" s="1"/>
  <c r="K62" i="2"/>
  <c r="K66" i="2" s="1"/>
  <c r="T39" i="2"/>
  <c r="T40" i="2" s="1"/>
  <c r="T37" i="2"/>
  <c r="T61" i="2" s="1"/>
  <c r="U7" i="2"/>
  <c r="U9" i="2" s="1"/>
  <c r="U186" i="2" s="1"/>
  <c r="Y212" i="2"/>
  <c r="U183" i="2"/>
  <c r="L5" i="2"/>
  <c r="K8" i="2"/>
  <c r="L35" i="2"/>
  <c r="L88" i="2" s="1"/>
  <c r="M145" i="2"/>
  <c r="J181" i="2" l="1"/>
  <c r="K180" i="2"/>
  <c r="K181" i="2" s="1"/>
  <c r="U200" i="2"/>
  <c r="U217" i="2" s="1"/>
  <c r="U203" i="2"/>
  <c r="U219" i="2" s="1"/>
  <c r="U202" i="2"/>
  <c r="U218" i="2" s="1"/>
  <c r="U198" i="2"/>
  <c r="U199" i="2"/>
  <c r="U194" i="2"/>
  <c r="U196" i="2"/>
  <c r="U197" i="2" s="1"/>
  <c r="U201" i="2"/>
  <c r="U190" i="2"/>
  <c r="U192" i="2" s="1"/>
  <c r="U191" i="2"/>
  <c r="T193" i="2"/>
  <c r="T216" i="2" s="1"/>
  <c r="T214" i="2"/>
  <c r="L171" i="2"/>
  <c r="L172" i="2"/>
  <c r="L215" i="2" s="1"/>
  <c r="L220" i="2" s="1"/>
  <c r="L173" i="2"/>
  <c r="L179" i="2" s="1"/>
  <c r="L177" i="2"/>
  <c r="H169" i="2"/>
  <c r="H175" i="2"/>
  <c r="H195" i="2" s="1"/>
  <c r="I168" i="2"/>
  <c r="I269" i="2" s="1"/>
  <c r="J152" i="2"/>
  <c r="J154" i="2" s="1"/>
  <c r="J162" i="2" s="1"/>
  <c r="J163" i="2" s="1"/>
  <c r="K151" i="2"/>
  <c r="I163" i="2"/>
  <c r="K150" i="2"/>
  <c r="K149" i="2"/>
  <c r="L122" i="2"/>
  <c r="L54" i="2"/>
  <c r="K142" i="2"/>
  <c r="K165" i="2" s="1"/>
  <c r="K166" i="2" s="1"/>
  <c r="K143" i="2" s="1"/>
  <c r="L59" i="2"/>
  <c r="M157" i="2"/>
  <c r="M159" i="2"/>
  <c r="M148" i="2"/>
  <c r="M158" i="2"/>
  <c r="M153" i="2"/>
  <c r="L139" i="2"/>
  <c r="L138" i="2"/>
  <c r="L140" i="2"/>
  <c r="L130" i="2"/>
  <c r="L134" i="2" s="1"/>
  <c r="L108" i="2"/>
  <c r="L137" i="2"/>
  <c r="L132" i="2"/>
  <c r="L136" i="2" s="1"/>
  <c r="L131" i="2"/>
  <c r="L135" i="2" s="1"/>
  <c r="L106" i="2"/>
  <c r="L98" i="2"/>
  <c r="L102" i="2" s="1"/>
  <c r="L97" i="2"/>
  <c r="L101" i="2" s="1"/>
  <c r="L105" i="2"/>
  <c r="L104" i="2"/>
  <c r="L103" i="2"/>
  <c r="L96" i="2"/>
  <c r="L100" i="2" s="1"/>
  <c r="L93" i="2"/>
  <c r="L116" i="2"/>
  <c r="L48" i="2"/>
  <c r="L160" i="2"/>
  <c r="L127" i="2"/>
  <c r="T95" i="2"/>
  <c r="T129" i="2"/>
  <c r="L82" i="2"/>
  <c r="L71" i="2"/>
  <c r="L69" i="2"/>
  <c r="L74" i="2"/>
  <c r="L70" i="2"/>
  <c r="L72" i="2"/>
  <c r="U39" i="2"/>
  <c r="U40" i="2" s="1"/>
  <c r="U37" i="2"/>
  <c r="U61" i="2" s="1"/>
  <c r="L64" i="2"/>
  <c r="L68" i="2" s="1"/>
  <c r="L63" i="2"/>
  <c r="L67" i="2" s="1"/>
  <c r="L62" i="2"/>
  <c r="L66" i="2" s="1"/>
  <c r="L30" i="2"/>
  <c r="V7" i="2"/>
  <c r="V9" i="2" s="1"/>
  <c r="V186" i="2" s="1"/>
  <c r="Z212" i="2"/>
  <c r="V183" i="2"/>
  <c r="M5" i="2"/>
  <c r="L8" i="2"/>
  <c r="M35" i="2"/>
  <c r="M122" i="2" s="1"/>
  <c r="N145" i="2"/>
  <c r="L180" i="2" l="1"/>
  <c r="L181" i="2" s="1"/>
  <c r="U214" i="2"/>
  <c r="U193" i="2"/>
  <c r="U216" i="2" s="1"/>
  <c r="V200" i="2"/>
  <c r="V217" i="2" s="1"/>
  <c r="V201" i="2"/>
  <c r="V196" i="2"/>
  <c r="V197" i="2" s="1"/>
  <c r="V202" i="2"/>
  <c r="V218" i="2" s="1"/>
  <c r="V198" i="2"/>
  <c r="V199" i="2"/>
  <c r="V203" i="2"/>
  <c r="V219" i="2" s="1"/>
  <c r="V194" i="2"/>
  <c r="V190" i="2"/>
  <c r="V192" i="2" s="1"/>
  <c r="V191" i="2"/>
  <c r="L151" i="2"/>
  <c r="M30" i="2"/>
  <c r="M171" i="2"/>
  <c r="M172" i="2"/>
  <c r="M215" i="2" s="1"/>
  <c r="M220" i="2" s="1"/>
  <c r="M173" i="2"/>
  <c r="M179" i="2" s="1"/>
  <c r="M177" i="2"/>
  <c r="I169" i="2"/>
  <c r="I175" i="2"/>
  <c r="I195" i="2" s="1"/>
  <c r="J168" i="2"/>
  <c r="J269" i="2" s="1"/>
  <c r="K152" i="2"/>
  <c r="K154" i="2" s="1"/>
  <c r="K162" i="2" s="1"/>
  <c r="L149" i="2"/>
  <c r="M54" i="2"/>
  <c r="U129" i="2"/>
  <c r="M59" i="2"/>
  <c r="M93" i="2"/>
  <c r="L150" i="2"/>
  <c r="U95" i="2"/>
  <c r="M116" i="2"/>
  <c r="M48" i="2"/>
  <c r="M82" i="2"/>
  <c r="N157" i="2"/>
  <c r="N158" i="2"/>
  <c r="N153" i="2"/>
  <c r="N148" i="2"/>
  <c r="N159" i="2"/>
  <c r="M137" i="2"/>
  <c r="M140" i="2"/>
  <c r="M138" i="2"/>
  <c r="M130" i="2"/>
  <c r="M134" i="2" s="1"/>
  <c r="M139" i="2"/>
  <c r="M108" i="2"/>
  <c r="M103" i="2"/>
  <c r="M132" i="2"/>
  <c r="M136" i="2" s="1"/>
  <c r="M131" i="2"/>
  <c r="M135" i="2" s="1"/>
  <c r="M106" i="2"/>
  <c r="M98" i="2"/>
  <c r="M102" i="2" s="1"/>
  <c r="M97" i="2"/>
  <c r="M101" i="2" s="1"/>
  <c r="M105" i="2"/>
  <c r="M104" i="2"/>
  <c r="M96" i="2"/>
  <c r="M100" i="2" s="1"/>
  <c r="L142" i="2"/>
  <c r="L165" i="2" s="1"/>
  <c r="L166" i="2" s="1"/>
  <c r="L143" i="2" s="1"/>
  <c r="M127" i="2"/>
  <c r="M160" i="2"/>
  <c r="M88" i="2"/>
  <c r="M71" i="2"/>
  <c r="M69" i="2"/>
  <c r="M74" i="2"/>
  <c r="M72" i="2"/>
  <c r="M70" i="2"/>
  <c r="M64" i="2"/>
  <c r="M68" i="2" s="1"/>
  <c r="M63" i="2"/>
  <c r="M67" i="2" s="1"/>
  <c r="M62" i="2"/>
  <c r="M66" i="2" s="1"/>
  <c r="V37" i="2"/>
  <c r="V61" i="2" s="1"/>
  <c r="V39" i="2"/>
  <c r="V40" i="2" s="1"/>
  <c r="W7" i="2"/>
  <c r="W9" i="2" s="1"/>
  <c r="W186" i="2" s="1"/>
  <c r="AA212" i="2"/>
  <c r="W183" i="2"/>
  <c r="N5" i="2"/>
  <c r="M8" i="2"/>
  <c r="N35" i="2"/>
  <c r="N127" i="2" s="1"/>
  <c r="O145" i="2"/>
  <c r="M180" i="2" l="1"/>
  <c r="W201" i="2"/>
  <c r="W199" i="2"/>
  <c r="W203" i="2"/>
  <c r="W219" i="2" s="1"/>
  <c r="W196" i="2"/>
  <c r="W197" i="2" s="1"/>
  <c r="W190" i="2"/>
  <c r="W192" i="2" s="1"/>
  <c r="W200" i="2"/>
  <c r="W217" i="2" s="1"/>
  <c r="W198" i="2"/>
  <c r="W194" i="2"/>
  <c r="W202" i="2"/>
  <c r="W218" i="2" s="1"/>
  <c r="W191" i="2"/>
  <c r="V193" i="2"/>
  <c r="V216" i="2" s="1"/>
  <c r="V214" i="2"/>
  <c r="M181" i="2"/>
  <c r="M151" i="2"/>
  <c r="N30" i="2"/>
  <c r="N171" i="2"/>
  <c r="N172" i="2"/>
  <c r="N215" i="2" s="1"/>
  <c r="N220" i="2" s="1"/>
  <c r="N173" i="2"/>
  <c r="N179" i="2" s="1"/>
  <c r="N177" i="2"/>
  <c r="N180" i="2" s="1"/>
  <c r="K168" i="2"/>
  <c r="K269" i="2" s="1"/>
  <c r="J169" i="2"/>
  <c r="J175" i="2"/>
  <c r="J195" i="2" s="1"/>
  <c r="K163" i="2"/>
  <c r="M150" i="2"/>
  <c r="L152" i="2"/>
  <c r="L154" i="2" s="1"/>
  <c r="L162" i="2" s="1"/>
  <c r="N48" i="2"/>
  <c r="M149" i="2"/>
  <c r="N88" i="2"/>
  <c r="M142" i="2"/>
  <c r="M165" i="2" s="1"/>
  <c r="M166" i="2" s="1"/>
  <c r="M143" i="2" s="1"/>
  <c r="N93" i="2"/>
  <c r="N59" i="2"/>
  <c r="V95" i="2"/>
  <c r="O159" i="2"/>
  <c r="O158" i="2"/>
  <c r="O157" i="2"/>
  <c r="O153" i="2"/>
  <c r="O148" i="2"/>
  <c r="N140" i="2"/>
  <c r="N139" i="2"/>
  <c r="N137" i="2"/>
  <c r="N108" i="2"/>
  <c r="N103" i="2"/>
  <c r="N132" i="2"/>
  <c r="N136" i="2" s="1"/>
  <c r="N131" i="2"/>
  <c r="N135" i="2" s="1"/>
  <c r="N106" i="2"/>
  <c r="N105" i="2"/>
  <c r="N104" i="2"/>
  <c r="N138" i="2"/>
  <c r="N96" i="2"/>
  <c r="N100" i="2" s="1"/>
  <c r="N98" i="2"/>
  <c r="N102" i="2" s="1"/>
  <c r="N97" i="2"/>
  <c r="N101" i="2" s="1"/>
  <c r="N130" i="2"/>
  <c r="N134" i="2" s="1"/>
  <c r="N122" i="2"/>
  <c r="N160" i="2"/>
  <c r="N116" i="2"/>
  <c r="N82" i="2"/>
  <c r="V129" i="2"/>
  <c r="N54" i="2"/>
  <c r="N74" i="2"/>
  <c r="N72" i="2"/>
  <c r="N70" i="2"/>
  <c r="N71" i="2"/>
  <c r="N69" i="2"/>
  <c r="N64" i="2"/>
  <c r="N68" i="2" s="1"/>
  <c r="N63" i="2"/>
  <c r="N67" i="2" s="1"/>
  <c r="N62" i="2"/>
  <c r="N66" i="2" s="1"/>
  <c r="W39" i="2"/>
  <c r="W40" i="2" s="1"/>
  <c r="W37" i="2"/>
  <c r="W61" i="2" s="1"/>
  <c r="X7" i="2"/>
  <c r="X9" i="2" s="1"/>
  <c r="X186" i="2" s="1"/>
  <c r="AB212" i="2"/>
  <c r="X183" i="2"/>
  <c r="O5" i="2"/>
  <c r="N8" i="2"/>
  <c r="O35" i="2"/>
  <c r="O59" i="2" s="1"/>
  <c r="P145" i="2"/>
  <c r="M152" i="2" l="1"/>
  <c r="M154" i="2" s="1"/>
  <c r="M162" i="2" s="1"/>
  <c r="M168" i="2" s="1"/>
  <c r="M269" i="2" s="1"/>
  <c r="W193" i="2"/>
  <c r="W216" i="2" s="1"/>
  <c r="W214" i="2"/>
  <c r="X201" i="2"/>
  <c r="X202" i="2"/>
  <c r="X218" i="2" s="1"/>
  <c r="X198" i="2"/>
  <c r="X203" i="2"/>
  <c r="X219" i="2" s="1"/>
  <c r="X194" i="2"/>
  <c r="X191" i="2"/>
  <c r="X200" i="2"/>
  <c r="X217" i="2" s="1"/>
  <c r="X196" i="2"/>
  <c r="X197" i="2" s="1"/>
  <c r="X199" i="2"/>
  <c r="X190" i="2"/>
  <c r="X192" i="2" s="1"/>
  <c r="N181" i="2"/>
  <c r="O30" i="2"/>
  <c r="O172" i="2"/>
  <c r="O215" i="2" s="1"/>
  <c r="O220" i="2" s="1"/>
  <c r="O173" i="2"/>
  <c r="O179" i="2" s="1"/>
  <c r="O177" i="2"/>
  <c r="O180" i="2" s="1"/>
  <c r="O171" i="2"/>
  <c r="L163" i="2"/>
  <c r="L168" i="2"/>
  <c r="L269" i="2" s="1"/>
  <c r="K169" i="2"/>
  <c r="K175" i="2"/>
  <c r="K195" i="2" s="1"/>
  <c r="N149" i="2"/>
  <c r="O116" i="2"/>
  <c r="N151" i="2"/>
  <c r="O48" i="2"/>
  <c r="W95" i="2"/>
  <c r="O140" i="2"/>
  <c r="O131" i="2"/>
  <c r="O135" i="2" s="1"/>
  <c r="O139" i="2"/>
  <c r="O137" i="2"/>
  <c r="O138" i="2"/>
  <c r="O132" i="2"/>
  <c r="O136" i="2" s="1"/>
  <c r="O106" i="2"/>
  <c r="O130" i="2"/>
  <c r="O134" i="2" s="1"/>
  <c r="O105" i="2"/>
  <c r="O104" i="2"/>
  <c r="O96" i="2"/>
  <c r="O100" i="2" s="1"/>
  <c r="O103" i="2"/>
  <c r="O97" i="2"/>
  <c r="O101" i="2" s="1"/>
  <c r="O108" i="2"/>
  <c r="O98" i="2"/>
  <c r="O102" i="2" s="1"/>
  <c r="O122" i="2"/>
  <c r="P159" i="2"/>
  <c r="P158" i="2"/>
  <c r="P153" i="2"/>
  <c r="P148" i="2"/>
  <c r="P157" i="2"/>
  <c r="W129" i="2"/>
  <c r="O88" i="2"/>
  <c r="O54" i="2"/>
  <c r="N142" i="2"/>
  <c r="N165" i="2" s="1"/>
  <c r="N166" i="2" s="1"/>
  <c r="N143" i="2" s="1"/>
  <c r="O127" i="2"/>
  <c r="O82" i="2"/>
  <c r="N150" i="2"/>
  <c r="O93" i="2"/>
  <c r="O160" i="2"/>
  <c r="O74" i="2"/>
  <c r="O72" i="2"/>
  <c r="O70" i="2"/>
  <c r="O71" i="2"/>
  <c r="O69" i="2"/>
  <c r="O64" i="2"/>
  <c r="O68" i="2" s="1"/>
  <c r="O63" i="2"/>
  <c r="O67" i="2" s="1"/>
  <c r="O62" i="2"/>
  <c r="O66" i="2" s="1"/>
  <c r="X39" i="2"/>
  <c r="X40" i="2" s="1"/>
  <c r="X37" i="2"/>
  <c r="X61" i="2" s="1"/>
  <c r="Y7" i="2"/>
  <c r="Y9" i="2" s="1"/>
  <c r="Y186" i="2" s="1"/>
  <c r="AC212" i="2"/>
  <c r="Y183" i="2"/>
  <c r="P35" i="2"/>
  <c r="P127" i="2" s="1"/>
  <c r="P5" i="2"/>
  <c r="O8" i="2"/>
  <c r="Q145" i="2"/>
  <c r="M163" i="2" l="1"/>
  <c r="X193" i="2"/>
  <c r="X216" i="2" s="1"/>
  <c r="X214" i="2"/>
  <c r="Y202" i="2"/>
  <c r="Y218" i="2" s="1"/>
  <c r="Y199" i="2"/>
  <c r="Y196" i="2"/>
  <c r="Y197" i="2" s="1"/>
  <c r="Y200" i="2"/>
  <c r="Y217" i="2" s="1"/>
  <c r="Y203" i="2"/>
  <c r="Y219" i="2" s="1"/>
  <c r="Y201" i="2"/>
  <c r="Y198" i="2"/>
  <c r="Y190" i="2"/>
  <c r="Y192" i="2" s="1"/>
  <c r="Y194" i="2"/>
  <c r="Y191" i="2"/>
  <c r="O181" i="2"/>
  <c r="P30" i="2"/>
  <c r="P173" i="2"/>
  <c r="P179" i="2" s="1"/>
  <c r="P177" i="2"/>
  <c r="P180" i="2" s="1"/>
  <c r="P171" i="2"/>
  <c r="P172" i="2"/>
  <c r="P215" i="2" s="1"/>
  <c r="P220" i="2" s="1"/>
  <c r="O151" i="2"/>
  <c r="M169" i="2"/>
  <c r="M175" i="2"/>
  <c r="M195" i="2" s="1"/>
  <c r="L169" i="2"/>
  <c r="L175" i="2"/>
  <c r="L195" i="2" s="1"/>
  <c r="O149" i="2"/>
  <c r="P93" i="2"/>
  <c r="P82" i="2"/>
  <c r="O142" i="2"/>
  <c r="O165" i="2" s="1"/>
  <c r="O166" i="2" s="1"/>
  <c r="O143" i="2" s="1"/>
  <c r="P54" i="2"/>
  <c r="O150" i="2"/>
  <c r="P88" i="2"/>
  <c r="P48" i="2"/>
  <c r="X95" i="2"/>
  <c r="P140" i="2"/>
  <c r="P139" i="2"/>
  <c r="P137" i="2"/>
  <c r="P138" i="2"/>
  <c r="P132" i="2"/>
  <c r="P136" i="2" s="1"/>
  <c r="P131" i="2"/>
  <c r="P135" i="2" s="1"/>
  <c r="P105" i="2"/>
  <c r="P108" i="2"/>
  <c r="P96" i="2"/>
  <c r="P100" i="2" s="1"/>
  <c r="P103" i="2"/>
  <c r="P130" i="2"/>
  <c r="P134" i="2" s="1"/>
  <c r="P97" i="2"/>
  <c r="P101" i="2" s="1"/>
  <c r="P106" i="2"/>
  <c r="P104" i="2"/>
  <c r="P98" i="2"/>
  <c r="P102" i="2" s="1"/>
  <c r="X129" i="2"/>
  <c r="P116" i="2"/>
  <c r="P59" i="2"/>
  <c r="Q159" i="2"/>
  <c r="Q158" i="2"/>
  <c r="Q153" i="2"/>
  <c r="Q148" i="2"/>
  <c r="Q157" i="2"/>
  <c r="P160" i="2"/>
  <c r="P122" i="2"/>
  <c r="N152" i="2"/>
  <c r="N154" i="2" s="1"/>
  <c r="N162" i="2" s="1"/>
  <c r="P74" i="2"/>
  <c r="P72" i="2"/>
  <c r="P70" i="2"/>
  <c r="P71" i="2"/>
  <c r="P69" i="2"/>
  <c r="Y39" i="2"/>
  <c r="Y40" i="2" s="1"/>
  <c r="Y37" i="2"/>
  <c r="Y61" i="2" s="1"/>
  <c r="P64" i="2"/>
  <c r="P68" i="2" s="1"/>
  <c r="P63" i="2"/>
  <c r="P67" i="2" s="1"/>
  <c r="P62" i="2"/>
  <c r="P66" i="2" s="1"/>
  <c r="Z7" i="2"/>
  <c r="Z9" i="2" s="1"/>
  <c r="Z186" i="2" s="1"/>
  <c r="AD212" i="2"/>
  <c r="Z183" i="2"/>
  <c r="Q35" i="2"/>
  <c r="Q54" i="2" s="1"/>
  <c r="Q5" i="2"/>
  <c r="P8" i="2"/>
  <c r="R145" i="2"/>
  <c r="Z202" i="2" l="1"/>
  <c r="Z218" i="2" s="1"/>
  <c r="Z203" i="2"/>
  <c r="Z219" i="2" s="1"/>
  <c r="Z199" i="2"/>
  <c r="Z194" i="2"/>
  <c r="Z200" i="2"/>
  <c r="Z217" i="2" s="1"/>
  <c r="Z196" i="2"/>
  <c r="Z197" i="2" s="1"/>
  <c r="Z201" i="2"/>
  <c r="Z198" i="2"/>
  <c r="Z190" i="2"/>
  <c r="Z192" i="2" s="1"/>
  <c r="Z191" i="2"/>
  <c r="Y193" i="2"/>
  <c r="Y216" i="2" s="1"/>
  <c r="Y214" i="2"/>
  <c r="P181" i="2"/>
  <c r="Q30" i="2"/>
  <c r="Q177" i="2"/>
  <c r="Q180" i="2" s="1"/>
  <c r="Q171" i="2"/>
  <c r="Q172" i="2"/>
  <c r="Q215" i="2" s="1"/>
  <c r="Q220" i="2" s="1"/>
  <c r="Q173" i="2"/>
  <c r="Q179" i="2" s="1"/>
  <c r="O152" i="2"/>
  <c r="O154" i="2" s="1"/>
  <c r="O162" i="2" s="1"/>
  <c r="P149" i="2"/>
  <c r="P151" i="2"/>
  <c r="P142" i="2"/>
  <c r="P165" i="2" s="1"/>
  <c r="P166" i="2" s="1"/>
  <c r="P143" i="2" s="1"/>
  <c r="Q122" i="2"/>
  <c r="P150" i="2"/>
  <c r="Y129" i="2"/>
  <c r="Q160" i="2"/>
  <c r="Q127" i="2"/>
  <c r="Q116" i="2"/>
  <c r="R153" i="2"/>
  <c r="R158" i="2"/>
  <c r="R148" i="2"/>
  <c r="R157" i="2"/>
  <c r="R159" i="2"/>
  <c r="Q82" i="2"/>
  <c r="Q59" i="2"/>
  <c r="Y95" i="2"/>
  <c r="Q88" i="2"/>
  <c r="Q138" i="2"/>
  <c r="Q139" i="2"/>
  <c r="Q137" i="2"/>
  <c r="Q140" i="2"/>
  <c r="Q105" i="2"/>
  <c r="Q106" i="2"/>
  <c r="Q131" i="2"/>
  <c r="Q135" i="2" s="1"/>
  <c r="Q96" i="2"/>
  <c r="Q100" i="2" s="1"/>
  <c r="Q103" i="2"/>
  <c r="Q130" i="2"/>
  <c r="Q134" i="2" s="1"/>
  <c r="Q98" i="2"/>
  <c r="Q102" i="2" s="1"/>
  <c r="Q97" i="2"/>
  <c r="Q101" i="2" s="1"/>
  <c r="Q132" i="2"/>
  <c r="Q136" i="2" s="1"/>
  <c r="Q104" i="2"/>
  <c r="Q108" i="2"/>
  <c r="N168" i="2"/>
  <c r="N269" i="2" s="1"/>
  <c r="N163" i="2"/>
  <c r="Q93" i="2"/>
  <c r="Q48" i="2"/>
  <c r="Q74" i="2"/>
  <c r="Q72" i="2"/>
  <c r="Q70" i="2"/>
  <c r="Q71" i="2"/>
  <c r="Q69" i="2"/>
  <c r="Z37" i="2"/>
  <c r="Z61" i="2" s="1"/>
  <c r="Z39" i="2"/>
  <c r="Z40" i="2" s="1"/>
  <c r="Q63" i="2"/>
  <c r="Q67" i="2" s="1"/>
  <c r="Q62" i="2"/>
  <c r="Q66" i="2" s="1"/>
  <c r="Q64" i="2"/>
  <c r="Q68" i="2" s="1"/>
  <c r="AA7" i="2"/>
  <c r="AA9" i="2" s="1"/>
  <c r="AA186" i="2" s="1"/>
  <c r="AE212" i="2"/>
  <c r="AA183" i="2"/>
  <c r="R35" i="2"/>
  <c r="R54" i="2" s="1"/>
  <c r="R5" i="2"/>
  <c r="Q8" i="2"/>
  <c r="S145" i="2"/>
  <c r="Z193" i="2" l="1"/>
  <c r="Z216" i="2" s="1"/>
  <c r="Z214" i="2"/>
  <c r="AA203" i="2"/>
  <c r="AA219" i="2" s="1"/>
  <c r="AA200" i="2"/>
  <c r="AA217" i="2" s="1"/>
  <c r="AA201" i="2"/>
  <c r="AA198" i="2"/>
  <c r="AA194" i="2"/>
  <c r="AA199" i="2"/>
  <c r="AA190" i="2"/>
  <c r="AA192" i="2" s="1"/>
  <c r="AA191" i="2"/>
  <c r="AA202" i="2"/>
  <c r="AA218" i="2" s="1"/>
  <c r="AA196" i="2"/>
  <c r="AA197" i="2" s="1"/>
  <c r="Q181" i="2"/>
  <c r="R30" i="2"/>
  <c r="R171" i="2"/>
  <c r="R172" i="2"/>
  <c r="R173" i="2"/>
  <c r="R177" i="2"/>
  <c r="O168" i="2"/>
  <c r="O269" i="2" s="1"/>
  <c r="N169" i="2"/>
  <c r="N175" i="2"/>
  <c r="N195" i="2" s="1"/>
  <c r="Q150" i="2"/>
  <c r="O163" i="2"/>
  <c r="P152" i="2"/>
  <c r="P154" i="2" s="1"/>
  <c r="P162" i="2" s="1"/>
  <c r="Q149" i="2"/>
  <c r="Q142" i="2"/>
  <c r="Q165" i="2" s="1"/>
  <c r="Q166" i="2" s="1"/>
  <c r="Q143" i="2" s="1"/>
  <c r="R116" i="2"/>
  <c r="R59" i="2"/>
  <c r="S153" i="2"/>
  <c r="S157" i="2"/>
  <c r="S148" i="2"/>
  <c r="S159" i="2"/>
  <c r="S158" i="2"/>
  <c r="Q151" i="2"/>
  <c r="R88" i="2"/>
  <c r="R82" i="2"/>
  <c r="R160" i="2"/>
  <c r="R127" i="2"/>
  <c r="R48" i="2"/>
  <c r="Z95" i="2"/>
  <c r="R122" i="2"/>
  <c r="R140" i="2"/>
  <c r="R138" i="2"/>
  <c r="R132" i="2"/>
  <c r="R136" i="2" s="1"/>
  <c r="R139" i="2"/>
  <c r="R105" i="2"/>
  <c r="R104" i="2"/>
  <c r="R137" i="2"/>
  <c r="R130" i="2"/>
  <c r="R134" i="2" s="1"/>
  <c r="R131" i="2"/>
  <c r="R135" i="2" s="1"/>
  <c r="R103" i="2"/>
  <c r="R98" i="2"/>
  <c r="R102" i="2" s="1"/>
  <c r="R97" i="2"/>
  <c r="R101" i="2" s="1"/>
  <c r="R96" i="2"/>
  <c r="R100" i="2" s="1"/>
  <c r="R106" i="2"/>
  <c r="R108" i="2"/>
  <c r="R93" i="2"/>
  <c r="Z129" i="2"/>
  <c r="R71" i="2"/>
  <c r="R69" i="2"/>
  <c r="R72" i="2"/>
  <c r="R74" i="2"/>
  <c r="R70" i="2"/>
  <c r="R62" i="2"/>
  <c r="R66" i="2" s="1"/>
  <c r="R64" i="2"/>
  <c r="R68" i="2" s="1"/>
  <c r="R63" i="2"/>
  <c r="R67" i="2" s="1"/>
  <c r="AA39" i="2"/>
  <c r="AA40" i="2" s="1"/>
  <c r="AA37" i="2"/>
  <c r="AA61" i="2" s="1"/>
  <c r="AB7" i="2"/>
  <c r="AB9" i="2" s="1"/>
  <c r="AB186" i="2" s="1"/>
  <c r="AF212" i="2"/>
  <c r="AB183" i="2"/>
  <c r="S35" i="2"/>
  <c r="S54" i="2" s="1"/>
  <c r="S5" i="2"/>
  <c r="R8" i="2"/>
  <c r="T145" i="2"/>
  <c r="R180" i="2" l="1"/>
  <c r="F153" i="1" s="1"/>
  <c r="R179" i="2"/>
  <c r="F152" i="1" s="1"/>
  <c r="R215" i="2"/>
  <c r="R220" i="2" s="1"/>
  <c r="AA193" i="2"/>
  <c r="AA216" i="2" s="1"/>
  <c r="AA214" i="2"/>
  <c r="AB203" i="2"/>
  <c r="AB219" i="2" s="1"/>
  <c r="AB196" i="2"/>
  <c r="AB197" i="2" s="1"/>
  <c r="AB201" i="2"/>
  <c r="AB198" i="2"/>
  <c r="AB200" i="2"/>
  <c r="AB217" i="2" s="1"/>
  <c r="AB199" i="2"/>
  <c r="AB190" i="2"/>
  <c r="AB192" i="2" s="1"/>
  <c r="AB202" i="2"/>
  <c r="AB218" i="2" s="1"/>
  <c r="AB191" i="2"/>
  <c r="AB194" i="2"/>
  <c r="R151" i="2"/>
  <c r="S30" i="2"/>
  <c r="S171" i="2"/>
  <c r="S172" i="2"/>
  <c r="S215" i="2" s="1"/>
  <c r="S220" i="2" s="1"/>
  <c r="S173" i="2"/>
  <c r="S177" i="2"/>
  <c r="P168" i="2"/>
  <c r="P269" i="2" s="1"/>
  <c r="O169" i="2"/>
  <c r="O175" i="2"/>
  <c r="O195" i="2" s="1"/>
  <c r="S48" i="2"/>
  <c r="P163" i="2"/>
  <c r="Q152" i="2"/>
  <c r="Q154" i="2" s="1"/>
  <c r="Q162" i="2" s="1"/>
  <c r="R149" i="2"/>
  <c r="R150" i="2"/>
  <c r="S122" i="2"/>
  <c r="S93" i="2"/>
  <c r="S116" i="2"/>
  <c r="AA95" i="2"/>
  <c r="S160" i="2"/>
  <c r="S59" i="2"/>
  <c r="R142" i="2"/>
  <c r="R165" i="2" s="1"/>
  <c r="S88" i="2"/>
  <c r="S82" i="2"/>
  <c r="T157" i="2"/>
  <c r="T148" i="2"/>
  <c r="T159" i="2"/>
  <c r="T153" i="2"/>
  <c r="T158" i="2"/>
  <c r="S127" i="2"/>
  <c r="S140" i="2"/>
  <c r="S138" i="2"/>
  <c r="S132" i="2"/>
  <c r="S136" i="2" s="1"/>
  <c r="S139" i="2"/>
  <c r="S105" i="2"/>
  <c r="S104" i="2"/>
  <c r="S137" i="2"/>
  <c r="S130" i="2"/>
  <c r="S134" i="2" s="1"/>
  <c r="S108" i="2"/>
  <c r="S98" i="2"/>
  <c r="S102" i="2" s="1"/>
  <c r="S97" i="2"/>
  <c r="S101" i="2" s="1"/>
  <c r="S106" i="2"/>
  <c r="S96" i="2"/>
  <c r="S100" i="2" s="1"/>
  <c r="S131" i="2"/>
  <c r="S135" i="2" s="1"/>
  <c r="S103" i="2"/>
  <c r="AA129" i="2"/>
  <c r="S71" i="2"/>
  <c r="S69" i="2"/>
  <c r="S74" i="2"/>
  <c r="S72" i="2"/>
  <c r="S70" i="2"/>
  <c r="AB39" i="2"/>
  <c r="AB40" i="2" s="1"/>
  <c r="AB37" i="2"/>
  <c r="AB61" i="2" s="1"/>
  <c r="S64" i="2"/>
  <c r="S68" i="2" s="1"/>
  <c r="S63" i="2"/>
  <c r="S67" i="2" s="1"/>
  <c r="S62" i="2"/>
  <c r="S66" i="2" s="1"/>
  <c r="AC7" i="2"/>
  <c r="AC9" i="2" s="1"/>
  <c r="AC186" i="2" s="1"/>
  <c r="AG212" i="2"/>
  <c r="AC183" i="2"/>
  <c r="T35" i="2"/>
  <c r="T82" i="2" s="1"/>
  <c r="T5" i="2"/>
  <c r="S8" i="2"/>
  <c r="U145" i="2"/>
  <c r="S180" i="2" l="1"/>
  <c r="S179" i="2"/>
  <c r="R166" i="2"/>
  <c r="F154" i="1"/>
  <c r="R181" i="2"/>
  <c r="AB193" i="2"/>
  <c r="AB216" i="2" s="1"/>
  <c r="AB214" i="2"/>
  <c r="AC201" i="2"/>
  <c r="AC202" i="2"/>
  <c r="AC218" i="2" s="1"/>
  <c r="AC194" i="2"/>
  <c r="AC200" i="2"/>
  <c r="AC217" i="2" s="1"/>
  <c r="AC190" i="2"/>
  <c r="AC192" i="2" s="1"/>
  <c r="AC203" i="2"/>
  <c r="AC219" i="2" s="1"/>
  <c r="AC198" i="2"/>
  <c r="AC199" i="2"/>
  <c r="AC191" i="2"/>
  <c r="AC196" i="2"/>
  <c r="AC197" i="2" s="1"/>
  <c r="R152" i="2"/>
  <c r="R154" i="2" s="1"/>
  <c r="R162" i="2" s="1"/>
  <c r="R168" i="2" s="1"/>
  <c r="R269" i="2" s="1"/>
  <c r="S181" i="2"/>
  <c r="T30" i="2"/>
  <c r="T171" i="2"/>
  <c r="T172" i="2"/>
  <c r="T173" i="2"/>
  <c r="T177" i="2"/>
  <c r="T180" i="2" s="1"/>
  <c r="Q168" i="2"/>
  <c r="Q269" i="2" s="1"/>
  <c r="P169" i="2"/>
  <c r="P175" i="2"/>
  <c r="P195" i="2" s="1"/>
  <c r="S150" i="2"/>
  <c r="Q163" i="2"/>
  <c r="T160" i="2"/>
  <c r="AB129" i="2"/>
  <c r="T116" i="2"/>
  <c r="T54" i="2"/>
  <c r="T93" i="2"/>
  <c r="T48" i="2"/>
  <c r="T127" i="2"/>
  <c r="S149" i="2"/>
  <c r="T88" i="2"/>
  <c r="S151" i="2"/>
  <c r="S142" i="2"/>
  <c r="S165" i="2" s="1"/>
  <c r="T122" i="2"/>
  <c r="T139" i="2"/>
  <c r="T137" i="2"/>
  <c r="T130" i="2"/>
  <c r="T134" i="2" s="1"/>
  <c r="T108" i="2"/>
  <c r="T106" i="2"/>
  <c r="T138" i="2"/>
  <c r="T132" i="2"/>
  <c r="T136" i="2" s="1"/>
  <c r="T98" i="2"/>
  <c r="T102" i="2" s="1"/>
  <c r="T97" i="2"/>
  <c r="T101" i="2" s="1"/>
  <c r="T140" i="2"/>
  <c r="T104" i="2"/>
  <c r="T131" i="2"/>
  <c r="T135" i="2" s="1"/>
  <c r="T103" i="2"/>
  <c r="T96" i="2"/>
  <c r="T100" i="2" s="1"/>
  <c r="T105" i="2"/>
  <c r="U157" i="2"/>
  <c r="U159" i="2"/>
  <c r="U148" i="2"/>
  <c r="U153" i="2"/>
  <c r="U158" i="2"/>
  <c r="T59" i="2"/>
  <c r="AB95" i="2"/>
  <c r="T71" i="2"/>
  <c r="T69" i="2"/>
  <c r="T70" i="2"/>
  <c r="T72" i="2"/>
  <c r="T74" i="2"/>
  <c r="AC39" i="2"/>
  <c r="AC40" i="2" s="1"/>
  <c r="AC37" i="2"/>
  <c r="AC61" i="2" s="1"/>
  <c r="T64" i="2"/>
  <c r="T68" i="2" s="1"/>
  <c r="T63" i="2"/>
  <c r="T67" i="2" s="1"/>
  <c r="T62" i="2"/>
  <c r="T66" i="2" s="1"/>
  <c r="AD7" i="2"/>
  <c r="AD9" i="2" s="1"/>
  <c r="AD186" i="2" s="1"/>
  <c r="AH212" i="2"/>
  <c r="U35" i="2"/>
  <c r="U116" i="2" s="1"/>
  <c r="AD183" i="2"/>
  <c r="U5" i="2"/>
  <c r="T8" i="2"/>
  <c r="V145" i="2"/>
  <c r="T179" i="2" l="1"/>
  <c r="T181" i="2" s="1"/>
  <c r="T215" i="2"/>
  <c r="T220" i="2" s="1"/>
  <c r="R143" i="2"/>
  <c r="S166" i="2" s="1"/>
  <c r="AC193" i="2"/>
  <c r="AC216" i="2" s="1"/>
  <c r="AC214" i="2"/>
  <c r="AD194" i="2"/>
  <c r="AD198" i="2"/>
  <c r="AD202" i="2"/>
  <c r="AD218" i="2" s="1"/>
  <c r="AD199" i="2"/>
  <c r="AD203" i="2"/>
  <c r="AD219" i="2" s="1"/>
  <c r="AD200" i="2"/>
  <c r="AD217" i="2" s="1"/>
  <c r="AD191" i="2"/>
  <c r="AD201" i="2"/>
  <c r="AD190" i="2"/>
  <c r="AD192" i="2" s="1"/>
  <c r="AD196" i="2"/>
  <c r="AD197" i="2" s="1"/>
  <c r="F185" i="2"/>
  <c r="F187" i="2" s="1"/>
  <c r="R163" i="2"/>
  <c r="U30" i="2"/>
  <c r="U171" i="2"/>
  <c r="U172" i="2"/>
  <c r="U215" i="2" s="1"/>
  <c r="U220" i="2" s="1"/>
  <c r="U173" i="2"/>
  <c r="U177" i="2"/>
  <c r="U180" i="2" s="1"/>
  <c r="Q169" i="2"/>
  <c r="Q175" i="2"/>
  <c r="Q195" i="2" s="1"/>
  <c r="R169" i="2"/>
  <c r="R175" i="2"/>
  <c r="R195" i="2" s="1"/>
  <c r="U122" i="2"/>
  <c r="T149" i="2"/>
  <c r="U160" i="2"/>
  <c r="AC95" i="2"/>
  <c r="T150" i="2"/>
  <c r="U48" i="2"/>
  <c r="T142" i="2"/>
  <c r="T165" i="2" s="1"/>
  <c r="U82" i="2"/>
  <c r="U59" i="2"/>
  <c r="V159" i="2"/>
  <c r="V157" i="2"/>
  <c r="V158" i="2"/>
  <c r="V153" i="2"/>
  <c r="V148" i="2"/>
  <c r="U88" i="2"/>
  <c r="AC129" i="2"/>
  <c r="U137" i="2"/>
  <c r="U140" i="2"/>
  <c r="U138" i="2"/>
  <c r="U130" i="2"/>
  <c r="U134" i="2" s="1"/>
  <c r="U108" i="2"/>
  <c r="U103" i="2"/>
  <c r="U106" i="2"/>
  <c r="U131" i="2"/>
  <c r="U135" i="2" s="1"/>
  <c r="U98" i="2"/>
  <c r="U102" i="2" s="1"/>
  <c r="U97" i="2"/>
  <c r="U101" i="2" s="1"/>
  <c r="U104" i="2"/>
  <c r="U96" i="2"/>
  <c r="U100" i="2" s="1"/>
  <c r="U139" i="2"/>
  <c r="U132" i="2"/>
  <c r="U136" i="2" s="1"/>
  <c r="U105" i="2"/>
  <c r="T151" i="2"/>
  <c r="U93" i="2"/>
  <c r="U54" i="2"/>
  <c r="S152" i="2"/>
  <c r="S154" i="2" s="1"/>
  <c r="S162" i="2" s="1"/>
  <c r="U127" i="2"/>
  <c r="U71" i="2"/>
  <c r="U69" i="2"/>
  <c r="U74" i="2"/>
  <c r="U72" i="2"/>
  <c r="U70" i="2"/>
  <c r="AD39" i="2"/>
  <c r="AD40" i="2" s="1"/>
  <c r="AD37" i="2"/>
  <c r="AD61" i="2" s="1"/>
  <c r="U64" i="2"/>
  <c r="U68" i="2" s="1"/>
  <c r="U63" i="2"/>
  <c r="U67" i="2" s="1"/>
  <c r="U62" i="2"/>
  <c r="U66" i="2" s="1"/>
  <c r="AE7" i="2"/>
  <c r="AE9" i="2" s="1"/>
  <c r="AE186" i="2" s="1"/>
  <c r="V35" i="2"/>
  <c r="V82" i="2" s="1"/>
  <c r="AI212" i="2"/>
  <c r="AE183" i="2"/>
  <c r="V5" i="2"/>
  <c r="U8" i="2"/>
  <c r="W145" i="2"/>
  <c r="U179" i="2" l="1"/>
  <c r="U181" i="2" s="1"/>
  <c r="S143" i="2"/>
  <c r="T166" i="2" s="1"/>
  <c r="T143" i="2" s="1"/>
  <c r="AD193" i="2"/>
  <c r="AD216" i="2" s="1"/>
  <c r="AD214" i="2"/>
  <c r="AE199" i="2"/>
  <c r="AE202" i="2"/>
  <c r="AE218" i="2" s="1"/>
  <c r="AE203" i="2"/>
  <c r="AE219" i="2" s="1"/>
  <c r="AE196" i="2"/>
  <c r="AE197" i="2" s="1"/>
  <c r="AE200" i="2"/>
  <c r="AE217" i="2" s="1"/>
  <c r="AE201" i="2"/>
  <c r="AE198" i="2"/>
  <c r="AE190" i="2"/>
  <c r="AE192" i="2" s="1"/>
  <c r="AE191" i="2"/>
  <c r="AE194" i="2"/>
  <c r="V30" i="2"/>
  <c r="V171" i="2"/>
  <c r="V172" i="2"/>
  <c r="V173" i="2"/>
  <c r="V177" i="2"/>
  <c r="V180" i="2" s="1"/>
  <c r="G185" i="2"/>
  <c r="G187" i="2" s="1"/>
  <c r="U150" i="2"/>
  <c r="U151" i="2"/>
  <c r="T152" i="2"/>
  <c r="T154" i="2" s="1"/>
  <c r="T162" i="2" s="1"/>
  <c r="U149" i="2"/>
  <c r="V122" i="2"/>
  <c r="V160" i="2"/>
  <c r="V88" i="2"/>
  <c r="V59" i="2"/>
  <c r="V54" i="2"/>
  <c r="AD129" i="2"/>
  <c r="W159" i="2"/>
  <c r="W158" i="2"/>
  <c r="W157" i="2"/>
  <c r="W153" i="2"/>
  <c r="W148" i="2"/>
  <c r="AD95" i="2"/>
  <c r="S168" i="2"/>
  <c r="S269" i="2" s="1"/>
  <c r="S163" i="2"/>
  <c r="V140" i="2"/>
  <c r="V108" i="2"/>
  <c r="V103" i="2"/>
  <c r="V106" i="2"/>
  <c r="V131" i="2"/>
  <c r="V135" i="2" s="1"/>
  <c r="V139" i="2"/>
  <c r="V138" i="2"/>
  <c r="V137" i="2"/>
  <c r="V130" i="2"/>
  <c r="V134" i="2" s="1"/>
  <c r="V104" i="2"/>
  <c r="V96" i="2"/>
  <c r="V100" i="2" s="1"/>
  <c r="V132" i="2"/>
  <c r="V136" i="2" s="1"/>
  <c r="V97" i="2"/>
  <c r="V101" i="2" s="1"/>
  <c r="V98" i="2"/>
  <c r="V102" i="2" s="1"/>
  <c r="V105" i="2"/>
  <c r="U142" i="2"/>
  <c r="U165" i="2" s="1"/>
  <c r="V127" i="2"/>
  <c r="V116" i="2"/>
  <c r="V48" i="2"/>
  <c r="V93" i="2"/>
  <c r="V74" i="2"/>
  <c r="V72" i="2"/>
  <c r="V70" i="2"/>
  <c r="V69" i="2"/>
  <c r="V71" i="2"/>
  <c r="V64" i="2"/>
  <c r="V68" i="2" s="1"/>
  <c r="V63" i="2"/>
  <c r="V67" i="2" s="1"/>
  <c r="V62" i="2"/>
  <c r="V66" i="2" s="1"/>
  <c r="AE39" i="2"/>
  <c r="AE40" i="2" s="1"/>
  <c r="AE37" i="2"/>
  <c r="AE61" i="2" s="1"/>
  <c r="AF7" i="2"/>
  <c r="AF9" i="2" s="1"/>
  <c r="AF186" i="2" s="1"/>
  <c r="W35" i="2"/>
  <c r="W54" i="2" s="1"/>
  <c r="AJ212" i="2"/>
  <c r="AF183" i="2"/>
  <c r="W5" i="2"/>
  <c r="V8" i="2"/>
  <c r="X145" i="2"/>
  <c r="V179" i="2" l="1"/>
  <c r="V181" i="2" s="1"/>
  <c r="U166" i="2"/>
  <c r="U143" i="2" s="1"/>
  <c r="V215" i="2"/>
  <c r="V220" i="2" s="1"/>
  <c r="AE193" i="2"/>
  <c r="AE216" i="2" s="1"/>
  <c r="AE214" i="2"/>
  <c r="AF194" i="2"/>
  <c r="AF196" i="2"/>
  <c r="AF197" i="2" s="1"/>
  <c r="AF200" i="2"/>
  <c r="AF217" i="2" s="1"/>
  <c r="AF198" i="2"/>
  <c r="AF203" i="2"/>
  <c r="AF219" i="2" s="1"/>
  <c r="AF201" i="2"/>
  <c r="AF191" i="2"/>
  <c r="AF199" i="2"/>
  <c r="AF202" i="2"/>
  <c r="AF218" i="2" s="1"/>
  <c r="AF190" i="2"/>
  <c r="AF192" i="2" s="1"/>
  <c r="W30" i="2"/>
  <c r="W171" i="2"/>
  <c r="W172" i="2"/>
  <c r="W215" i="2" s="1"/>
  <c r="W220" i="2" s="1"/>
  <c r="W173" i="2"/>
  <c r="W177" i="2"/>
  <c r="V151" i="2"/>
  <c r="S169" i="2"/>
  <c r="S175" i="2"/>
  <c r="S195" i="2" s="1"/>
  <c r="T168" i="2"/>
  <c r="T269" i="2" s="1"/>
  <c r="H185" i="2"/>
  <c r="H187" i="2" s="1"/>
  <c r="T163" i="2"/>
  <c r="U152" i="2"/>
  <c r="U154" i="2" s="1"/>
  <c r="U162" i="2" s="1"/>
  <c r="V149" i="2"/>
  <c r="V150" i="2"/>
  <c r="W59" i="2"/>
  <c r="W93" i="2"/>
  <c r="W122" i="2"/>
  <c r="W82" i="2"/>
  <c r="W116" i="2"/>
  <c r="W160" i="2"/>
  <c r="AE129" i="2"/>
  <c r="AE95" i="2"/>
  <c r="V142" i="2"/>
  <c r="V165" i="2" s="1"/>
  <c r="W127" i="2"/>
  <c r="X159" i="2"/>
  <c r="X158" i="2"/>
  <c r="X157" i="2"/>
  <c r="X153" i="2"/>
  <c r="X148" i="2"/>
  <c r="W140" i="2"/>
  <c r="W131" i="2"/>
  <c r="W135" i="2" s="1"/>
  <c r="W139" i="2"/>
  <c r="W137" i="2"/>
  <c r="W106" i="2"/>
  <c r="W132" i="2"/>
  <c r="W136" i="2" s="1"/>
  <c r="W130" i="2"/>
  <c r="W134" i="2" s="1"/>
  <c r="W138" i="2"/>
  <c r="W104" i="2"/>
  <c r="W96" i="2"/>
  <c r="W100" i="2" s="1"/>
  <c r="W108" i="2"/>
  <c r="W105" i="2"/>
  <c r="W97" i="2"/>
  <c r="W101" i="2" s="1"/>
  <c r="W103" i="2"/>
  <c r="W98" i="2"/>
  <c r="W102" i="2" s="1"/>
  <c r="W88" i="2"/>
  <c r="W48" i="2"/>
  <c r="W74" i="2"/>
  <c r="W72" i="2"/>
  <c r="W70" i="2"/>
  <c r="W71" i="2"/>
  <c r="W69" i="2"/>
  <c r="AF37" i="2"/>
  <c r="AF61" i="2" s="1"/>
  <c r="AF39" i="2"/>
  <c r="AF40" i="2" s="1"/>
  <c r="W64" i="2"/>
  <c r="W68" i="2" s="1"/>
  <c r="W63" i="2"/>
  <c r="W67" i="2" s="1"/>
  <c r="W62" i="2"/>
  <c r="W66" i="2" s="1"/>
  <c r="AG7" i="2"/>
  <c r="AG9" i="2" s="1"/>
  <c r="AG186" i="2" s="1"/>
  <c r="X35" i="2"/>
  <c r="X59" i="2" s="1"/>
  <c r="AK212" i="2"/>
  <c r="AG183" i="2"/>
  <c r="X5" i="2"/>
  <c r="W8" i="2"/>
  <c r="Y145" i="2"/>
  <c r="W180" i="2" l="1"/>
  <c r="W179" i="2"/>
  <c r="V166" i="2"/>
  <c r="AF214" i="2"/>
  <c r="AF193" i="2"/>
  <c r="AF216" i="2" s="1"/>
  <c r="AG200" i="2"/>
  <c r="AG217" i="2" s="1"/>
  <c r="AG203" i="2"/>
  <c r="AG219" i="2" s="1"/>
  <c r="AG198" i="2"/>
  <c r="AG201" i="2"/>
  <c r="AG202" i="2"/>
  <c r="AG218" i="2" s="1"/>
  <c r="AG199" i="2"/>
  <c r="AG190" i="2"/>
  <c r="AG192" i="2" s="1"/>
  <c r="AG194" i="2"/>
  <c r="AG196" i="2"/>
  <c r="AG197" i="2" s="1"/>
  <c r="AG191" i="2"/>
  <c r="W181" i="2"/>
  <c r="X30" i="2"/>
  <c r="X171" i="2"/>
  <c r="X172" i="2"/>
  <c r="X215" i="2" s="1"/>
  <c r="X220" i="2" s="1"/>
  <c r="X173" i="2"/>
  <c r="X179" i="2" s="1"/>
  <c r="X177" i="2"/>
  <c r="X180" i="2" s="1"/>
  <c r="U163" i="2"/>
  <c r="I185" i="2"/>
  <c r="I187" i="2" s="1"/>
  <c r="T169" i="2"/>
  <c r="T175" i="2"/>
  <c r="T195" i="2" s="1"/>
  <c r="U168" i="2"/>
  <c r="U269" i="2" s="1"/>
  <c r="V152" i="2"/>
  <c r="V154" i="2" s="1"/>
  <c r="V162" i="2" s="1"/>
  <c r="W150" i="2"/>
  <c r="X82" i="2"/>
  <c r="X93" i="2"/>
  <c r="X127" i="2"/>
  <c r="X48" i="2"/>
  <c r="W149" i="2"/>
  <c r="AF95" i="2"/>
  <c r="X140" i="2"/>
  <c r="X139" i="2"/>
  <c r="X137" i="2"/>
  <c r="X138" i="2"/>
  <c r="X132" i="2"/>
  <c r="X136" i="2" s="1"/>
  <c r="X131" i="2"/>
  <c r="X135" i="2" s="1"/>
  <c r="X105" i="2"/>
  <c r="X108" i="2"/>
  <c r="X130" i="2"/>
  <c r="X134" i="2" s="1"/>
  <c r="X104" i="2"/>
  <c r="X96" i="2"/>
  <c r="X100" i="2" s="1"/>
  <c r="X106" i="2"/>
  <c r="X103" i="2"/>
  <c r="X98" i="2"/>
  <c r="X102" i="2" s="1"/>
  <c r="X97" i="2"/>
  <c r="X101" i="2" s="1"/>
  <c r="W142" i="2"/>
  <c r="W165" i="2" s="1"/>
  <c r="X122" i="2"/>
  <c r="AF129" i="2"/>
  <c r="X116" i="2"/>
  <c r="X54" i="2"/>
  <c r="X160" i="2"/>
  <c r="Y159" i="2"/>
  <c r="Y158" i="2"/>
  <c r="Y153" i="2"/>
  <c r="Y157" i="2"/>
  <c r="Y148" i="2"/>
  <c r="W151" i="2"/>
  <c r="X88" i="2"/>
  <c r="X74" i="2"/>
  <c r="X72" i="2"/>
  <c r="X70" i="2"/>
  <c r="X69" i="2"/>
  <c r="X71" i="2"/>
  <c r="AG37" i="2"/>
  <c r="AG61" i="2" s="1"/>
  <c r="AG39" i="2"/>
  <c r="AG40" i="2" s="1"/>
  <c r="X64" i="2"/>
  <c r="X68" i="2" s="1"/>
  <c r="X63" i="2"/>
  <c r="X67" i="2" s="1"/>
  <c r="X62" i="2"/>
  <c r="X66" i="2" s="1"/>
  <c r="AH7" i="2"/>
  <c r="AH9" i="2" s="1"/>
  <c r="AH186" i="2" s="1"/>
  <c r="Y35" i="2"/>
  <c r="Y88" i="2" s="1"/>
  <c r="AL212" i="2"/>
  <c r="AH183" i="2"/>
  <c r="Y5" i="2"/>
  <c r="X8" i="2"/>
  <c r="Z145" i="2"/>
  <c r="V143" i="2" l="1"/>
  <c r="W166" i="2" s="1"/>
  <c r="AH200" i="2"/>
  <c r="AH217" i="2" s="1"/>
  <c r="AH196" i="2"/>
  <c r="AH197" i="2" s="1"/>
  <c r="AH198" i="2"/>
  <c r="AH201" i="2"/>
  <c r="AH191" i="2"/>
  <c r="AH199" i="2"/>
  <c r="AH194" i="2"/>
  <c r="AH202" i="2"/>
  <c r="AH218" i="2" s="1"/>
  <c r="AH203" i="2"/>
  <c r="AH219" i="2" s="1"/>
  <c r="AH190" i="2"/>
  <c r="AH192" i="2" s="1"/>
  <c r="AG193" i="2"/>
  <c r="AG216" i="2" s="1"/>
  <c r="AG214" i="2"/>
  <c r="X181" i="2"/>
  <c r="Y30" i="2"/>
  <c r="Y171" i="2"/>
  <c r="Y172" i="2"/>
  <c r="Y215" i="2" s="1"/>
  <c r="Y220" i="2" s="1"/>
  <c r="Y173" i="2"/>
  <c r="Y179" i="2" s="1"/>
  <c r="Y177" i="2"/>
  <c r="Y180" i="2" s="1"/>
  <c r="U169" i="2"/>
  <c r="U175" i="2"/>
  <c r="U195" i="2" s="1"/>
  <c r="V168" i="2"/>
  <c r="V269" i="2" s="1"/>
  <c r="J185" i="2"/>
  <c r="J187" i="2" s="1"/>
  <c r="X150" i="2"/>
  <c r="W152" i="2"/>
  <c r="W154" i="2" s="1"/>
  <c r="W162" i="2" s="1"/>
  <c r="V163" i="2"/>
  <c r="X151" i="2"/>
  <c r="Y122" i="2"/>
  <c r="X142" i="2"/>
  <c r="X165" i="2" s="1"/>
  <c r="Y138" i="2"/>
  <c r="Y139" i="2"/>
  <c r="Y137" i="2"/>
  <c r="Y132" i="2"/>
  <c r="Y136" i="2" s="1"/>
  <c r="Y131" i="2"/>
  <c r="Y135" i="2" s="1"/>
  <c r="Y105" i="2"/>
  <c r="Y140" i="2"/>
  <c r="Y106" i="2"/>
  <c r="Y130" i="2"/>
  <c r="Y134" i="2" s="1"/>
  <c r="Y104" i="2"/>
  <c r="Y96" i="2"/>
  <c r="Y100" i="2" s="1"/>
  <c r="Y108" i="2"/>
  <c r="Y103" i="2"/>
  <c r="Y98" i="2"/>
  <c r="Y102" i="2" s="1"/>
  <c r="Y97" i="2"/>
  <c r="Y101" i="2" s="1"/>
  <c r="X149" i="2"/>
  <c r="AG129" i="2"/>
  <c r="Y127" i="2"/>
  <c r="Y59" i="2"/>
  <c r="Y160" i="2"/>
  <c r="Y93" i="2"/>
  <c r="AG95" i="2"/>
  <c r="Y82" i="2"/>
  <c r="Y48" i="2"/>
  <c r="Z153" i="2"/>
  <c r="Z157" i="2"/>
  <c r="Z159" i="2"/>
  <c r="Z158" i="2"/>
  <c r="Z148" i="2"/>
  <c r="Y116" i="2"/>
  <c r="Y54" i="2"/>
  <c r="Y74" i="2"/>
  <c r="Y72" i="2"/>
  <c r="Y70" i="2"/>
  <c r="Y71" i="2"/>
  <c r="Y69" i="2"/>
  <c r="AH37" i="2"/>
  <c r="AH61" i="2" s="1"/>
  <c r="AH39" i="2"/>
  <c r="AH40" i="2" s="1"/>
  <c r="Y64" i="2"/>
  <c r="Y68" i="2" s="1"/>
  <c r="Y63" i="2"/>
  <c r="Y67" i="2" s="1"/>
  <c r="Y62" i="2"/>
  <c r="Y66" i="2" s="1"/>
  <c r="AI7" i="2"/>
  <c r="AI9" i="2" s="1"/>
  <c r="AI186" i="2" s="1"/>
  <c r="Z35" i="2"/>
  <c r="Z48" i="2" s="1"/>
  <c r="AM212" i="2"/>
  <c r="AI183" i="2"/>
  <c r="Z5" i="2"/>
  <c r="Y8" i="2"/>
  <c r="AA145" i="2"/>
  <c r="W143" i="2" l="1"/>
  <c r="X166" i="2" s="1"/>
  <c r="X143" i="2" s="1"/>
  <c r="AH193" i="2"/>
  <c r="AH216" i="2" s="1"/>
  <c r="AH214" i="2"/>
  <c r="AI201" i="2"/>
  <c r="AI200" i="2"/>
  <c r="AI217" i="2" s="1"/>
  <c r="AI202" i="2"/>
  <c r="AI218" i="2" s="1"/>
  <c r="AI199" i="2"/>
  <c r="AI203" i="2"/>
  <c r="AI219" i="2" s="1"/>
  <c r="AI194" i="2"/>
  <c r="AI198" i="2"/>
  <c r="AI196" i="2"/>
  <c r="AI197" i="2" s="1"/>
  <c r="AI190" i="2"/>
  <c r="AI192" i="2" s="1"/>
  <c r="AI191" i="2"/>
  <c r="Y181" i="2"/>
  <c r="Z30" i="2"/>
  <c r="Z171" i="2"/>
  <c r="Z172" i="2"/>
  <c r="Z215" i="2" s="1"/>
  <c r="Z220" i="2" s="1"/>
  <c r="Z173" i="2"/>
  <c r="Z179" i="2" s="1"/>
  <c r="Z177" i="2"/>
  <c r="Z180" i="2" s="1"/>
  <c r="W168" i="2"/>
  <c r="W269" i="2" s="1"/>
  <c r="K185" i="2"/>
  <c r="K187" i="2" s="1"/>
  <c r="V169" i="2"/>
  <c r="V175" i="2"/>
  <c r="V195" i="2" s="1"/>
  <c r="X152" i="2"/>
  <c r="X154" i="2" s="1"/>
  <c r="X162" i="2" s="1"/>
  <c r="W163" i="2"/>
  <c r="Y151" i="2"/>
  <c r="Y150" i="2"/>
  <c r="Y149" i="2"/>
  <c r="Z88" i="2"/>
  <c r="AA153" i="2"/>
  <c r="AA157" i="2"/>
  <c r="AA159" i="2"/>
  <c r="AA158" i="2"/>
  <c r="AA148" i="2"/>
  <c r="Z93" i="2"/>
  <c r="Z160" i="2"/>
  <c r="Z116" i="2"/>
  <c r="Z82" i="2"/>
  <c r="Z54" i="2"/>
  <c r="Z127" i="2"/>
  <c r="AH129" i="2"/>
  <c r="Z139" i="2"/>
  <c r="Z137" i="2"/>
  <c r="Z132" i="2"/>
  <c r="Z136" i="2" s="1"/>
  <c r="Z138" i="2"/>
  <c r="Z105" i="2"/>
  <c r="Z104" i="2"/>
  <c r="Z130" i="2"/>
  <c r="Z134" i="2" s="1"/>
  <c r="Z140" i="2"/>
  <c r="Z108" i="2"/>
  <c r="Z106" i="2"/>
  <c r="Z103" i="2"/>
  <c r="Z98" i="2"/>
  <c r="Z102" i="2" s="1"/>
  <c r="Z97" i="2"/>
  <c r="Z101" i="2" s="1"/>
  <c r="Z131" i="2"/>
  <c r="Z135" i="2" s="1"/>
  <c r="Z96" i="2"/>
  <c r="Z100" i="2" s="1"/>
  <c r="Y142" i="2"/>
  <c r="Y165" i="2" s="1"/>
  <c r="Z59" i="2"/>
  <c r="AH95" i="2"/>
  <c r="Z122" i="2"/>
  <c r="Z71" i="2"/>
  <c r="Z69" i="2"/>
  <c r="Z70" i="2"/>
  <c r="Z74" i="2"/>
  <c r="Z72" i="2"/>
  <c r="AI39" i="2"/>
  <c r="AI40" i="2" s="1"/>
  <c r="AI37" i="2"/>
  <c r="AI61" i="2" s="1"/>
  <c r="Z64" i="2"/>
  <c r="Z68" i="2" s="1"/>
  <c r="Z63" i="2"/>
  <c r="Z67" i="2" s="1"/>
  <c r="Z62" i="2"/>
  <c r="Z66" i="2" s="1"/>
  <c r="AJ7" i="2"/>
  <c r="AJ9" i="2" s="1"/>
  <c r="AJ186" i="2" s="1"/>
  <c r="AA35" i="2"/>
  <c r="AA59" i="2" s="1"/>
  <c r="AN212" i="2"/>
  <c r="AJ183" i="2"/>
  <c r="AA5" i="2"/>
  <c r="Z8" i="2"/>
  <c r="AB145" i="2"/>
  <c r="Y166" i="2" l="1"/>
  <c r="Y143" i="2" s="1"/>
  <c r="AJ201" i="2"/>
  <c r="AJ198" i="2"/>
  <c r="AJ202" i="2"/>
  <c r="AJ218" i="2" s="1"/>
  <c r="AJ199" i="2"/>
  <c r="AJ194" i="2"/>
  <c r="AJ203" i="2"/>
  <c r="AJ219" i="2" s="1"/>
  <c r="AJ200" i="2"/>
  <c r="AJ217" i="2" s="1"/>
  <c r="AJ196" i="2"/>
  <c r="AJ197" i="2" s="1"/>
  <c r="AJ191" i="2"/>
  <c r="AJ190" i="2"/>
  <c r="AJ192" i="2" s="1"/>
  <c r="AI193" i="2"/>
  <c r="AI216" i="2" s="1"/>
  <c r="AI214" i="2"/>
  <c r="Z181" i="2"/>
  <c r="AA30" i="2"/>
  <c r="AA172" i="2"/>
  <c r="AA215" i="2" s="1"/>
  <c r="AA220" i="2" s="1"/>
  <c r="AA173" i="2"/>
  <c r="AA179" i="2" s="1"/>
  <c r="AA177" i="2"/>
  <c r="AA180" i="2" s="1"/>
  <c r="AA171" i="2"/>
  <c r="X168" i="2"/>
  <c r="X269" i="2" s="1"/>
  <c r="L185" i="2"/>
  <c r="L187" i="2" s="1"/>
  <c r="W169" i="2"/>
  <c r="W175" i="2"/>
  <c r="W195" i="2" s="1"/>
  <c r="X163" i="2"/>
  <c r="Z150" i="2"/>
  <c r="Y152" i="2"/>
  <c r="Y154" i="2" s="1"/>
  <c r="Y162" i="2" s="1"/>
  <c r="Z151" i="2"/>
  <c r="Z149" i="2"/>
  <c r="AA122" i="2"/>
  <c r="AI129" i="2"/>
  <c r="AA132" i="2"/>
  <c r="AA136" i="2" s="1"/>
  <c r="AA138" i="2"/>
  <c r="AA140" i="2"/>
  <c r="AA105" i="2"/>
  <c r="AA104" i="2"/>
  <c r="AA130" i="2"/>
  <c r="AA134" i="2" s="1"/>
  <c r="AA108" i="2"/>
  <c r="AA137" i="2"/>
  <c r="AA131" i="2"/>
  <c r="AA135" i="2" s="1"/>
  <c r="AA106" i="2"/>
  <c r="AA103" i="2"/>
  <c r="AA98" i="2"/>
  <c r="AA102" i="2" s="1"/>
  <c r="AA97" i="2"/>
  <c r="AA101" i="2" s="1"/>
  <c r="AA139" i="2"/>
  <c r="AA96" i="2"/>
  <c r="AA100" i="2" s="1"/>
  <c r="Z142" i="2"/>
  <c r="Z165" i="2" s="1"/>
  <c r="Z166" i="2" s="1"/>
  <c r="Z143" i="2" s="1"/>
  <c r="AA88" i="2"/>
  <c r="AA48" i="2"/>
  <c r="AA127" i="2"/>
  <c r="AA54" i="2"/>
  <c r="AA160" i="2"/>
  <c r="AB157" i="2"/>
  <c r="AB158" i="2"/>
  <c r="AB153" i="2"/>
  <c r="AB148" i="2"/>
  <c r="AB159" i="2"/>
  <c r="AA116" i="2"/>
  <c r="AA93" i="2"/>
  <c r="AI95" i="2"/>
  <c r="AA82" i="2"/>
  <c r="AA71" i="2"/>
  <c r="AA69" i="2"/>
  <c r="AA74" i="2"/>
  <c r="AA72" i="2"/>
  <c r="AA70" i="2"/>
  <c r="AJ39" i="2"/>
  <c r="AJ40" i="2" s="1"/>
  <c r="AJ37" i="2"/>
  <c r="AJ61" i="2" s="1"/>
  <c r="AA64" i="2"/>
  <c r="AA68" i="2" s="1"/>
  <c r="AA63" i="2"/>
  <c r="AA67" i="2" s="1"/>
  <c r="AA62" i="2"/>
  <c r="AA66" i="2" s="1"/>
  <c r="AK7" i="2"/>
  <c r="AK9" i="2" s="1"/>
  <c r="AK186" i="2" s="1"/>
  <c r="AB35" i="2"/>
  <c r="AB88" i="2" s="1"/>
  <c r="AO212" i="2"/>
  <c r="AK183" i="2"/>
  <c r="AB5" i="2"/>
  <c r="AA8" i="2"/>
  <c r="AC145" i="2"/>
  <c r="AJ193" i="2" l="1"/>
  <c r="AJ216" i="2" s="1"/>
  <c r="AJ214" i="2"/>
  <c r="AK202" i="2"/>
  <c r="AK218" i="2" s="1"/>
  <c r="AK199" i="2"/>
  <c r="AK200" i="2"/>
  <c r="AK217" i="2" s="1"/>
  <c r="AK201" i="2"/>
  <c r="AK203" i="2"/>
  <c r="AK219" i="2" s="1"/>
  <c r="AK198" i="2"/>
  <c r="AK194" i="2"/>
  <c r="AK196" i="2"/>
  <c r="AK197" i="2" s="1"/>
  <c r="AK190" i="2"/>
  <c r="AK192" i="2" s="1"/>
  <c r="AK191" i="2"/>
  <c r="AA181" i="2"/>
  <c r="AB30" i="2"/>
  <c r="AB173" i="2"/>
  <c r="AB179" i="2" s="1"/>
  <c r="AB177" i="2"/>
  <c r="AB180" i="2" s="1"/>
  <c r="AB171" i="2"/>
  <c r="AB172" i="2"/>
  <c r="AB215" i="2" s="1"/>
  <c r="AB220" i="2" s="1"/>
  <c r="Y163" i="2"/>
  <c r="M185" i="2"/>
  <c r="M187" i="2" s="1"/>
  <c r="X169" i="2"/>
  <c r="X175" i="2"/>
  <c r="X195" i="2" s="1"/>
  <c r="AA151" i="2"/>
  <c r="Z152" i="2"/>
  <c r="Z154" i="2" s="1"/>
  <c r="Z162" i="2" s="1"/>
  <c r="Y168" i="2"/>
  <c r="Y269" i="2" s="1"/>
  <c r="AB122" i="2"/>
  <c r="AB127" i="2"/>
  <c r="AB54" i="2"/>
  <c r="AB48" i="2"/>
  <c r="AB82" i="2"/>
  <c r="AA149" i="2"/>
  <c r="AA142" i="2"/>
  <c r="AA165" i="2" s="1"/>
  <c r="AA166" i="2" s="1"/>
  <c r="AA143" i="2" s="1"/>
  <c r="AA150" i="2"/>
  <c r="AB160" i="2"/>
  <c r="AJ129" i="2"/>
  <c r="AC157" i="2"/>
  <c r="AC159" i="2"/>
  <c r="AC158" i="2"/>
  <c r="AC153" i="2"/>
  <c r="AC148" i="2"/>
  <c r="AJ95" i="2"/>
  <c r="AB139" i="2"/>
  <c r="AB138" i="2"/>
  <c r="AB140" i="2"/>
  <c r="AB130" i="2"/>
  <c r="AB134" i="2" s="1"/>
  <c r="AB132" i="2"/>
  <c r="AB136" i="2" s="1"/>
  <c r="AB108" i="2"/>
  <c r="AB106" i="2"/>
  <c r="AB103" i="2"/>
  <c r="AB137" i="2"/>
  <c r="AB98" i="2"/>
  <c r="AB102" i="2" s="1"/>
  <c r="AB97" i="2"/>
  <c r="AB101" i="2" s="1"/>
  <c r="AB105" i="2"/>
  <c r="AB131" i="2"/>
  <c r="AB135" i="2" s="1"/>
  <c r="AB104" i="2"/>
  <c r="AB96" i="2"/>
  <c r="AB100" i="2" s="1"/>
  <c r="AB116" i="2"/>
  <c r="AB59" i="2"/>
  <c r="AB93" i="2"/>
  <c r="AB71" i="2"/>
  <c r="AB69" i="2"/>
  <c r="AB70" i="2"/>
  <c r="AB72" i="2"/>
  <c r="AB74" i="2"/>
  <c r="AK39" i="2"/>
  <c r="AK40" i="2" s="1"/>
  <c r="AK37" i="2"/>
  <c r="AK61" i="2" s="1"/>
  <c r="AB64" i="2"/>
  <c r="AB68" i="2" s="1"/>
  <c r="AB63" i="2"/>
  <c r="AB67" i="2" s="1"/>
  <c r="AB62" i="2"/>
  <c r="AB66" i="2" s="1"/>
  <c r="AL7" i="2"/>
  <c r="AL9" i="2" s="1"/>
  <c r="AL186" i="2" s="1"/>
  <c r="AC35" i="2"/>
  <c r="AC88" i="2" s="1"/>
  <c r="AP212" i="2"/>
  <c r="AL183" i="2"/>
  <c r="AC5" i="2"/>
  <c r="AB8" i="2"/>
  <c r="AD145" i="2"/>
  <c r="AK193" i="2" l="1"/>
  <c r="AK216" i="2" s="1"/>
  <c r="AK214" i="2"/>
  <c r="AL202" i="2"/>
  <c r="AL218" i="2" s="1"/>
  <c r="AL199" i="2"/>
  <c r="AL203" i="2"/>
  <c r="AL219" i="2" s="1"/>
  <c r="AL194" i="2"/>
  <c r="AL196" i="2"/>
  <c r="AL197" i="2" s="1"/>
  <c r="AL190" i="2"/>
  <c r="AL192" i="2" s="1"/>
  <c r="AL191" i="2"/>
  <c r="AL198" i="2"/>
  <c r="AL200" i="2"/>
  <c r="AL217" i="2" s="1"/>
  <c r="AL201" i="2"/>
  <c r="AB181" i="2"/>
  <c r="AC30" i="2"/>
  <c r="AC177" i="2"/>
  <c r="AC180" i="2" s="1"/>
  <c r="AC171" i="2"/>
  <c r="AC172" i="2"/>
  <c r="AC215" i="2" s="1"/>
  <c r="AC220" i="2" s="1"/>
  <c r="AC173" i="2"/>
  <c r="AC179" i="2" s="1"/>
  <c r="Y169" i="2"/>
  <c r="Y175" i="2"/>
  <c r="Y195" i="2" s="1"/>
  <c r="Z163" i="2"/>
  <c r="N185" i="2"/>
  <c r="N187" i="2" s="1"/>
  <c r="Z168" i="2"/>
  <c r="Z269" i="2" s="1"/>
  <c r="AA152" i="2"/>
  <c r="AA154" i="2" s="1"/>
  <c r="AA162" i="2" s="1"/>
  <c r="AB149" i="2"/>
  <c r="AB151" i="2"/>
  <c r="AB150" i="2"/>
  <c r="AC122" i="2"/>
  <c r="AC116" i="2"/>
  <c r="AC127" i="2"/>
  <c r="AC160" i="2"/>
  <c r="AK129" i="2"/>
  <c r="AC54" i="2"/>
  <c r="AC59" i="2"/>
  <c r="AK95" i="2"/>
  <c r="AD157" i="2"/>
  <c r="AD159" i="2"/>
  <c r="AD158" i="2"/>
  <c r="AD153" i="2"/>
  <c r="AD148" i="2"/>
  <c r="AC137" i="2"/>
  <c r="AC140" i="2"/>
  <c r="AC139" i="2"/>
  <c r="AC130" i="2"/>
  <c r="AC134" i="2" s="1"/>
  <c r="AC132" i="2"/>
  <c r="AC136" i="2" s="1"/>
  <c r="AC108" i="2"/>
  <c r="AC103" i="2"/>
  <c r="AC106" i="2"/>
  <c r="AC138" i="2"/>
  <c r="AC98" i="2"/>
  <c r="AC102" i="2" s="1"/>
  <c r="AC97" i="2"/>
  <c r="AC101" i="2" s="1"/>
  <c r="AC105" i="2"/>
  <c r="AC131" i="2"/>
  <c r="AC135" i="2" s="1"/>
  <c r="AC96" i="2"/>
  <c r="AC100" i="2" s="1"/>
  <c r="AC104" i="2"/>
  <c r="AB142" i="2"/>
  <c r="AB165" i="2" s="1"/>
  <c r="AB166" i="2" s="1"/>
  <c r="AB143" i="2" s="1"/>
  <c r="AC93" i="2"/>
  <c r="AC82" i="2"/>
  <c r="AC48" i="2"/>
  <c r="AC71" i="2"/>
  <c r="AC69" i="2"/>
  <c r="AC74" i="2"/>
  <c r="AC72" i="2"/>
  <c r="AC70" i="2"/>
  <c r="AL37" i="2"/>
  <c r="AL61" i="2" s="1"/>
  <c r="AL39" i="2"/>
  <c r="AL40" i="2" s="1"/>
  <c r="AC63" i="2"/>
  <c r="AC67" i="2" s="1"/>
  <c r="AC62" i="2"/>
  <c r="AC66" i="2" s="1"/>
  <c r="AC64" i="2"/>
  <c r="AC68" i="2" s="1"/>
  <c r="AD35" i="2"/>
  <c r="AD54" i="2" s="1"/>
  <c r="AM7" i="2"/>
  <c r="AM9" i="2" s="1"/>
  <c r="AM186" i="2" s="1"/>
  <c r="AQ212" i="2"/>
  <c r="AM183" i="2"/>
  <c r="AD5" i="2"/>
  <c r="AC8" i="2"/>
  <c r="AE145" i="2"/>
  <c r="AL193" i="2" l="1"/>
  <c r="AL216" i="2" s="1"/>
  <c r="AL214" i="2"/>
  <c r="AM203" i="2"/>
  <c r="AM219" i="2" s="1"/>
  <c r="AM200" i="2"/>
  <c r="AM217" i="2" s="1"/>
  <c r="AM201" i="2"/>
  <c r="AM202" i="2"/>
  <c r="AM218" i="2" s="1"/>
  <c r="AM196" i="2"/>
  <c r="AM197" i="2" s="1"/>
  <c r="AM190" i="2"/>
  <c r="AM192" i="2" s="1"/>
  <c r="AM191" i="2"/>
  <c r="AM194" i="2"/>
  <c r="AM198" i="2"/>
  <c r="AM199" i="2"/>
  <c r="AC151" i="2"/>
  <c r="AC181" i="2"/>
  <c r="AD30" i="2"/>
  <c r="AD171" i="2"/>
  <c r="AD172" i="2"/>
  <c r="AD173" i="2"/>
  <c r="AD177" i="2"/>
  <c r="Z169" i="2"/>
  <c r="Z175" i="2"/>
  <c r="Z195" i="2" s="1"/>
  <c r="AA163" i="2"/>
  <c r="O185" i="2"/>
  <c r="O187" i="2" s="1"/>
  <c r="AC150" i="2"/>
  <c r="AB152" i="2"/>
  <c r="AB154" i="2" s="1"/>
  <c r="AB162" i="2" s="1"/>
  <c r="AA168" i="2"/>
  <c r="AA269" i="2" s="1"/>
  <c r="AD82" i="2"/>
  <c r="AL95" i="2"/>
  <c r="AD140" i="2"/>
  <c r="AD138" i="2"/>
  <c r="AD132" i="2"/>
  <c r="AD136" i="2" s="1"/>
  <c r="AD108" i="2"/>
  <c r="AD103" i="2"/>
  <c r="AD98" i="2"/>
  <c r="AD102" i="2" s="1"/>
  <c r="AD106" i="2"/>
  <c r="AD131" i="2"/>
  <c r="AD135" i="2" s="1"/>
  <c r="AD137" i="2"/>
  <c r="AD105" i="2"/>
  <c r="AD96" i="2"/>
  <c r="AD100" i="2" s="1"/>
  <c r="AD130" i="2"/>
  <c r="AD134" i="2" s="1"/>
  <c r="AD97" i="2"/>
  <c r="AD101" i="2" s="1"/>
  <c r="AD139" i="2"/>
  <c r="AD104" i="2"/>
  <c r="AL129" i="2"/>
  <c r="AE159" i="2"/>
  <c r="AE158" i="2"/>
  <c r="AE148" i="2"/>
  <c r="AE153" i="2"/>
  <c r="AE157" i="2"/>
  <c r="AC142" i="2"/>
  <c r="AC165" i="2" s="1"/>
  <c r="AC166" i="2" s="1"/>
  <c r="AC143" i="2" s="1"/>
  <c r="AD122" i="2"/>
  <c r="AD48" i="2"/>
  <c r="AD127" i="2"/>
  <c r="AC149" i="2"/>
  <c r="AD88" i="2"/>
  <c r="AD116" i="2"/>
  <c r="AD59" i="2"/>
  <c r="AD93" i="2"/>
  <c r="AD160" i="2"/>
  <c r="AD74" i="2"/>
  <c r="AD72" i="2"/>
  <c r="AD70" i="2"/>
  <c r="AD71" i="2"/>
  <c r="AD69" i="2"/>
  <c r="AD62" i="2"/>
  <c r="AD66" i="2" s="1"/>
  <c r="AD64" i="2"/>
  <c r="AD68" i="2" s="1"/>
  <c r="AD63" i="2"/>
  <c r="AD67" i="2" s="1"/>
  <c r="AM39" i="2"/>
  <c r="AM40" i="2" s="1"/>
  <c r="AM37" i="2"/>
  <c r="AM61" i="2" s="1"/>
  <c r="AE35" i="2"/>
  <c r="AE48" i="2" s="1"/>
  <c r="AN7" i="2"/>
  <c r="AN9" i="2" s="1"/>
  <c r="AN186" i="2" s="1"/>
  <c r="AR212" i="2"/>
  <c r="AN183" i="2"/>
  <c r="AE5" i="2"/>
  <c r="AD8" i="2"/>
  <c r="AF145" i="2"/>
  <c r="AD180" i="2" l="1"/>
  <c r="G153" i="1" s="1"/>
  <c r="AD179" i="2"/>
  <c r="G152" i="1" s="1"/>
  <c r="AD215" i="2"/>
  <c r="AD220" i="2" s="1"/>
  <c r="AM193" i="2"/>
  <c r="AM216" i="2" s="1"/>
  <c r="AM214" i="2"/>
  <c r="AN203" i="2"/>
  <c r="AN219" i="2" s="1"/>
  <c r="AN199" i="2"/>
  <c r="AN196" i="2"/>
  <c r="AN197" i="2" s="1"/>
  <c r="AN198" i="2"/>
  <c r="AN201" i="2"/>
  <c r="AN194" i="2"/>
  <c r="AN202" i="2"/>
  <c r="AN218" i="2" s="1"/>
  <c r="AN190" i="2"/>
  <c r="AN192" i="2" s="1"/>
  <c r="AN191" i="2"/>
  <c r="AN200" i="2"/>
  <c r="AN217" i="2" s="1"/>
  <c r="AE30" i="2"/>
  <c r="AE171" i="2"/>
  <c r="AE172" i="2"/>
  <c r="AE215" i="2" s="1"/>
  <c r="AE220" i="2" s="1"/>
  <c r="AE173" i="2"/>
  <c r="AE179" i="2" s="1"/>
  <c r="AE177" i="2"/>
  <c r="AE180" i="2" s="1"/>
  <c r="AB163" i="2"/>
  <c r="P185" i="2"/>
  <c r="P187" i="2" s="1"/>
  <c r="AA169" i="2"/>
  <c r="AA175" i="2"/>
  <c r="AA195" i="2" s="1"/>
  <c r="AD149" i="2"/>
  <c r="AC152" i="2"/>
  <c r="AC154" i="2" s="1"/>
  <c r="AC162" i="2" s="1"/>
  <c r="AB168" i="2"/>
  <c r="AB269" i="2" s="1"/>
  <c r="AD151" i="2"/>
  <c r="AE93" i="2"/>
  <c r="AE116" i="2"/>
  <c r="AE54" i="2"/>
  <c r="AE127" i="2"/>
  <c r="AE82" i="2"/>
  <c r="AF159" i="2"/>
  <c r="AF158" i="2"/>
  <c r="AF148" i="2"/>
  <c r="AF157" i="2"/>
  <c r="AF153" i="2"/>
  <c r="AE160" i="2"/>
  <c r="AD142" i="2"/>
  <c r="AD165" i="2" s="1"/>
  <c r="AM129" i="2"/>
  <c r="AE140" i="2"/>
  <c r="AE131" i="2"/>
  <c r="AE135" i="2" s="1"/>
  <c r="AE106" i="2"/>
  <c r="AE138" i="2"/>
  <c r="AE139" i="2"/>
  <c r="AE137" i="2"/>
  <c r="AE130" i="2"/>
  <c r="AE134" i="2" s="1"/>
  <c r="AE105" i="2"/>
  <c r="AE108" i="2"/>
  <c r="AE96" i="2"/>
  <c r="AE100" i="2" s="1"/>
  <c r="AE132" i="2"/>
  <c r="AE136" i="2" s="1"/>
  <c r="AE104" i="2"/>
  <c r="AE98" i="2"/>
  <c r="AE102" i="2" s="1"/>
  <c r="AE103" i="2"/>
  <c r="AE97" i="2"/>
  <c r="AE101" i="2" s="1"/>
  <c r="AD150" i="2"/>
  <c r="AE88" i="2"/>
  <c r="AE59" i="2"/>
  <c r="AM95" i="2"/>
  <c r="AE122" i="2"/>
  <c r="AE74" i="2"/>
  <c r="AE72" i="2"/>
  <c r="AE70" i="2"/>
  <c r="AE71" i="2"/>
  <c r="AE69" i="2"/>
  <c r="AE64" i="2"/>
  <c r="AE68" i="2" s="1"/>
  <c r="AE63" i="2"/>
  <c r="AE67" i="2" s="1"/>
  <c r="AE62" i="2"/>
  <c r="AE66" i="2" s="1"/>
  <c r="AN39" i="2"/>
  <c r="AN40" i="2" s="1"/>
  <c r="AN37" i="2"/>
  <c r="AN61" i="2" s="1"/>
  <c r="AF35" i="2"/>
  <c r="AF82" i="2" s="1"/>
  <c r="AO7" i="2"/>
  <c r="AO9" i="2" s="1"/>
  <c r="AO186" i="2" s="1"/>
  <c r="AS212" i="2"/>
  <c r="AO183" i="2"/>
  <c r="AF5" i="2"/>
  <c r="AE8" i="2"/>
  <c r="AG145" i="2"/>
  <c r="G154" i="1" l="1"/>
  <c r="AD166" i="2"/>
  <c r="AD181" i="2"/>
  <c r="AN193" i="2"/>
  <c r="AN216" i="2" s="1"/>
  <c r="AN214" i="2"/>
  <c r="AO201" i="2"/>
  <c r="AO202" i="2"/>
  <c r="AO218" i="2" s="1"/>
  <c r="AO203" i="2"/>
  <c r="AO219" i="2" s="1"/>
  <c r="AO194" i="2"/>
  <c r="AO199" i="2"/>
  <c r="AO196" i="2"/>
  <c r="AO197" i="2" s="1"/>
  <c r="AO190" i="2"/>
  <c r="AO192" i="2" s="1"/>
  <c r="AO191" i="2"/>
  <c r="AO198" i="2"/>
  <c r="AO200" i="2"/>
  <c r="AO217" i="2" s="1"/>
  <c r="AE181" i="2"/>
  <c r="AF30" i="2"/>
  <c r="AF171" i="2"/>
  <c r="AF172" i="2"/>
  <c r="AF173" i="2"/>
  <c r="AF177" i="2"/>
  <c r="AF180" i="2" s="1"/>
  <c r="AC168" i="2"/>
  <c r="AC269" i="2" s="1"/>
  <c r="Q185" i="2"/>
  <c r="Q187" i="2" s="1"/>
  <c r="AB169" i="2"/>
  <c r="AB175" i="2"/>
  <c r="AB195" i="2" s="1"/>
  <c r="AC163" i="2"/>
  <c r="AE151" i="2"/>
  <c r="AD152" i="2"/>
  <c r="AD154" i="2" s="1"/>
  <c r="AD162" i="2" s="1"/>
  <c r="AE150" i="2"/>
  <c r="AE149" i="2"/>
  <c r="AF160" i="2"/>
  <c r="AN95" i="2"/>
  <c r="AG159" i="2"/>
  <c r="AG158" i="2"/>
  <c r="AG153" i="2"/>
  <c r="AG157" i="2"/>
  <c r="AG148" i="2"/>
  <c r="AF140" i="2"/>
  <c r="AF139" i="2"/>
  <c r="AF137" i="2"/>
  <c r="AF132" i="2"/>
  <c r="AF136" i="2" s="1"/>
  <c r="AF138" i="2"/>
  <c r="AF131" i="2"/>
  <c r="AF135" i="2" s="1"/>
  <c r="AF105" i="2"/>
  <c r="AF108" i="2"/>
  <c r="AF106" i="2"/>
  <c r="AF96" i="2"/>
  <c r="AF100" i="2" s="1"/>
  <c r="AF104" i="2"/>
  <c r="AF98" i="2"/>
  <c r="AF102" i="2" s="1"/>
  <c r="AF103" i="2"/>
  <c r="AF130" i="2"/>
  <c r="AF134" i="2" s="1"/>
  <c r="AF97" i="2"/>
  <c r="AF101" i="2" s="1"/>
  <c r="AN129" i="2"/>
  <c r="AF116" i="2"/>
  <c r="AF54" i="2"/>
  <c r="AF122" i="2"/>
  <c r="AF88" i="2"/>
  <c r="AF127" i="2"/>
  <c r="AF59" i="2"/>
  <c r="AF93" i="2"/>
  <c r="AE142" i="2"/>
  <c r="AE165" i="2" s="1"/>
  <c r="AF48" i="2"/>
  <c r="AF74" i="2"/>
  <c r="AF72" i="2"/>
  <c r="AF70" i="2"/>
  <c r="AF69" i="2"/>
  <c r="AF71" i="2"/>
  <c r="AO39" i="2"/>
  <c r="AO40" i="2" s="1"/>
  <c r="AO37" i="2"/>
  <c r="AO61" i="2" s="1"/>
  <c r="AF64" i="2"/>
  <c r="AF68" i="2" s="1"/>
  <c r="AF63" i="2"/>
  <c r="AF67" i="2" s="1"/>
  <c r="AF62" i="2"/>
  <c r="AF66" i="2" s="1"/>
  <c r="AG35" i="2"/>
  <c r="AG93" i="2" s="1"/>
  <c r="AP7" i="2"/>
  <c r="AP9" i="2" s="1"/>
  <c r="AP186" i="2" s="1"/>
  <c r="AT212" i="2"/>
  <c r="AP183" i="2"/>
  <c r="AG5" i="2"/>
  <c r="AF8" i="2"/>
  <c r="AH145" i="2"/>
  <c r="AD143" i="2" l="1"/>
  <c r="AE166" i="2" s="1"/>
  <c r="AE143" i="2" s="1"/>
  <c r="AF179" i="2"/>
  <c r="AF181" i="2" s="1"/>
  <c r="AF215" i="2"/>
  <c r="AF220" i="2" s="1"/>
  <c r="AO193" i="2"/>
  <c r="AO216" i="2" s="1"/>
  <c r="AO214" i="2"/>
  <c r="AP194" i="2"/>
  <c r="AP198" i="2"/>
  <c r="AP200" i="2"/>
  <c r="AP217" i="2" s="1"/>
  <c r="AP196" i="2"/>
  <c r="AP197" i="2" s="1"/>
  <c r="AP190" i="2"/>
  <c r="AP192" i="2" s="1"/>
  <c r="AP202" i="2"/>
  <c r="AP218" i="2" s="1"/>
  <c r="AP191" i="2"/>
  <c r="AP203" i="2"/>
  <c r="AP219" i="2" s="1"/>
  <c r="AP201" i="2"/>
  <c r="AP199" i="2"/>
  <c r="AG30" i="2"/>
  <c r="AG171" i="2"/>
  <c r="AG172" i="2"/>
  <c r="AG215" i="2" s="1"/>
  <c r="AG220" i="2" s="1"/>
  <c r="AG173" i="2"/>
  <c r="AG179" i="2" s="1"/>
  <c r="AG177" i="2"/>
  <c r="AG180" i="2" s="1"/>
  <c r="AD168" i="2"/>
  <c r="AD269" i="2" s="1"/>
  <c r="R185" i="2"/>
  <c r="R187" i="2" s="1"/>
  <c r="AD163" i="2"/>
  <c r="AC169" i="2"/>
  <c r="AC175" i="2"/>
  <c r="AC195" i="2" s="1"/>
  <c r="AF149" i="2"/>
  <c r="AF150" i="2"/>
  <c r="AE152" i="2"/>
  <c r="AE154" i="2" s="1"/>
  <c r="AE162" i="2" s="1"/>
  <c r="AF151" i="2"/>
  <c r="AO129" i="2"/>
  <c r="AO95" i="2"/>
  <c r="AG88" i="2"/>
  <c r="AG48" i="2"/>
  <c r="AG116" i="2"/>
  <c r="AG82" i="2"/>
  <c r="AH153" i="2"/>
  <c r="AH157" i="2"/>
  <c r="AH148" i="2"/>
  <c r="AH159" i="2"/>
  <c r="AH158" i="2"/>
  <c r="AG127" i="2"/>
  <c r="AG122" i="2"/>
  <c r="AG54" i="2"/>
  <c r="AG160" i="2"/>
  <c r="AG138" i="2"/>
  <c r="AG140" i="2"/>
  <c r="AG139" i="2"/>
  <c r="AG137" i="2"/>
  <c r="AG132" i="2"/>
  <c r="AG136" i="2" s="1"/>
  <c r="AG131" i="2"/>
  <c r="AG135" i="2" s="1"/>
  <c r="AG105" i="2"/>
  <c r="AG106" i="2"/>
  <c r="AG108" i="2"/>
  <c r="AG96" i="2"/>
  <c r="AG100" i="2" s="1"/>
  <c r="AG104" i="2"/>
  <c r="AG97" i="2"/>
  <c r="AG101" i="2" s="1"/>
  <c r="AG98" i="2"/>
  <c r="AG102" i="2" s="1"/>
  <c r="AG103" i="2"/>
  <c r="AG130" i="2"/>
  <c r="AG134" i="2" s="1"/>
  <c r="AG59" i="2"/>
  <c r="AF142" i="2"/>
  <c r="AF165" i="2" s="1"/>
  <c r="AG74" i="2"/>
  <c r="AG72" i="2"/>
  <c r="AG70" i="2"/>
  <c r="AG71" i="2"/>
  <c r="AG69" i="2"/>
  <c r="AG64" i="2"/>
  <c r="AG68" i="2" s="1"/>
  <c r="AG63" i="2"/>
  <c r="AG67" i="2" s="1"/>
  <c r="AG62" i="2"/>
  <c r="AG66" i="2" s="1"/>
  <c r="AP39" i="2"/>
  <c r="AP40" i="2" s="1"/>
  <c r="AP37" i="2"/>
  <c r="AP61" i="2" s="1"/>
  <c r="AH35" i="2"/>
  <c r="AQ7" i="2"/>
  <c r="AQ9" i="2" s="1"/>
  <c r="AQ186" i="2" s="1"/>
  <c r="AU212" i="2"/>
  <c r="AQ183" i="2"/>
  <c r="AH5" i="2"/>
  <c r="AG8" i="2"/>
  <c r="AI145" i="2"/>
  <c r="B2" i="1"/>
  <c r="AF166" i="2" l="1"/>
  <c r="AF143" i="2" s="1"/>
  <c r="AP193" i="2"/>
  <c r="AP216" i="2" s="1"/>
  <c r="AP214" i="2"/>
  <c r="AQ199" i="2"/>
  <c r="AQ202" i="2"/>
  <c r="AQ218" i="2" s="1"/>
  <c r="AQ203" i="2"/>
  <c r="AQ219" i="2" s="1"/>
  <c r="AQ196" i="2"/>
  <c r="AQ197" i="2" s="1"/>
  <c r="AQ190" i="2"/>
  <c r="AQ192" i="2" s="1"/>
  <c r="AQ191" i="2"/>
  <c r="AQ198" i="2"/>
  <c r="AQ200" i="2"/>
  <c r="AQ217" i="2" s="1"/>
  <c r="AQ201" i="2"/>
  <c r="AQ194" i="2"/>
  <c r="AG181" i="2"/>
  <c r="AH30" i="2"/>
  <c r="AH171" i="2"/>
  <c r="AH172" i="2"/>
  <c r="AH173" i="2"/>
  <c r="AH177" i="2"/>
  <c r="AH180" i="2" s="1"/>
  <c r="AE163" i="2"/>
  <c r="S185" i="2"/>
  <c r="S187" i="2" s="1"/>
  <c r="AE168" i="2"/>
  <c r="AE269" i="2" s="1"/>
  <c r="AD169" i="2"/>
  <c r="AD175" i="2"/>
  <c r="AD195" i="2" s="1"/>
  <c r="AG151" i="2"/>
  <c r="AF152" i="2"/>
  <c r="AF154" i="2" s="1"/>
  <c r="AF162" i="2" s="1"/>
  <c r="AG150" i="2"/>
  <c r="AG149" i="2"/>
  <c r="AH139" i="2"/>
  <c r="AH137" i="2"/>
  <c r="AH132" i="2"/>
  <c r="AH136" i="2" s="1"/>
  <c r="AH138" i="2"/>
  <c r="AH131" i="2"/>
  <c r="AH135" i="2" s="1"/>
  <c r="AH105" i="2"/>
  <c r="AH104" i="2"/>
  <c r="AH130" i="2"/>
  <c r="AH134" i="2" s="1"/>
  <c r="AH140" i="2"/>
  <c r="AH97" i="2"/>
  <c r="AH101" i="2" s="1"/>
  <c r="AH103" i="2"/>
  <c r="AH98" i="2"/>
  <c r="AH102" i="2" s="1"/>
  <c r="AH106" i="2"/>
  <c r="AH108" i="2"/>
  <c r="AH96" i="2"/>
  <c r="AH100" i="2" s="1"/>
  <c r="AH127" i="2"/>
  <c r="AH48" i="2"/>
  <c r="AH122" i="2"/>
  <c r="AI153" i="2"/>
  <c r="AI157" i="2"/>
  <c r="AI148" i="2"/>
  <c r="AI159" i="2"/>
  <c r="AI158" i="2"/>
  <c r="AH116" i="2"/>
  <c r="AH54" i="2"/>
  <c r="AH88" i="2"/>
  <c r="AH93" i="2"/>
  <c r="AH59" i="2"/>
  <c r="AH160" i="2"/>
  <c r="AG142" i="2"/>
  <c r="AG165" i="2" s="1"/>
  <c r="AH82" i="2"/>
  <c r="AP129" i="2"/>
  <c r="AP95" i="2"/>
  <c r="AH71" i="2"/>
  <c r="AH69" i="2"/>
  <c r="AH72" i="2"/>
  <c r="AH74" i="2"/>
  <c r="AH70" i="2"/>
  <c r="AH64" i="2"/>
  <c r="AH68" i="2" s="1"/>
  <c r="AH63" i="2"/>
  <c r="AH67" i="2" s="1"/>
  <c r="AH62" i="2"/>
  <c r="AH66" i="2" s="1"/>
  <c r="AQ39" i="2"/>
  <c r="AQ40" i="2" s="1"/>
  <c r="AQ37" i="2"/>
  <c r="AQ61" i="2" s="1"/>
  <c r="AI35" i="2"/>
  <c r="AI54" i="2" s="1"/>
  <c r="AR7" i="2"/>
  <c r="AR9" i="2" s="1"/>
  <c r="AR186" i="2" s="1"/>
  <c r="AV212" i="2"/>
  <c r="AR183" i="2"/>
  <c r="AI5" i="2"/>
  <c r="AH8" i="2"/>
  <c r="AJ145" i="2"/>
  <c r="I24" i="1"/>
  <c r="D24" i="1"/>
  <c r="I5" i="1"/>
  <c r="AG166" i="2" l="1"/>
  <c r="AG143" i="2" s="1"/>
  <c r="AH179" i="2"/>
  <c r="AH215" i="2"/>
  <c r="AH220" i="2" s="1"/>
  <c r="AQ193" i="2"/>
  <c r="AQ216" i="2" s="1"/>
  <c r="AQ214" i="2"/>
  <c r="AR194" i="2"/>
  <c r="AR196" i="2"/>
  <c r="AR197" i="2" s="1"/>
  <c r="AR198" i="2"/>
  <c r="AR200" i="2"/>
  <c r="AR217" i="2" s="1"/>
  <c r="AR201" i="2"/>
  <c r="AR191" i="2"/>
  <c r="AR202" i="2"/>
  <c r="AR218" i="2" s="1"/>
  <c r="AR199" i="2"/>
  <c r="AR203" i="2"/>
  <c r="AR219" i="2" s="1"/>
  <c r="AR190" i="2"/>
  <c r="AR192" i="2" s="1"/>
  <c r="AH181" i="2"/>
  <c r="AI30" i="2"/>
  <c r="AI171" i="2"/>
  <c r="AI172" i="2"/>
  <c r="AI215" i="2" s="1"/>
  <c r="AI220" i="2" s="1"/>
  <c r="AI173" i="2"/>
  <c r="AI179" i="2" s="1"/>
  <c r="AI177" i="2"/>
  <c r="AI180" i="2" s="1"/>
  <c r="AF163" i="2"/>
  <c r="T185" i="2"/>
  <c r="T187" i="2" s="1"/>
  <c r="AE169" i="2"/>
  <c r="AE175" i="2"/>
  <c r="AE195" i="2" s="1"/>
  <c r="AF168" i="2"/>
  <c r="AF269" i="2" s="1"/>
  <c r="AG152" i="2"/>
  <c r="AG154" i="2" s="1"/>
  <c r="AG162" i="2" s="1"/>
  <c r="AH149" i="2"/>
  <c r="AI160" i="2"/>
  <c r="AQ95" i="2"/>
  <c r="AI82" i="2"/>
  <c r="AI48" i="2"/>
  <c r="AJ157" i="2"/>
  <c r="AJ148" i="2"/>
  <c r="AJ159" i="2"/>
  <c r="AJ158" i="2"/>
  <c r="AJ153" i="2"/>
  <c r="AH142" i="2"/>
  <c r="AH165" i="2" s="1"/>
  <c r="AI93" i="2"/>
  <c r="AI59" i="2"/>
  <c r="AI127" i="2"/>
  <c r="AI88" i="2"/>
  <c r="AI139" i="2"/>
  <c r="AI137" i="2"/>
  <c r="AI132" i="2"/>
  <c r="AI136" i="2" s="1"/>
  <c r="AI138" i="2"/>
  <c r="AI140" i="2"/>
  <c r="AI105" i="2"/>
  <c r="AI104" i="2"/>
  <c r="AI130" i="2"/>
  <c r="AI134" i="2" s="1"/>
  <c r="AI108" i="2"/>
  <c r="AI131" i="2"/>
  <c r="AI135" i="2" s="1"/>
  <c r="AI97" i="2"/>
  <c r="AI101" i="2" s="1"/>
  <c r="AI103" i="2"/>
  <c r="AI98" i="2"/>
  <c r="AI102" i="2" s="1"/>
  <c r="AI106" i="2"/>
  <c r="AI96" i="2"/>
  <c r="AI100" i="2" s="1"/>
  <c r="AI116" i="2"/>
  <c r="AH150" i="2"/>
  <c r="AQ129" i="2"/>
  <c r="AI122" i="2"/>
  <c r="AH151" i="2"/>
  <c r="AI71" i="2"/>
  <c r="AI69" i="2"/>
  <c r="AI74" i="2"/>
  <c r="AI72" i="2"/>
  <c r="AI70" i="2"/>
  <c r="AI64" i="2"/>
  <c r="AI68" i="2" s="1"/>
  <c r="AI63" i="2"/>
  <c r="AI67" i="2" s="1"/>
  <c r="AI62" i="2"/>
  <c r="AI66" i="2" s="1"/>
  <c r="AR39" i="2"/>
  <c r="AR40" i="2" s="1"/>
  <c r="AR37" i="2"/>
  <c r="AR61" i="2" s="1"/>
  <c r="AJ35" i="2"/>
  <c r="AJ122" i="2" s="1"/>
  <c r="AS7" i="2"/>
  <c r="AS9" i="2" s="1"/>
  <c r="AS186" i="2" s="1"/>
  <c r="AW212" i="2"/>
  <c r="AS183" i="2"/>
  <c r="AJ5" i="2"/>
  <c r="AI8" i="2"/>
  <c r="AK145" i="2"/>
  <c r="AH166" i="2" l="1"/>
  <c r="AH143" i="2" s="1"/>
  <c r="AR193" i="2"/>
  <c r="AR216" i="2" s="1"/>
  <c r="AR214" i="2"/>
  <c r="AS200" i="2"/>
  <c r="AS217" i="2" s="1"/>
  <c r="AS203" i="2"/>
  <c r="AS219" i="2" s="1"/>
  <c r="AS202" i="2"/>
  <c r="AS218" i="2" s="1"/>
  <c r="AS198" i="2"/>
  <c r="AS199" i="2"/>
  <c r="AS196" i="2"/>
  <c r="AS197" i="2" s="1"/>
  <c r="AS201" i="2"/>
  <c r="AS194" i="2"/>
  <c r="AS190" i="2"/>
  <c r="AS192" i="2" s="1"/>
  <c r="AS191" i="2"/>
  <c r="AI181" i="2"/>
  <c r="AJ30" i="2"/>
  <c r="AJ171" i="2"/>
  <c r="AJ172" i="2"/>
  <c r="AJ173" i="2"/>
  <c r="AJ177" i="2"/>
  <c r="AJ180" i="2" s="1"/>
  <c r="AF169" i="2"/>
  <c r="AF175" i="2"/>
  <c r="AF195" i="2" s="1"/>
  <c r="AG163" i="2"/>
  <c r="U185" i="2"/>
  <c r="U187" i="2" s="1"/>
  <c r="AI151" i="2"/>
  <c r="AG168" i="2"/>
  <c r="AG269" i="2" s="1"/>
  <c r="AI149" i="2"/>
  <c r="AI150" i="2"/>
  <c r="AI142" i="2"/>
  <c r="AI165" i="2" s="1"/>
  <c r="AJ48" i="2"/>
  <c r="AJ127" i="2"/>
  <c r="AR95" i="2"/>
  <c r="AJ82" i="2"/>
  <c r="AJ59" i="2"/>
  <c r="AJ116" i="2"/>
  <c r="AK157" i="2"/>
  <c r="AK159" i="2"/>
  <c r="AK148" i="2"/>
  <c r="AK158" i="2"/>
  <c r="AK153" i="2"/>
  <c r="AH152" i="2"/>
  <c r="AH154" i="2" s="1"/>
  <c r="AH162" i="2" s="1"/>
  <c r="AJ88" i="2"/>
  <c r="AJ54" i="2"/>
  <c r="AJ160" i="2"/>
  <c r="AJ139" i="2"/>
  <c r="AJ138" i="2"/>
  <c r="AJ130" i="2"/>
  <c r="AJ134" i="2" s="1"/>
  <c r="AJ137" i="2"/>
  <c r="AJ108" i="2"/>
  <c r="AJ140" i="2"/>
  <c r="AJ106" i="2"/>
  <c r="AJ132" i="2"/>
  <c r="AJ136" i="2" s="1"/>
  <c r="AJ131" i="2"/>
  <c r="AJ135" i="2" s="1"/>
  <c r="AJ104" i="2"/>
  <c r="AJ97" i="2"/>
  <c r="AJ101" i="2" s="1"/>
  <c r="AJ103" i="2"/>
  <c r="AJ98" i="2"/>
  <c r="AJ102" i="2" s="1"/>
  <c r="AJ96" i="2"/>
  <c r="AJ100" i="2" s="1"/>
  <c r="AJ105" i="2"/>
  <c r="AR129" i="2"/>
  <c r="AJ93" i="2"/>
  <c r="AJ71" i="2"/>
  <c r="AJ69" i="2"/>
  <c r="AJ72" i="2"/>
  <c r="AJ74" i="2"/>
  <c r="AJ70" i="2"/>
  <c r="AJ64" i="2"/>
  <c r="AJ68" i="2" s="1"/>
  <c r="AJ63" i="2"/>
  <c r="AJ67" i="2" s="1"/>
  <c r="AJ62" i="2"/>
  <c r="AJ66" i="2" s="1"/>
  <c r="AS37" i="2"/>
  <c r="AS61" i="2" s="1"/>
  <c r="AS39" i="2"/>
  <c r="AS40" i="2" s="1"/>
  <c r="AK35" i="2"/>
  <c r="AK122" i="2" s="1"/>
  <c r="AT7" i="2"/>
  <c r="AT9" i="2" s="1"/>
  <c r="AT186" i="2" s="1"/>
  <c r="AX212" i="2"/>
  <c r="AT183" i="2"/>
  <c r="AK5" i="2"/>
  <c r="AJ8" i="2"/>
  <c r="AL145" i="2"/>
  <c r="AI166" i="2" l="1"/>
  <c r="AI143" i="2" s="1"/>
  <c r="AJ179" i="2"/>
  <c r="AJ181" i="2" s="1"/>
  <c r="AJ215" i="2"/>
  <c r="AJ220" i="2" s="1"/>
  <c r="AS214" i="2"/>
  <c r="AS193" i="2"/>
  <c r="AS216" i="2" s="1"/>
  <c r="AT200" i="2"/>
  <c r="AT217" i="2" s="1"/>
  <c r="AT196" i="2"/>
  <c r="AT197" i="2" s="1"/>
  <c r="AT198" i="2"/>
  <c r="AT201" i="2"/>
  <c r="AT202" i="2"/>
  <c r="AT218" i="2" s="1"/>
  <c r="AT203" i="2"/>
  <c r="AT219" i="2" s="1"/>
  <c r="AT199" i="2"/>
  <c r="AT194" i="2"/>
  <c r="AT190" i="2"/>
  <c r="AT192" i="2" s="1"/>
  <c r="AT191" i="2"/>
  <c r="AK30" i="2"/>
  <c r="AK171" i="2"/>
  <c r="AK172" i="2"/>
  <c r="AK215" i="2" s="1"/>
  <c r="AK220" i="2" s="1"/>
  <c r="AK173" i="2"/>
  <c r="AK179" i="2" s="1"/>
  <c r="AK177" i="2"/>
  <c r="AK180" i="2" s="1"/>
  <c r="AG169" i="2"/>
  <c r="AG175" i="2"/>
  <c r="AG195" i="2" s="1"/>
  <c r="V185" i="2"/>
  <c r="V187" i="2" s="1"/>
  <c r="AJ151" i="2"/>
  <c r="AI152" i="2"/>
  <c r="AI154" i="2" s="1"/>
  <c r="AI162" i="2" s="1"/>
  <c r="AJ150" i="2"/>
  <c r="AS129" i="2"/>
  <c r="AK127" i="2"/>
  <c r="AK82" i="2"/>
  <c r="AK48" i="2"/>
  <c r="AK160" i="2"/>
  <c r="AK137" i="2"/>
  <c r="AK140" i="2"/>
  <c r="AK138" i="2"/>
  <c r="AK130" i="2"/>
  <c r="AK134" i="2" s="1"/>
  <c r="AK108" i="2"/>
  <c r="AK103" i="2"/>
  <c r="AK139" i="2"/>
  <c r="AK106" i="2"/>
  <c r="AK104" i="2"/>
  <c r="AK97" i="2"/>
  <c r="AK101" i="2" s="1"/>
  <c r="AK131" i="2"/>
  <c r="AK135" i="2" s="1"/>
  <c r="AK98" i="2"/>
  <c r="AK102" i="2" s="1"/>
  <c r="AK132" i="2"/>
  <c r="AK136" i="2" s="1"/>
  <c r="AK96" i="2"/>
  <c r="AK100" i="2" s="1"/>
  <c r="AK105" i="2"/>
  <c r="AJ149" i="2"/>
  <c r="AK93" i="2"/>
  <c r="AK59" i="2"/>
  <c r="AL159" i="2"/>
  <c r="AL157" i="2"/>
  <c r="AL158" i="2"/>
  <c r="AL153" i="2"/>
  <c r="AL148" i="2"/>
  <c r="AJ142" i="2"/>
  <c r="AJ165" i="2" s="1"/>
  <c r="AJ166" i="2" s="1"/>
  <c r="AJ143" i="2" s="1"/>
  <c r="AK88" i="2"/>
  <c r="AH168" i="2"/>
  <c r="AH269" i="2" s="1"/>
  <c r="AH163" i="2"/>
  <c r="AS95" i="2"/>
  <c r="AK116" i="2"/>
  <c r="AK54" i="2"/>
  <c r="AK71" i="2"/>
  <c r="AK69" i="2"/>
  <c r="AK74" i="2"/>
  <c r="AK72" i="2"/>
  <c r="AK70" i="2"/>
  <c r="AT39" i="2"/>
  <c r="AT40" i="2" s="1"/>
  <c r="AT37" i="2"/>
  <c r="AT61" i="2" s="1"/>
  <c r="AK64" i="2"/>
  <c r="AK68" i="2" s="1"/>
  <c r="AK63" i="2"/>
  <c r="AK67" i="2" s="1"/>
  <c r="AK62" i="2"/>
  <c r="AK66" i="2" s="1"/>
  <c r="AL35" i="2"/>
  <c r="AL122" i="2" s="1"/>
  <c r="AU7" i="2"/>
  <c r="AU9" i="2" s="1"/>
  <c r="AU186" i="2" s="1"/>
  <c r="AY212" i="2"/>
  <c r="AU183" i="2"/>
  <c r="AL5" i="2"/>
  <c r="AK8" i="2"/>
  <c r="AM145" i="2"/>
  <c r="AT193" i="2" l="1"/>
  <c r="AT216" i="2" s="1"/>
  <c r="AT214" i="2"/>
  <c r="AU201" i="2"/>
  <c r="AU203" i="2"/>
  <c r="AU219" i="2" s="1"/>
  <c r="AU199" i="2"/>
  <c r="AU202" i="2"/>
  <c r="AU218" i="2" s="1"/>
  <c r="AU190" i="2"/>
  <c r="AU192" i="2" s="1"/>
  <c r="AU198" i="2"/>
  <c r="AU200" i="2"/>
  <c r="AU217" i="2" s="1"/>
  <c r="AU194" i="2"/>
  <c r="AU191" i="2"/>
  <c r="AU196" i="2"/>
  <c r="AU197" i="2" s="1"/>
  <c r="AK181" i="2"/>
  <c r="AL30" i="2"/>
  <c r="AL171" i="2"/>
  <c r="AL172" i="2"/>
  <c r="AL215" i="2" s="1"/>
  <c r="AL220" i="2" s="1"/>
  <c r="AL173" i="2"/>
  <c r="AL179" i="2" s="1"/>
  <c r="AL177" i="2"/>
  <c r="AL180" i="2" s="1"/>
  <c r="AH169" i="2"/>
  <c r="AH175" i="2"/>
  <c r="AH195" i="2" s="1"/>
  <c r="AI168" i="2"/>
  <c r="AI269" i="2" s="1"/>
  <c r="W185" i="2"/>
  <c r="W187" i="2" s="1"/>
  <c r="AJ152" i="2"/>
  <c r="AJ154" i="2" s="1"/>
  <c r="AJ162" i="2" s="1"/>
  <c r="AK151" i="2"/>
  <c r="AK150" i="2"/>
  <c r="AI163" i="2"/>
  <c r="AK149" i="2"/>
  <c r="AL88" i="2"/>
  <c r="AL127" i="2"/>
  <c r="AL139" i="2"/>
  <c r="AL138" i="2"/>
  <c r="AL108" i="2"/>
  <c r="AL103" i="2"/>
  <c r="AL98" i="2"/>
  <c r="AL102" i="2" s="1"/>
  <c r="AL137" i="2"/>
  <c r="AL106" i="2"/>
  <c r="AL140" i="2"/>
  <c r="AL131" i="2"/>
  <c r="AL135" i="2" s="1"/>
  <c r="AL132" i="2"/>
  <c r="AL136" i="2" s="1"/>
  <c r="AL96" i="2"/>
  <c r="AL100" i="2" s="1"/>
  <c r="AL130" i="2"/>
  <c r="AL134" i="2" s="1"/>
  <c r="AL105" i="2"/>
  <c r="AL97" i="2"/>
  <c r="AL101" i="2" s="1"/>
  <c r="AL104" i="2"/>
  <c r="AT95" i="2"/>
  <c r="AL160" i="2"/>
  <c r="AL82" i="2"/>
  <c r="AL59" i="2"/>
  <c r="AM159" i="2"/>
  <c r="AM158" i="2"/>
  <c r="AM157" i="2"/>
  <c r="AM153" i="2"/>
  <c r="AM148" i="2"/>
  <c r="AL54" i="2"/>
  <c r="AK142" i="2"/>
  <c r="AK165" i="2" s="1"/>
  <c r="AK166" i="2" s="1"/>
  <c r="AK143" i="2" s="1"/>
  <c r="AL116" i="2"/>
  <c r="AL48" i="2"/>
  <c r="AT129" i="2"/>
  <c r="AL93" i="2"/>
  <c r="AL74" i="2"/>
  <c r="AL72" i="2"/>
  <c r="AL70" i="2"/>
  <c r="AL69" i="2"/>
  <c r="AL71" i="2"/>
  <c r="AL64" i="2"/>
  <c r="AL68" i="2" s="1"/>
  <c r="AL63" i="2"/>
  <c r="AL67" i="2" s="1"/>
  <c r="AL62" i="2"/>
  <c r="AL66" i="2" s="1"/>
  <c r="AU37" i="2"/>
  <c r="AU61" i="2" s="1"/>
  <c r="AU39" i="2"/>
  <c r="AU40" i="2" s="1"/>
  <c r="AM35" i="2"/>
  <c r="AM93" i="2" s="1"/>
  <c r="AV7" i="2"/>
  <c r="AV9" i="2" s="1"/>
  <c r="AV186" i="2" s="1"/>
  <c r="AZ212" i="2"/>
  <c r="AV183" i="2"/>
  <c r="AM5" i="2"/>
  <c r="AL8" i="2"/>
  <c r="AN145" i="2"/>
  <c r="AU193" i="2" l="1"/>
  <c r="AU216" i="2" s="1"/>
  <c r="AU214" i="2"/>
  <c r="AV201" i="2"/>
  <c r="AV198" i="2"/>
  <c r="AV191" i="2"/>
  <c r="AV200" i="2"/>
  <c r="AV217" i="2" s="1"/>
  <c r="AV202" i="2"/>
  <c r="AV218" i="2" s="1"/>
  <c r="AV203" i="2"/>
  <c r="AV219" i="2" s="1"/>
  <c r="AV194" i="2"/>
  <c r="AV199" i="2"/>
  <c r="AV190" i="2"/>
  <c r="AV192" i="2" s="1"/>
  <c r="AV196" i="2"/>
  <c r="AV197" i="2" s="1"/>
  <c r="AL181" i="2"/>
  <c r="AM30" i="2"/>
  <c r="AM172" i="2"/>
  <c r="AM215" i="2" s="1"/>
  <c r="AM220" i="2" s="1"/>
  <c r="AM173" i="2"/>
  <c r="AM179" i="2" s="1"/>
  <c r="AM177" i="2"/>
  <c r="AM180" i="2" s="1"/>
  <c r="AM171" i="2"/>
  <c r="X185" i="2"/>
  <c r="X187" i="2" s="1"/>
  <c r="AJ168" i="2"/>
  <c r="AJ269" i="2" s="1"/>
  <c r="AJ163" i="2"/>
  <c r="AI169" i="2"/>
  <c r="AI175" i="2"/>
  <c r="AI195" i="2" s="1"/>
  <c r="AK152" i="2"/>
  <c r="AK154" i="2" s="1"/>
  <c r="AK162" i="2" s="1"/>
  <c r="AL151" i="2"/>
  <c r="AL149" i="2"/>
  <c r="AM116" i="2"/>
  <c r="AL150" i="2"/>
  <c r="AM54" i="2"/>
  <c r="AM88" i="2"/>
  <c r="AM82" i="2"/>
  <c r="AN159" i="2"/>
  <c r="AN158" i="2"/>
  <c r="AN157" i="2"/>
  <c r="AN153" i="2"/>
  <c r="AN148" i="2"/>
  <c r="AM48" i="2"/>
  <c r="AU95" i="2"/>
  <c r="AM59" i="2"/>
  <c r="AM140" i="2"/>
  <c r="AM131" i="2"/>
  <c r="AM135" i="2" s="1"/>
  <c r="AM138" i="2"/>
  <c r="AM137" i="2"/>
  <c r="AM106" i="2"/>
  <c r="AM139" i="2"/>
  <c r="AM132" i="2"/>
  <c r="AM136" i="2" s="1"/>
  <c r="AM130" i="2"/>
  <c r="AM134" i="2" s="1"/>
  <c r="AM98" i="2"/>
  <c r="AM102" i="2" s="1"/>
  <c r="AM103" i="2"/>
  <c r="AM96" i="2"/>
  <c r="AM100" i="2" s="1"/>
  <c r="AM105" i="2"/>
  <c r="AM108" i="2"/>
  <c r="AM97" i="2"/>
  <c r="AM101" i="2" s="1"/>
  <c r="AM104" i="2"/>
  <c r="AM122" i="2"/>
  <c r="AL142" i="2"/>
  <c r="AL165" i="2" s="1"/>
  <c r="AL166" i="2" s="1"/>
  <c r="AL143" i="2" s="1"/>
  <c r="AU129" i="2"/>
  <c r="AM160" i="2"/>
  <c r="AM127" i="2"/>
  <c r="AM74" i="2"/>
  <c r="AM72" i="2"/>
  <c r="AM70" i="2"/>
  <c r="AM71" i="2"/>
  <c r="AM69" i="2"/>
  <c r="AM64" i="2"/>
  <c r="AM68" i="2" s="1"/>
  <c r="AM63" i="2"/>
  <c r="AM67" i="2" s="1"/>
  <c r="AM62" i="2"/>
  <c r="AM66" i="2" s="1"/>
  <c r="AV39" i="2"/>
  <c r="AV40" i="2" s="1"/>
  <c r="AV37" i="2"/>
  <c r="AV61" i="2" s="1"/>
  <c r="AN35" i="2"/>
  <c r="AN88" i="2" s="1"/>
  <c r="AW7" i="2"/>
  <c r="AW9" i="2" s="1"/>
  <c r="AW186" i="2" s="1"/>
  <c r="BA212" i="2"/>
  <c r="AW183" i="2"/>
  <c r="AN5" i="2"/>
  <c r="AM8" i="2"/>
  <c r="AO145" i="2"/>
  <c r="D5" i="2"/>
  <c r="AV193" i="2" l="1"/>
  <c r="AV216" i="2" s="1"/>
  <c r="AV214" i="2"/>
  <c r="AW202" i="2"/>
  <c r="AW218" i="2" s="1"/>
  <c r="AW199" i="2"/>
  <c r="AW200" i="2"/>
  <c r="AW217" i="2" s="1"/>
  <c r="AW198" i="2"/>
  <c r="AW190" i="2"/>
  <c r="AW192" i="2" s="1"/>
  <c r="AW194" i="2"/>
  <c r="AW203" i="2"/>
  <c r="AW219" i="2" s="1"/>
  <c r="AW201" i="2"/>
  <c r="AW196" i="2"/>
  <c r="AW197" i="2" s="1"/>
  <c r="AW191" i="2"/>
  <c r="AM181" i="2"/>
  <c r="AN30" i="2"/>
  <c r="AN173" i="2"/>
  <c r="AN179" i="2" s="1"/>
  <c r="AN177" i="2"/>
  <c r="AN180" i="2" s="1"/>
  <c r="AN171" i="2"/>
  <c r="AN172" i="2"/>
  <c r="AN215" i="2" s="1"/>
  <c r="AN220" i="2" s="1"/>
  <c r="AM151" i="2"/>
  <c r="AK163" i="2"/>
  <c r="Y185" i="2"/>
  <c r="Y187" i="2" s="1"/>
  <c r="AJ169" i="2"/>
  <c r="AJ175" i="2"/>
  <c r="AJ195" i="2" s="1"/>
  <c r="AK168" i="2"/>
  <c r="AK269" i="2" s="1"/>
  <c r="AL152" i="2"/>
  <c r="AL154" i="2" s="1"/>
  <c r="AL162" i="2" s="1"/>
  <c r="AN160" i="2"/>
  <c r="AN93" i="2"/>
  <c r="AN122" i="2"/>
  <c r="AM149" i="2"/>
  <c r="AN140" i="2"/>
  <c r="AN132" i="2"/>
  <c r="AN136" i="2" s="1"/>
  <c r="AN139" i="2"/>
  <c r="AN131" i="2"/>
  <c r="AN135" i="2" s="1"/>
  <c r="AN105" i="2"/>
  <c r="AN104" i="2"/>
  <c r="AN108" i="2"/>
  <c r="AN138" i="2"/>
  <c r="AN103" i="2"/>
  <c r="AN96" i="2"/>
  <c r="AN100" i="2" s="1"/>
  <c r="AN130" i="2"/>
  <c r="AN134" i="2" s="1"/>
  <c r="AN106" i="2"/>
  <c r="AN97" i="2"/>
  <c r="AN101" i="2" s="1"/>
  <c r="AN137" i="2"/>
  <c r="AN98" i="2"/>
  <c r="AN102" i="2" s="1"/>
  <c r="AM150" i="2"/>
  <c r="AN48" i="2"/>
  <c r="AN59" i="2"/>
  <c r="AM142" i="2"/>
  <c r="AM165" i="2" s="1"/>
  <c r="AM166" i="2" s="1"/>
  <c r="AM143" i="2" s="1"/>
  <c r="AV129" i="2"/>
  <c r="AN127" i="2"/>
  <c r="AO159" i="2"/>
  <c r="AO158" i="2"/>
  <c r="AO153" i="2"/>
  <c r="AO148" i="2"/>
  <c r="AO157" i="2"/>
  <c r="AN116" i="2"/>
  <c r="AN54" i="2"/>
  <c r="AV95" i="2"/>
  <c r="AN82" i="2"/>
  <c r="AN74" i="2"/>
  <c r="AN72" i="2"/>
  <c r="AN70" i="2"/>
  <c r="AN69" i="2"/>
  <c r="AN71" i="2"/>
  <c r="AW39" i="2"/>
  <c r="AW40" i="2" s="1"/>
  <c r="AW37" i="2"/>
  <c r="AW61" i="2" s="1"/>
  <c r="AN64" i="2"/>
  <c r="AN68" i="2" s="1"/>
  <c r="AN63" i="2"/>
  <c r="AN67" i="2" s="1"/>
  <c r="AN62" i="2"/>
  <c r="AN66" i="2" s="1"/>
  <c r="AO35" i="2"/>
  <c r="AO93" i="2" s="1"/>
  <c r="AX7" i="2"/>
  <c r="AX9" i="2" s="1"/>
  <c r="AX186" i="2" s="1"/>
  <c r="BB212" i="2"/>
  <c r="D212" i="2"/>
  <c r="D267" i="2"/>
  <c r="D228" i="2"/>
  <c r="D183" i="2"/>
  <c r="AX183" i="2"/>
  <c r="AO5" i="2"/>
  <c r="AN8" i="2"/>
  <c r="AP145" i="2"/>
  <c r="D118" i="1"/>
  <c r="AN151" i="2" l="1"/>
  <c r="AW193" i="2"/>
  <c r="AW216" i="2" s="1"/>
  <c r="AW214" i="2"/>
  <c r="AX202" i="2"/>
  <c r="AX218" i="2" s="1"/>
  <c r="AX200" i="2"/>
  <c r="AX217" i="2" s="1"/>
  <c r="AX201" i="2"/>
  <c r="AX199" i="2"/>
  <c r="AX203" i="2"/>
  <c r="AX219" i="2" s="1"/>
  <c r="AX194" i="2"/>
  <c r="AX196" i="2"/>
  <c r="AX197" i="2" s="1"/>
  <c r="AX198" i="2"/>
  <c r="AX190" i="2"/>
  <c r="AX192" i="2" s="1"/>
  <c r="AX191" i="2"/>
  <c r="AN181" i="2"/>
  <c r="AO30" i="2"/>
  <c r="AO177" i="2"/>
  <c r="AO180" i="2" s="1"/>
  <c r="AO171" i="2"/>
  <c r="AO172" i="2"/>
  <c r="AO215" i="2" s="1"/>
  <c r="AO220" i="2" s="1"/>
  <c r="AO173" i="2"/>
  <c r="AO179" i="2" s="1"/>
  <c r="AM152" i="2"/>
  <c r="AM154" i="2" s="1"/>
  <c r="AM162" i="2" s="1"/>
  <c r="AA185" i="2" s="1"/>
  <c r="AA187" i="2" s="1"/>
  <c r="AK169" i="2"/>
  <c r="AK175" i="2"/>
  <c r="AK195" i="2" s="1"/>
  <c r="AL163" i="2"/>
  <c r="Z185" i="2"/>
  <c r="Z187" i="2" s="1"/>
  <c r="AL168" i="2"/>
  <c r="AL269" i="2" s="1"/>
  <c r="AN149" i="2"/>
  <c r="AO82" i="2"/>
  <c r="AW95" i="2"/>
  <c r="AO54" i="2"/>
  <c r="AW129" i="2"/>
  <c r="AP153" i="2"/>
  <c r="AP158" i="2"/>
  <c r="AP159" i="2"/>
  <c r="AP148" i="2"/>
  <c r="AP157" i="2"/>
  <c r="AN142" i="2"/>
  <c r="AN165" i="2" s="1"/>
  <c r="AN166" i="2" s="1"/>
  <c r="AN143" i="2" s="1"/>
  <c r="AO88" i="2"/>
  <c r="AO48" i="2"/>
  <c r="AO127" i="2"/>
  <c r="AN150" i="2"/>
  <c r="AO116" i="2"/>
  <c r="AO160" i="2"/>
  <c r="AO138" i="2"/>
  <c r="AO130" i="2"/>
  <c r="AO134" i="2" s="1"/>
  <c r="AO132" i="2"/>
  <c r="AO136" i="2" s="1"/>
  <c r="AO140" i="2"/>
  <c r="AO139" i="2"/>
  <c r="AO137" i="2"/>
  <c r="AO131" i="2"/>
  <c r="AO135" i="2" s="1"/>
  <c r="AO105" i="2"/>
  <c r="AO106" i="2"/>
  <c r="AO96" i="2"/>
  <c r="AO100" i="2" s="1"/>
  <c r="AO97" i="2"/>
  <c r="AO101" i="2" s="1"/>
  <c r="AO108" i="2"/>
  <c r="AO103" i="2"/>
  <c r="AO104" i="2"/>
  <c r="AO98" i="2"/>
  <c r="AO102" i="2" s="1"/>
  <c r="AO122" i="2"/>
  <c r="AO59" i="2"/>
  <c r="AO74" i="2"/>
  <c r="AO72" i="2"/>
  <c r="AO70" i="2"/>
  <c r="AO71" i="2"/>
  <c r="AO69" i="2"/>
  <c r="AX39" i="2"/>
  <c r="AX40" i="2" s="1"/>
  <c r="AX37" i="2"/>
  <c r="AX61" i="2" s="1"/>
  <c r="AO63" i="2"/>
  <c r="AO67" i="2" s="1"/>
  <c r="AO62" i="2"/>
  <c r="AO66" i="2" s="1"/>
  <c r="AO64" i="2"/>
  <c r="AO68" i="2" s="1"/>
  <c r="AP35" i="2"/>
  <c r="AP82" i="2" s="1"/>
  <c r="AY7" i="2"/>
  <c r="AY9" i="2" s="1"/>
  <c r="AY186" i="2" s="1"/>
  <c r="BC212" i="2"/>
  <c r="AY183" i="2"/>
  <c r="AP5" i="2"/>
  <c r="AO8" i="2"/>
  <c r="AQ145" i="2"/>
  <c r="D69" i="1"/>
  <c r="AN152" i="2" l="1"/>
  <c r="AN154" i="2" s="1"/>
  <c r="AN162" i="2" s="1"/>
  <c r="AN168" i="2" s="1"/>
  <c r="AN269" i="2" s="1"/>
  <c r="AX193" i="2"/>
  <c r="AX216" i="2" s="1"/>
  <c r="AX214" i="2"/>
  <c r="AY203" i="2"/>
  <c r="AY219" i="2" s="1"/>
  <c r="AY200" i="2"/>
  <c r="AY217" i="2" s="1"/>
  <c r="AY191" i="2"/>
  <c r="AY201" i="2"/>
  <c r="AY199" i="2"/>
  <c r="AY198" i="2"/>
  <c r="AY202" i="2"/>
  <c r="AY218" i="2" s="1"/>
  <c r="AY194" i="2"/>
  <c r="AY190" i="2"/>
  <c r="AY192" i="2" s="1"/>
  <c r="AY196" i="2"/>
  <c r="AY197" i="2" s="1"/>
  <c r="AO181" i="2"/>
  <c r="AM163" i="2"/>
  <c r="AP30" i="2"/>
  <c r="AP171" i="2"/>
  <c r="AP172" i="2"/>
  <c r="AP173" i="2"/>
  <c r="AP177" i="2"/>
  <c r="AM168" i="2"/>
  <c r="AB185" i="2"/>
  <c r="AB187" i="2" s="1"/>
  <c r="AL169" i="2"/>
  <c r="AL175" i="2"/>
  <c r="AL195" i="2" s="1"/>
  <c r="AO151" i="2"/>
  <c r="AX95" i="2"/>
  <c r="AO149" i="2"/>
  <c r="AP160" i="2"/>
  <c r="AO142" i="2"/>
  <c r="AO165" i="2" s="1"/>
  <c r="AO166" i="2" s="1"/>
  <c r="AO143" i="2" s="1"/>
  <c r="AP59" i="2"/>
  <c r="AP116" i="2"/>
  <c r="AQ153" i="2"/>
  <c r="AQ157" i="2"/>
  <c r="AQ158" i="2"/>
  <c r="AQ159" i="2"/>
  <c r="AQ148" i="2"/>
  <c r="AP93" i="2"/>
  <c r="AX129" i="2"/>
  <c r="AO150" i="2"/>
  <c r="AP48" i="2"/>
  <c r="AN163" i="2"/>
  <c r="AP122" i="2"/>
  <c r="AP127" i="2"/>
  <c r="AP88" i="2"/>
  <c r="AP132" i="2"/>
  <c r="AP136" i="2" s="1"/>
  <c r="AP140" i="2"/>
  <c r="AP139" i="2"/>
  <c r="AP137" i="2"/>
  <c r="AP131" i="2"/>
  <c r="AP135" i="2" s="1"/>
  <c r="AP105" i="2"/>
  <c r="AP104" i="2"/>
  <c r="AP138" i="2"/>
  <c r="AP130" i="2"/>
  <c r="AP134" i="2" s="1"/>
  <c r="AP97" i="2"/>
  <c r="AP101" i="2" s="1"/>
  <c r="AP108" i="2"/>
  <c r="AP106" i="2"/>
  <c r="AP103" i="2"/>
  <c r="AP96" i="2"/>
  <c r="AP100" i="2" s="1"/>
  <c r="AP98" i="2"/>
  <c r="AP102" i="2" s="1"/>
  <c r="AP54" i="2"/>
  <c r="AP71" i="2"/>
  <c r="AP69" i="2"/>
  <c r="AP74" i="2"/>
  <c r="AP70" i="2"/>
  <c r="AP72" i="2"/>
  <c r="AY39" i="2"/>
  <c r="AY40" i="2" s="1"/>
  <c r="AY37" i="2"/>
  <c r="AY61" i="2" s="1"/>
  <c r="AP62" i="2"/>
  <c r="AP66" i="2" s="1"/>
  <c r="AP64" i="2"/>
  <c r="AP68" i="2" s="1"/>
  <c r="AP63" i="2"/>
  <c r="AP67" i="2" s="1"/>
  <c r="AQ35" i="2"/>
  <c r="AQ88" i="2" s="1"/>
  <c r="AZ7" i="2"/>
  <c r="AZ9" i="2" s="1"/>
  <c r="AZ186" i="2" s="1"/>
  <c r="BD212" i="2"/>
  <c r="AZ183" i="2"/>
  <c r="AQ5" i="2"/>
  <c r="AP8" i="2"/>
  <c r="AR145" i="2"/>
  <c r="G69" i="1"/>
  <c r="AP180" i="2" l="1"/>
  <c r="H153" i="1" s="1"/>
  <c r="AP179" i="2"/>
  <c r="H152" i="1" s="1"/>
  <c r="AP215" i="2"/>
  <c r="AP220" i="2" s="1"/>
  <c r="AM169" i="2"/>
  <c r="AM269" i="2"/>
  <c r="AY193" i="2"/>
  <c r="AY216" i="2" s="1"/>
  <c r="AY214" i="2"/>
  <c r="AZ203" i="2"/>
  <c r="AZ219" i="2" s="1"/>
  <c r="AZ201" i="2"/>
  <c r="AZ199" i="2"/>
  <c r="AZ202" i="2"/>
  <c r="AZ218" i="2" s="1"/>
  <c r="AZ196" i="2"/>
  <c r="AZ197" i="2" s="1"/>
  <c r="AZ198" i="2"/>
  <c r="AZ194" i="2"/>
  <c r="AZ190" i="2"/>
  <c r="AZ192" i="2" s="1"/>
  <c r="AZ191" i="2"/>
  <c r="AZ200" i="2"/>
  <c r="AZ217" i="2" s="1"/>
  <c r="AQ30" i="2"/>
  <c r="AQ171" i="2"/>
  <c r="AQ172" i="2"/>
  <c r="AQ215" i="2" s="1"/>
  <c r="AQ220" i="2" s="1"/>
  <c r="AQ173" i="2"/>
  <c r="AQ179" i="2" s="1"/>
  <c r="AQ177" i="2"/>
  <c r="AM175" i="2"/>
  <c r="AM195" i="2" s="1"/>
  <c r="AN169" i="2"/>
  <c r="AN175" i="2"/>
  <c r="AN195" i="2" s="1"/>
  <c r="AO152" i="2"/>
  <c r="AO154" i="2" s="1"/>
  <c r="AO162" i="2" s="1"/>
  <c r="AQ93" i="2"/>
  <c r="AQ54" i="2"/>
  <c r="AP151" i="2"/>
  <c r="AP149" i="2"/>
  <c r="AQ160" i="2"/>
  <c r="AQ132" i="2"/>
  <c r="AQ136" i="2" s="1"/>
  <c r="AQ140" i="2"/>
  <c r="AQ139" i="2"/>
  <c r="AQ137" i="2"/>
  <c r="AQ138" i="2"/>
  <c r="AQ131" i="2"/>
  <c r="AQ135" i="2" s="1"/>
  <c r="AQ105" i="2"/>
  <c r="AQ104" i="2"/>
  <c r="AQ130" i="2"/>
  <c r="AQ134" i="2" s="1"/>
  <c r="AQ108" i="2"/>
  <c r="AQ97" i="2"/>
  <c r="AQ101" i="2" s="1"/>
  <c r="AQ106" i="2"/>
  <c r="AQ98" i="2"/>
  <c r="AQ102" i="2" s="1"/>
  <c r="AQ103" i="2"/>
  <c r="AQ96" i="2"/>
  <c r="AQ100" i="2" s="1"/>
  <c r="AQ127" i="2"/>
  <c r="AR157" i="2"/>
  <c r="AR159" i="2"/>
  <c r="AR148" i="2"/>
  <c r="AR158" i="2"/>
  <c r="AR153" i="2"/>
  <c r="AP142" i="2"/>
  <c r="AP165" i="2" s="1"/>
  <c r="AQ116" i="2"/>
  <c r="AP150" i="2"/>
  <c r="AQ122" i="2"/>
  <c r="AQ48" i="2"/>
  <c r="AQ82" i="2"/>
  <c r="AQ59" i="2"/>
  <c r="AY129" i="2"/>
  <c r="AY95" i="2"/>
  <c r="AQ69" i="2"/>
  <c r="AQ71" i="2"/>
  <c r="AQ74" i="2"/>
  <c r="AQ72" i="2"/>
  <c r="AQ70" i="2"/>
  <c r="AZ39" i="2"/>
  <c r="AZ40" i="2" s="1"/>
  <c r="AZ37" i="2"/>
  <c r="AZ61" i="2" s="1"/>
  <c r="AR35" i="2"/>
  <c r="AR127" i="2" s="1"/>
  <c r="AQ64" i="2"/>
  <c r="AQ68" i="2" s="1"/>
  <c r="AQ63" i="2"/>
  <c r="AQ67" i="2" s="1"/>
  <c r="AQ62" i="2"/>
  <c r="AQ66" i="2" s="1"/>
  <c r="G118" i="1"/>
  <c r="G166" i="1"/>
  <c r="G71" i="1"/>
  <c r="BA7" i="2"/>
  <c r="BA9" i="2" s="1"/>
  <c r="BA186" i="2" s="1"/>
  <c r="BE212" i="2"/>
  <c r="BA183" i="2"/>
  <c r="AR5" i="2"/>
  <c r="AQ8" i="2"/>
  <c r="AS145" i="2"/>
  <c r="H69" i="1"/>
  <c r="AQ180" i="2" l="1"/>
  <c r="AQ181" i="2" s="1"/>
  <c r="H154" i="1"/>
  <c r="AP166" i="2"/>
  <c r="AP181" i="2"/>
  <c r="AZ193" i="2"/>
  <c r="AZ216" i="2" s="1"/>
  <c r="AZ214" i="2"/>
  <c r="BA201" i="2"/>
  <c r="BA200" i="2"/>
  <c r="BA217" i="2" s="1"/>
  <c r="BA202" i="2"/>
  <c r="BA218" i="2" s="1"/>
  <c r="BA198" i="2"/>
  <c r="BA203" i="2"/>
  <c r="BA219" i="2" s="1"/>
  <c r="BA199" i="2"/>
  <c r="BA196" i="2"/>
  <c r="BA197" i="2" s="1"/>
  <c r="AR30" i="2"/>
  <c r="AR171" i="2"/>
  <c r="AR172" i="2"/>
  <c r="AR173" i="2"/>
  <c r="AR179" i="2" s="1"/>
  <c r="AR177" i="2"/>
  <c r="AR180" i="2" s="1"/>
  <c r="AO168" i="2"/>
  <c r="AO269" i="2" s="1"/>
  <c r="AC185" i="2"/>
  <c r="AC187" i="2" s="1"/>
  <c r="AO163" i="2"/>
  <c r="AQ149" i="2"/>
  <c r="AQ151" i="2"/>
  <c r="AR93" i="2"/>
  <c r="AP152" i="2"/>
  <c r="AP154" i="2" s="1"/>
  <c r="AP162" i="2" s="1"/>
  <c r="AR160" i="2"/>
  <c r="AR139" i="2"/>
  <c r="AR140" i="2"/>
  <c r="AR137" i="2"/>
  <c r="AR138" i="2"/>
  <c r="AR132" i="2"/>
  <c r="AR136" i="2" s="1"/>
  <c r="AR130" i="2"/>
  <c r="AR134" i="2" s="1"/>
  <c r="AR108" i="2"/>
  <c r="AR106" i="2"/>
  <c r="AR97" i="2"/>
  <c r="AR101" i="2" s="1"/>
  <c r="AR105" i="2"/>
  <c r="AR98" i="2"/>
  <c r="AR102" i="2" s="1"/>
  <c r="AR104" i="2"/>
  <c r="AR103" i="2"/>
  <c r="AR131" i="2"/>
  <c r="AR135" i="2" s="1"/>
  <c r="AR96" i="2"/>
  <c r="AR100" i="2" s="1"/>
  <c r="AR48" i="2"/>
  <c r="AR116" i="2"/>
  <c r="AR59" i="2"/>
  <c r="AZ95" i="2"/>
  <c r="AR88" i="2"/>
  <c r="AR82" i="2"/>
  <c r="AS157" i="2"/>
  <c r="AS159" i="2"/>
  <c r="AS148" i="2"/>
  <c r="AS158" i="2"/>
  <c r="AS153" i="2"/>
  <c r="AQ142" i="2"/>
  <c r="AQ165" i="2" s="1"/>
  <c r="AQ150" i="2"/>
  <c r="AZ129" i="2"/>
  <c r="AR122" i="2"/>
  <c r="AR54" i="2"/>
  <c r="AR71" i="2"/>
  <c r="AR69" i="2"/>
  <c r="AR74" i="2"/>
  <c r="AR70" i="2"/>
  <c r="AR72" i="2"/>
  <c r="AS35" i="2"/>
  <c r="AS82" i="2" s="1"/>
  <c r="AR64" i="2"/>
  <c r="AR68" i="2" s="1"/>
  <c r="AR63" i="2"/>
  <c r="AR67" i="2" s="1"/>
  <c r="AR62" i="2"/>
  <c r="AR66" i="2" s="1"/>
  <c r="BA39" i="2"/>
  <c r="BA40" i="2" s="1"/>
  <c r="BA37" i="2"/>
  <c r="BA61" i="2" s="1"/>
  <c r="H118" i="1"/>
  <c r="H166" i="1"/>
  <c r="BB7" i="2"/>
  <c r="BB9" i="2" s="1"/>
  <c r="BB186" i="2" s="1"/>
  <c r="H71" i="1"/>
  <c r="BF212" i="2"/>
  <c r="BB183" i="2"/>
  <c r="AS5" i="2"/>
  <c r="AR8" i="2"/>
  <c r="AT145" i="2"/>
  <c r="I69" i="1"/>
  <c r="AP143" i="2" l="1"/>
  <c r="AQ166" i="2" s="1"/>
  <c r="AQ143" i="2" s="1"/>
  <c r="AR215" i="2"/>
  <c r="AR220" i="2" s="1"/>
  <c r="BB199" i="2"/>
  <c r="BB202" i="2"/>
  <c r="BB218" i="2" s="1"/>
  <c r="BB194" i="2"/>
  <c r="BB203" i="2"/>
  <c r="BB219" i="2" s="1"/>
  <c r="BB198" i="2"/>
  <c r="BB190" i="2"/>
  <c r="BB192" i="2" s="1"/>
  <c r="BB200" i="2"/>
  <c r="BB217" i="2" s="1"/>
  <c r="BB191" i="2"/>
  <c r="BB201" i="2"/>
  <c r="BB196" i="2"/>
  <c r="BB197" i="2" s="1"/>
  <c r="AQ152" i="2"/>
  <c r="AQ154" i="2" s="1"/>
  <c r="AQ162" i="2" s="1"/>
  <c r="AQ163" i="2" s="1"/>
  <c r="AR181" i="2"/>
  <c r="AS30" i="2"/>
  <c r="AS171" i="2"/>
  <c r="AS172" i="2"/>
  <c r="AS215" i="2" s="1"/>
  <c r="AS220" i="2" s="1"/>
  <c r="AS173" i="2"/>
  <c r="AS179" i="2" s="1"/>
  <c r="AS177" i="2"/>
  <c r="AP168" i="2"/>
  <c r="AP269" i="2" s="1"/>
  <c r="AD185" i="2"/>
  <c r="AD187" i="2" s="1"/>
  <c r="AO169" i="2"/>
  <c r="AO175" i="2"/>
  <c r="AO195" i="2" s="1"/>
  <c r="AR151" i="2"/>
  <c r="AR149" i="2"/>
  <c r="AP163" i="2"/>
  <c r="AR142" i="2"/>
  <c r="AR165" i="2" s="1"/>
  <c r="AS127" i="2"/>
  <c r="BA95" i="2"/>
  <c r="AS59" i="2"/>
  <c r="AS122" i="2"/>
  <c r="AS137" i="2"/>
  <c r="AS140" i="2"/>
  <c r="AS139" i="2"/>
  <c r="AS138" i="2"/>
  <c r="AS132" i="2"/>
  <c r="AS136" i="2" s="1"/>
  <c r="AS130" i="2"/>
  <c r="AS134" i="2" s="1"/>
  <c r="AS108" i="2"/>
  <c r="AS103" i="2"/>
  <c r="AS106" i="2"/>
  <c r="AS131" i="2"/>
  <c r="AS135" i="2" s="1"/>
  <c r="AS97" i="2"/>
  <c r="AS101" i="2" s="1"/>
  <c r="AS105" i="2"/>
  <c r="AS98" i="2"/>
  <c r="AS102" i="2" s="1"/>
  <c r="AS104" i="2"/>
  <c r="AS96" i="2"/>
  <c r="AS100" i="2" s="1"/>
  <c r="AS160" i="2"/>
  <c r="AS116" i="2"/>
  <c r="AS48" i="2"/>
  <c r="AR150" i="2"/>
  <c r="BA129" i="2"/>
  <c r="AS88" i="2"/>
  <c r="AS54" i="2"/>
  <c r="AT159" i="2"/>
  <c r="AT153" i="2"/>
  <c r="AT157" i="2"/>
  <c r="AT148" i="2"/>
  <c r="AT158" i="2"/>
  <c r="AS93" i="2"/>
  <c r="AT35" i="2"/>
  <c r="AT54" i="2" s="1"/>
  <c r="AS62" i="2"/>
  <c r="AS66" i="2" s="1"/>
  <c r="AS71" i="2"/>
  <c r="AS69" i="2"/>
  <c r="AS74" i="2"/>
  <c r="AS72" i="2"/>
  <c r="AS70" i="2"/>
  <c r="AS63" i="2"/>
  <c r="AS67" i="2" s="1"/>
  <c r="AS64" i="2"/>
  <c r="AS68" i="2" s="1"/>
  <c r="BB37" i="2"/>
  <c r="BB61" i="2" s="1"/>
  <c r="BB39" i="2"/>
  <c r="BB40" i="2" s="1"/>
  <c r="I118" i="1"/>
  <c r="I166" i="1"/>
  <c r="BC7" i="2"/>
  <c r="BC9" i="2" s="1"/>
  <c r="BC186" i="2" s="1"/>
  <c r="I71" i="1"/>
  <c r="BG212" i="2"/>
  <c r="BC183" i="2"/>
  <c r="AT5" i="2"/>
  <c r="AS8" i="2"/>
  <c r="AU145" i="2"/>
  <c r="J69" i="1"/>
  <c r="AR166" i="2" l="1"/>
  <c r="AR143" i="2" s="1"/>
  <c r="AS180" i="2"/>
  <c r="BB193" i="2"/>
  <c r="BB216" i="2" s="1"/>
  <c r="BB214" i="2"/>
  <c r="AQ168" i="2"/>
  <c r="AQ269" i="2" s="1"/>
  <c r="AE185" i="2"/>
  <c r="AE187" i="2" s="1"/>
  <c r="BC199" i="2"/>
  <c r="BC202" i="2"/>
  <c r="BC218" i="2" s="1"/>
  <c r="BC201" i="2"/>
  <c r="BC194" i="2"/>
  <c r="BC203" i="2"/>
  <c r="BC219" i="2" s="1"/>
  <c r="BC196" i="2"/>
  <c r="BC197" i="2" s="1"/>
  <c r="BC191" i="2"/>
  <c r="BC198" i="2"/>
  <c r="BC190" i="2"/>
  <c r="BC192" i="2" s="1"/>
  <c r="BC200" i="2"/>
  <c r="BC217" i="2" s="1"/>
  <c r="AS181" i="2"/>
  <c r="AT30" i="2"/>
  <c r="AT171" i="2"/>
  <c r="AT172" i="2"/>
  <c r="AT173" i="2"/>
  <c r="AT177" i="2"/>
  <c r="AT180" i="2" s="1"/>
  <c r="AP169" i="2"/>
  <c r="AP175" i="2"/>
  <c r="AP195" i="2" s="1"/>
  <c r="AR152" i="2"/>
  <c r="AR154" i="2" s="1"/>
  <c r="AR162" i="2" s="1"/>
  <c r="AS150" i="2"/>
  <c r="AS151" i="2"/>
  <c r="AS149" i="2"/>
  <c r="AT93" i="2"/>
  <c r="AT88" i="2"/>
  <c r="AT160" i="2"/>
  <c r="AT69" i="2"/>
  <c r="AT138" i="2"/>
  <c r="AT132" i="2"/>
  <c r="AT136" i="2" s="1"/>
  <c r="AT130" i="2"/>
  <c r="AT134" i="2" s="1"/>
  <c r="AT108" i="2"/>
  <c r="AT103" i="2"/>
  <c r="AT98" i="2"/>
  <c r="AT102" i="2" s="1"/>
  <c r="AT140" i="2"/>
  <c r="AT106" i="2"/>
  <c r="AT137" i="2"/>
  <c r="AT105" i="2"/>
  <c r="AT104" i="2"/>
  <c r="AT96" i="2"/>
  <c r="AT100" i="2" s="1"/>
  <c r="AT139" i="2"/>
  <c r="AT97" i="2"/>
  <c r="AT101" i="2" s="1"/>
  <c r="AT131" i="2"/>
  <c r="AT135" i="2" s="1"/>
  <c r="AT48" i="2"/>
  <c r="AT127" i="2"/>
  <c r="AT82" i="2"/>
  <c r="AT59" i="2"/>
  <c r="BB95" i="2"/>
  <c r="BB129" i="2"/>
  <c r="AT122" i="2"/>
  <c r="AS142" i="2"/>
  <c r="AS165" i="2" s="1"/>
  <c r="AS166" i="2" s="1"/>
  <c r="AS143" i="2" s="1"/>
  <c r="AU159" i="2"/>
  <c r="AU158" i="2"/>
  <c r="AU157" i="2"/>
  <c r="AU153" i="2"/>
  <c r="AU148" i="2"/>
  <c r="AT116" i="2"/>
  <c r="AU35" i="2"/>
  <c r="AU127" i="2" s="1"/>
  <c r="AT71" i="2"/>
  <c r="AT62" i="2"/>
  <c r="AT66" i="2" s="1"/>
  <c r="AT64" i="2"/>
  <c r="AT68" i="2" s="1"/>
  <c r="AT70" i="2"/>
  <c r="AT72" i="2"/>
  <c r="AT74" i="2"/>
  <c r="AT63" i="2"/>
  <c r="AT67" i="2" s="1"/>
  <c r="BC37" i="2"/>
  <c r="BC61" i="2" s="1"/>
  <c r="BC39" i="2"/>
  <c r="BC40" i="2" s="1"/>
  <c r="J118" i="1"/>
  <c r="J166" i="1"/>
  <c r="BD7" i="2"/>
  <c r="BD9" i="2" s="1"/>
  <c r="BD186" i="2" s="1"/>
  <c r="J71" i="1"/>
  <c r="BH212" i="2"/>
  <c r="BD183" i="2"/>
  <c r="AU5" i="2"/>
  <c r="AT8" i="2"/>
  <c r="AV145" i="2"/>
  <c r="K69" i="1"/>
  <c r="AQ175" i="2" l="1"/>
  <c r="AQ195" i="2" s="1"/>
  <c r="AQ169" i="2"/>
  <c r="AT179" i="2"/>
  <c r="AT181" i="2" s="1"/>
  <c r="AT215" i="2"/>
  <c r="AT220" i="2" s="1"/>
  <c r="BD203" i="2"/>
  <c r="BD219" i="2" s="1"/>
  <c r="BD196" i="2"/>
  <c r="BD197" i="2" s="1"/>
  <c r="BD198" i="2"/>
  <c r="BD202" i="2"/>
  <c r="BD218" i="2" s="1"/>
  <c r="BD194" i="2"/>
  <c r="BD200" i="2"/>
  <c r="BD217" i="2" s="1"/>
  <c r="BD191" i="2"/>
  <c r="BD201" i="2"/>
  <c r="BD199" i="2"/>
  <c r="BD190" i="2"/>
  <c r="BD192" i="2" s="1"/>
  <c r="BC193" i="2"/>
  <c r="BC216" i="2" s="1"/>
  <c r="BC214" i="2"/>
  <c r="AT151" i="2"/>
  <c r="AU30" i="2"/>
  <c r="AU171" i="2"/>
  <c r="AU172" i="2"/>
  <c r="AU215" i="2" s="1"/>
  <c r="AU220" i="2" s="1"/>
  <c r="AU173" i="2"/>
  <c r="AU179" i="2" s="1"/>
  <c r="AU177" i="2"/>
  <c r="AR163" i="2"/>
  <c r="AF185" i="2"/>
  <c r="AF187" i="2" s="1"/>
  <c r="AR168" i="2"/>
  <c r="AR269" i="2" s="1"/>
  <c r="AS152" i="2"/>
  <c r="AS154" i="2" s="1"/>
  <c r="AS162" i="2" s="1"/>
  <c r="AU72" i="2"/>
  <c r="AU74" i="2"/>
  <c r="AV35" i="2"/>
  <c r="AV116" i="2" s="1"/>
  <c r="AU71" i="2"/>
  <c r="AU70" i="2"/>
  <c r="AU160" i="2"/>
  <c r="AU122" i="2"/>
  <c r="AU69" i="2"/>
  <c r="AT150" i="2"/>
  <c r="BC95" i="2"/>
  <c r="AU82" i="2"/>
  <c r="AT142" i="2"/>
  <c r="AT165" i="2" s="1"/>
  <c r="AT166" i="2" s="1"/>
  <c r="AT143" i="2" s="1"/>
  <c r="AU140" i="2"/>
  <c r="AU131" i="2"/>
  <c r="AU135" i="2" s="1"/>
  <c r="AU139" i="2"/>
  <c r="AU106" i="2"/>
  <c r="AU105" i="2"/>
  <c r="AU132" i="2"/>
  <c r="AU136" i="2" s="1"/>
  <c r="AU130" i="2"/>
  <c r="AU134" i="2" s="1"/>
  <c r="AU104" i="2"/>
  <c r="AU98" i="2"/>
  <c r="AU102" i="2" s="1"/>
  <c r="AU96" i="2"/>
  <c r="AU100" i="2" s="1"/>
  <c r="AU108" i="2"/>
  <c r="AU103" i="2"/>
  <c r="AU137" i="2"/>
  <c r="AU138" i="2"/>
  <c r="AV59" i="2"/>
  <c r="AU97" i="2"/>
  <c r="AU101" i="2" s="1"/>
  <c r="AU48" i="2"/>
  <c r="AV159" i="2"/>
  <c r="AV158" i="2"/>
  <c r="AV157" i="2"/>
  <c r="AV153" i="2"/>
  <c r="AV148" i="2"/>
  <c r="AU54" i="2"/>
  <c r="AU63" i="2"/>
  <c r="AU67" i="2" s="1"/>
  <c r="AU88" i="2"/>
  <c r="AT149" i="2"/>
  <c r="AU62" i="2"/>
  <c r="AU66" i="2" s="1"/>
  <c r="AU64" i="2"/>
  <c r="AU68" i="2" s="1"/>
  <c r="BC129" i="2"/>
  <c r="AU93" i="2"/>
  <c r="AU59" i="2"/>
  <c r="AU116" i="2"/>
  <c r="AV74" i="2"/>
  <c r="BD37" i="2"/>
  <c r="BD61" i="2" s="1"/>
  <c r="BD39" i="2"/>
  <c r="BD40" i="2" s="1"/>
  <c r="K166" i="1"/>
  <c r="K118" i="1"/>
  <c r="BE7" i="2"/>
  <c r="BE9" i="2" s="1"/>
  <c r="BE186" i="2" s="1"/>
  <c r="K71" i="1"/>
  <c r="BI212" i="2"/>
  <c r="BE183" i="2"/>
  <c r="AV5" i="2"/>
  <c r="AU8" i="2"/>
  <c r="AW145" i="2"/>
  <c r="L69" i="1"/>
  <c r="AU180" i="2" l="1"/>
  <c r="AU181" i="2" s="1"/>
  <c r="AV62" i="2"/>
  <c r="AV66" i="2" s="1"/>
  <c r="AV106" i="2"/>
  <c r="AV63" i="2"/>
  <c r="AV67" i="2" s="1"/>
  <c r="AV137" i="2"/>
  <c r="AV140" i="2"/>
  <c r="AV88" i="2"/>
  <c r="AV98" i="2"/>
  <c r="AV102" i="2" s="1"/>
  <c r="AV54" i="2"/>
  <c r="AV104" i="2"/>
  <c r="BD193" i="2"/>
  <c r="BD216" i="2" s="1"/>
  <c r="BD214" i="2"/>
  <c r="BE200" i="2"/>
  <c r="BE217" i="2" s="1"/>
  <c r="BE203" i="2"/>
  <c r="BE219" i="2" s="1"/>
  <c r="BE202" i="2"/>
  <c r="BE218" i="2" s="1"/>
  <c r="BE194" i="2"/>
  <c r="BE198" i="2"/>
  <c r="BE191" i="2"/>
  <c r="BE190" i="2"/>
  <c r="BE192" i="2" s="1"/>
  <c r="BE201" i="2"/>
  <c r="BE199" i="2"/>
  <c r="BE196" i="2"/>
  <c r="BE197" i="2" s="1"/>
  <c r="AV30" i="2"/>
  <c r="AV171" i="2"/>
  <c r="AV172" i="2"/>
  <c r="AV173" i="2"/>
  <c r="AV177" i="2"/>
  <c r="AV97" i="2"/>
  <c r="AV101" i="2" s="1"/>
  <c r="AV131" i="2"/>
  <c r="AV135" i="2" s="1"/>
  <c r="AR169" i="2"/>
  <c r="AR175" i="2"/>
  <c r="AR195" i="2" s="1"/>
  <c r="AS163" i="2"/>
  <c r="AG185" i="2"/>
  <c r="AG187" i="2" s="1"/>
  <c r="AS168" i="2"/>
  <c r="AS269" i="2" s="1"/>
  <c r="AV138" i="2"/>
  <c r="AV48" i="2"/>
  <c r="AV69" i="2"/>
  <c r="AV108" i="2"/>
  <c r="AV151" i="2" s="1"/>
  <c r="AV82" i="2"/>
  <c r="AV70" i="2"/>
  <c r="AV130" i="2"/>
  <c r="AV134" i="2" s="1"/>
  <c r="AV122" i="2"/>
  <c r="AV72" i="2"/>
  <c r="AV139" i="2"/>
  <c r="AV93" i="2"/>
  <c r="AV64" i="2"/>
  <c r="AV68" i="2" s="1"/>
  <c r="AV103" i="2"/>
  <c r="AV105" i="2"/>
  <c r="AV127" i="2"/>
  <c r="AW35" i="2"/>
  <c r="AW54" i="2" s="1"/>
  <c r="AV71" i="2"/>
  <c r="AV96" i="2"/>
  <c r="AV100" i="2" s="1"/>
  <c r="AV132" i="2"/>
  <c r="AV136" i="2" s="1"/>
  <c r="AU151" i="2"/>
  <c r="AU149" i="2"/>
  <c r="AT152" i="2"/>
  <c r="AT154" i="2" s="1"/>
  <c r="AT162" i="2" s="1"/>
  <c r="AU150" i="2"/>
  <c r="AU142" i="2"/>
  <c r="AU165" i="2" s="1"/>
  <c r="AU166" i="2" s="1"/>
  <c r="AU143" i="2" s="1"/>
  <c r="BD95" i="2"/>
  <c r="AW159" i="2"/>
  <c r="AW158" i="2"/>
  <c r="AW153" i="2"/>
  <c r="AW157" i="2"/>
  <c r="AW148" i="2"/>
  <c r="BD129" i="2"/>
  <c r="AV160" i="2"/>
  <c r="BE37" i="2"/>
  <c r="BE61" i="2" s="1"/>
  <c r="BE39" i="2"/>
  <c r="BE40" i="2" s="1"/>
  <c r="L166" i="1"/>
  <c r="L118" i="1"/>
  <c r="BF7" i="2"/>
  <c r="BF9" i="2" s="1"/>
  <c r="BF186" i="2" s="1"/>
  <c r="L71" i="1"/>
  <c r="BJ212" i="2"/>
  <c r="BF183" i="2"/>
  <c r="AW5" i="2"/>
  <c r="AV8" i="2"/>
  <c r="AX145" i="2"/>
  <c r="M69" i="1"/>
  <c r="AV180" i="2" l="1"/>
  <c r="AV179" i="2"/>
  <c r="AV215" i="2"/>
  <c r="AV220" i="2" s="1"/>
  <c r="BE214" i="2"/>
  <c r="BE193" i="2"/>
  <c r="BE216" i="2" s="1"/>
  <c r="BF200" i="2"/>
  <c r="BF217" i="2" s="1"/>
  <c r="BF196" i="2"/>
  <c r="BF197" i="2" s="1"/>
  <c r="BF198" i="2"/>
  <c r="BF199" i="2"/>
  <c r="BF191" i="2"/>
  <c r="BF194" i="2"/>
  <c r="BF201" i="2"/>
  <c r="BF203" i="2"/>
  <c r="BF219" i="2" s="1"/>
  <c r="BF202" i="2"/>
  <c r="BF218" i="2" s="1"/>
  <c r="BF190" i="2"/>
  <c r="BF192" i="2" s="1"/>
  <c r="AV149" i="2"/>
  <c r="AW30" i="2"/>
  <c r="AW171" i="2"/>
  <c r="AW172" i="2"/>
  <c r="AW215" i="2" s="1"/>
  <c r="AW220" i="2" s="1"/>
  <c r="AW173" i="2"/>
  <c r="AW179" i="2" s="1"/>
  <c r="AW177" i="2"/>
  <c r="AW180" i="2" s="1"/>
  <c r="AT168" i="2"/>
  <c r="AT269" i="2" s="1"/>
  <c r="AH185" i="2"/>
  <c r="AH187" i="2" s="1"/>
  <c r="AS169" i="2"/>
  <c r="AS175" i="2"/>
  <c r="AS195" i="2" s="1"/>
  <c r="AW127" i="2"/>
  <c r="AW64" i="2"/>
  <c r="AW68" i="2" s="1"/>
  <c r="AW69" i="2"/>
  <c r="AW63" i="2"/>
  <c r="AW67" i="2" s="1"/>
  <c r="AW59" i="2"/>
  <c r="AW116" i="2"/>
  <c r="AW97" i="2"/>
  <c r="AW101" i="2" s="1"/>
  <c r="AV142" i="2"/>
  <c r="AV165" i="2" s="1"/>
  <c r="AV166" i="2" s="1"/>
  <c r="AV143" i="2" s="1"/>
  <c r="AV150" i="2"/>
  <c r="AW139" i="2"/>
  <c r="AT163" i="2"/>
  <c r="AW108" i="2"/>
  <c r="AW71" i="2"/>
  <c r="AW137" i="2"/>
  <c r="AX35" i="2"/>
  <c r="AX93" i="2" s="1"/>
  <c r="AW105" i="2"/>
  <c r="AW140" i="2"/>
  <c r="AW122" i="2"/>
  <c r="AW132" i="2"/>
  <c r="AW136" i="2" s="1"/>
  <c r="AW70" i="2"/>
  <c r="AW72" i="2"/>
  <c r="AW104" i="2"/>
  <c r="AW138" i="2"/>
  <c r="AW103" i="2"/>
  <c r="AW88" i="2"/>
  <c r="AW96" i="2"/>
  <c r="AW100" i="2" s="1"/>
  <c r="AW130" i="2"/>
  <c r="AW134" i="2" s="1"/>
  <c r="AW74" i="2"/>
  <c r="AW82" i="2"/>
  <c r="AW106" i="2"/>
  <c r="AW62" i="2"/>
  <c r="AW66" i="2" s="1"/>
  <c r="AW48" i="2"/>
  <c r="AW98" i="2"/>
  <c r="AW102" i="2" s="1"/>
  <c r="AW131" i="2"/>
  <c r="AW135" i="2" s="1"/>
  <c r="AW93" i="2"/>
  <c r="AU152" i="2"/>
  <c r="AU154" i="2" s="1"/>
  <c r="AU162" i="2" s="1"/>
  <c r="BE129" i="2"/>
  <c r="BE95" i="2"/>
  <c r="AX153" i="2"/>
  <c r="AX157" i="2"/>
  <c r="AX148" i="2"/>
  <c r="AX158" i="2"/>
  <c r="AX159" i="2"/>
  <c r="AW160" i="2"/>
  <c r="BF39" i="2"/>
  <c r="BF40" i="2" s="1"/>
  <c r="BF37" i="2"/>
  <c r="BF61" i="2" s="1"/>
  <c r="M166" i="1"/>
  <c r="M118" i="1"/>
  <c r="M71" i="1"/>
  <c r="N69" i="1"/>
  <c r="BG7" i="2"/>
  <c r="BG9" i="2" s="1"/>
  <c r="BG186" i="2" s="1"/>
  <c r="BK212" i="2"/>
  <c r="BG183" i="2"/>
  <c r="AX5" i="2"/>
  <c r="AW8" i="2"/>
  <c r="AY145" i="2"/>
  <c r="B3" i="2"/>
  <c r="AV181" i="2" l="1"/>
  <c r="AX106" i="2"/>
  <c r="AX108" i="2"/>
  <c r="BF193" i="2"/>
  <c r="BF216" i="2" s="1"/>
  <c r="BF214" i="2"/>
  <c r="BG201" i="2"/>
  <c r="BG203" i="2"/>
  <c r="BG219" i="2" s="1"/>
  <c r="BG200" i="2"/>
  <c r="BG217" i="2" s="1"/>
  <c r="BG199" i="2"/>
  <c r="BG194" i="2"/>
  <c r="BG191" i="2"/>
  <c r="BG196" i="2"/>
  <c r="BG197" i="2" s="1"/>
  <c r="BG198" i="2"/>
  <c r="BG202" i="2"/>
  <c r="BG218" i="2" s="1"/>
  <c r="BG190" i="2"/>
  <c r="BG192" i="2" s="1"/>
  <c r="AW151" i="2"/>
  <c r="AV152" i="2"/>
  <c r="AV154" i="2" s="1"/>
  <c r="AV162" i="2" s="1"/>
  <c r="AJ185" i="2" s="1"/>
  <c r="AJ187" i="2" s="1"/>
  <c r="AW181" i="2"/>
  <c r="AX30" i="2"/>
  <c r="AX171" i="2"/>
  <c r="AX172" i="2"/>
  <c r="AX215" i="2" s="1"/>
  <c r="AX220" i="2" s="1"/>
  <c r="AX173" i="2"/>
  <c r="AX179" i="2" s="1"/>
  <c r="AX177" i="2"/>
  <c r="AX180" i="2" s="1"/>
  <c r="AU168" i="2"/>
  <c r="AU269" i="2" s="1"/>
  <c r="AI185" i="2"/>
  <c r="AI187" i="2" s="1"/>
  <c r="AT169" i="2"/>
  <c r="AT175" i="2"/>
  <c r="AT195" i="2" s="1"/>
  <c r="AX132" i="2"/>
  <c r="AX136" i="2" s="1"/>
  <c r="AX70" i="2"/>
  <c r="AX127" i="2"/>
  <c r="AX69" i="2"/>
  <c r="AX71" i="2"/>
  <c r="AX103" i="2"/>
  <c r="AX48" i="2"/>
  <c r="AX88" i="2"/>
  <c r="AX130" i="2"/>
  <c r="AX134" i="2" s="1"/>
  <c r="AX105" i="2"/>
  <c r="AX62" i="2"/>
  <c r="AX66" i="2" s="1"/>
  <c r="AX54" i="2"/>
  <c r="AX140" i="2"/>
  <c r="AX63" i="2"/>
  <c r="AX67" i="2" s="1"/>
  <c r="AX96" i="2"/>
  <c r="AX100" i="2" s="1"/>
  <c r="AX137" i="2"/>
  <c r="AX64" i="2"/>
  <c r="AX68" i="2" s="1"/>
  <c r="AX97" i="2"/>
  <c r="AX101" i="2" s="1"/>
  <c r="AX139" i="2"/>
  <c r="AX82" i="2"/>
  <c r="AY35" i="2"/>
  <c r="AY59" i="2" s="1"/>
  <c r="AX74" i="2"/>
  <c r="AX98" i="2"/>
  <c r="AX102" i="2" s="1"/>
  <c r="AX131" i="2"/>
  <c r="AX135" i="2" s="1"/>
  <c r="AX116" i="2"/>
  <c r="AX59" i="2"/>
  <c r="AX72" i="2"/>
  <c r="AX138" i="2"/>
  <c r="AX104" i="2"/>
  <c r="AX122" i="2"/>
  <c r="AW149" i="2"/>
  <c r="AW150" i="2"/>
  <c r="AW142" i="2"/>
  <c r="AW165" i="2" s="1"/>
  <c r="AW166" i="2" s="1"/>
  <c r="AW143" i="2" s="1"/>
  <c r="AU163" i="2"/>
  <c r="AX160" i="2"/>
  <c r="AY153" i="2"/>
  <c r="AY157" i="2"/>
  <c r="AY148" i="2"/>
  <c r="AY158" i="2"/>
  <c r="AY159" i="2"/>
  <c r="BF129" i="2"/>
  <c r="BF95" i="2"/>
  <c r="BG39" i="2"/>
  <c r="BG40" i="2" s="1"/>
  <c r="BG37" i="2"/>
  <c r="BG61" i="2" s="1"/>
  <c r="N71" i="1"/>
  <c r="N118" i="1"/>
  <c r="N166" i="1"/>
  <c r="BH7" i="2"/>
  <c r="BH9" i="2" s="1"/>
  <c r="BH186" i="2" s="1"/>
  <c r="BL212" i="2"/>
  <c r="BH183" i="2"/>
  <c r="AY5" i="2"/>
  <c r="AX8" i="2"/>
  <c r="AZ145" i="2"/>
  <c r="AX151" i="2" l="1"/>
  <c r="AV163" i="2"/>
  <c r="AV168" i="2"/>
  <c r="AV269" i="2" s="1"/>
  <c r="BG193" i="2"/>
  <c r="BG216" i="2" s="1"/>
  <c r="BG214" i="2"/>
  <c r="BH201" i="2"/>
  <c r="BH202" i="2"/>
  <c r="BH218" i="2" s="1"/>
  <c r="BH198" i="2"/>
  <c r="BH191" i="2"/>
  <c r="BH194" i="2"/>
  <c r="BH196" i="2"/>
  <c r="BH197" i="2" s="1"/>
  <c r="BH200" i="2"/>
  <c r="BH217" i="2" s="1"/>
  <c r="BH199" i="2"/>
  <c r="BH203" i="2"/>
  <c r="BH219" i="2" s="1"/>
  <c r="BH190" i="2"/>
  <c r="BH192" i="2" s="1"/>
  <c r="AY54" i="2"/>
  <c r="AY70" i="2"/>
  <c r="AY63" i="2"/>
  <c r="AY67" i="2" s="1"/>
  <c r="AY98" i="2"/>
  <c r="AY102" i="2" s="1"/>
  <c r="AY103" i="2"/>
  <c r="AY96" i="2"/>
  <c r="AY100" i="2" s="1"/>
  <c r="AY106" i="2"/>
  <c r="AY127" i="2"/>
  <c r="AY105" i="2"/>
  <c r="AY62" i="2"/>
  <c r="AY66" i="2" s="1"/>
  <c r="AY132" i="2"/>
  <c r="AY136" i="2" s="1"/>
  <c r="AX181" i="2"/>
  <c r="AX149" i="2"/>
  <c r="AY30" i="2"/>
  <c r="AY172" i="2"/>
  <c r="AY215" i="2" s="1"/>
  <c r="AY220" i="2" s="1"/>
  <c r="AY173" i="2"/>
  <c r="AY179" i="2" s="1"/>
  <c r="AY177" i="2"/>
  <c r="AY180" i="2" s="1"/>
  <c r="AY171" i="2"/>
  <c r="AV169" i="2"/>
  <c r="AV175" i="2"/>
  <c r="AV195" i="2" s="1"/>
  <c r="AU169" i="2"/>
  <c r="AU175" i="2"/>
  <c r="AU195" i="2" s="1"/>
  <c r="AY64" i="2"/>
  <c r="AY68" i="2" s="1"/>
  <c r="AY130" i="2"/>
  <c r="AY134" i="2" s="1"/>
  <c r="AZ35" i="2"/>
  <c r="AZ82" i="2" s="1"/>
  <c r="AY72" i="2"/>
  <c r="AY108" i="2"/>
  <c r="AY48" i="2"/>
  <c r="AY71" i="2"/>
  <c r="AY131" i="2"/>
  <c r="AY135" i="2" s="1"/>
  <c r="AY139" i="2"/>
  <c r="AY69" i="2"/>
  <c r="AY140" i="2"/>
  <c r="AY138" i="2"/>
  <c r="AY122" i="2"/>
  <c r="AX150" i="2"/>
  <c r="AY104" i="2"/>
  <c r="AY82" i="2"/>
  <c r="AY116" i="2"/>
  <c r="AY74" i="2"/>
  <c r="AY97" i="2"/>
  <c r="AY101" i="2" s="1"/>
  <c r="AY137" i="2"/>
  <c r="AY93" i="2"/>
  <c r="AY88" i="2"/>
  <c r="AX142" i="2"/>
  <c r="AX165" i="2" s="1"/>
  <c r="AX166" i="2" s="1"/>
  <c r="AX143" i="2" s="1"/>
  <c r="AW152" i="2"/>
  <c r="AW154" i="2" s="1"/>
  <c r="AW162" i="2" s="1"/>
  <c r="BG95" i="2"/>
  <c r="AY160" i="2"/>
  <c r="AZ157" i="2"/>
  <c r="AZ148" i="2"/>
  <c r="AZ158" i="2"/>
  <c r="AZ153" i="2"/>
  <c r="AZ159" i="2"/>
  <c r="BG129" i="2"/>
  <c r="BH39" i="2"/>
  <c r="BH40" i="2" s="1"/>
  <c r="BH37" i="2"/>
  <c r="BH61" i="2" s="1"/>
  <c r="BI7" i="2"/>
  <c r="BI9" i="2" s="1"/>
  <c r="BI186" i="2" s="1"/>
  <c r="BM212" i="2"/>
  <c r="BI183" i="2"/>
  <c r="AZ5" i="2"/>
  <c r="AY8" i="2"/>
  <c r="BA145" i="2"/>
  <c r="AZ116" i="2" l="1"/>
  <c r="AZ48" i="2"/>
  <c r="AZ104" i="2"/>
  <c r="AZ105" i="2"/>
  <c r="AY151" i="2"/>
  <c r="AZ140" i="2"/>
  <c r="AZ64" i="2"/>
  <c r="AZ68" i="2" s="1"/>
  <c r="AZ70" i="2"/>
  <c r="AZ54" i="2"/>
  <c r="AZ88" i="2"/>
  <c r="BI202" i="2"/>
  <c r="BI218" i="2" s="1"/>
  <c r="BI199" i="2"/>
  <c r="BI191" i="2"/>
  <c r="BI200" i="2"/>
  <c r="BI217" i="2" s="1"/>
  <c r="BI201" i="2"/>
  <c r="BI194" i="2"/>
  <c r="BI198" i="2"/>
  <c r="BI203" i="2"/>
  <c r="BI219" i="2" s="1"/>
  <c r="BI196" i="2"/>
  <c r="BI197" i="2" s="1"/>
  <c r="BI190" i="2"/>
  <c r="BI192" i="2" s="1"/>
  <c r="BH193" i="2"/>
  <c r="BH216" i="2" s="1"/>
  <c r="BH214" i="2"/>
  <c r="AZ98" i="2"/>
  <c r="AZ102" i="2" s="1"/>
  <c r="AZ97" i="2"/>
  <c r="AZ101" i="2" s="1"/>
  <c r="AZ62" i="2"/>
  <c r="AZ66" i="2" s="1"/>
  <c r="AZ132" i="2"/>
  <c r="AZ136" i="2" s="1"/>
  <c r="AY149" i="2"/>
  <c r="AZ63" i="2"/>
  <c r="AZ67" i="2" s="1"/>
  <c r="AZ130" i="2"/>
  <c r="AZ134" i="2" s="1"/>
  <c r="BA35" i="2"/>
  <c r="BA127" i="2" s="1"/>
  <c r="AZ74" i="2"/>
  <c r="AZ137" i="2"/>
  <c r="AZ72" i="2"/>
  <c r="AZ139" i="2"/>
  <c r="AZ69" i="2"/>
  <c r="AZ103" i="2"/>
  <c r="AZ127" i="2"/>
  <c r="AX152" i="2"/>
  <c r="AX154" i="2" s="1"/>
  <c r="AX162" i="2" s="1"/>
  <c r="AL185" i="2" s="1"/>
  <c r="AL187" i="2" s="1"/>
  <c r="AZ96" i="2"/>
  <c r="AZ100" i="2" s="1"/>
  <c r="AZ122" i="2"/>
  <c r="AY142" i="2"/>
  <c r="AY165" i="2" s="1"/>
  <c r="AY166" i="2" s="1"/>
  <c r="AY143" i="2" s="1"/>
  <c r="AZ93" i="2"/>
  <c r="AZ106" i="2"/>
  <c r="AY181" i="2"/>
  <c r="AZ30" i="2"/>
  <c r="AZ173" i="2"/>
  <c r="AZ179" i="2" s="1"/>
  <c r="AZ177" i="2"/>
  <c r="AZ180" i="2" s="1"/>
  <c r="AZ171" i="2"/>
  <c r="AZ172" i="2"/>
  <c r="AZ215" i="2" s="1"/>
  <c r="AZ220" i="2" s="1"/>
  <c r="AZ71" i="2"/>
  <c r="AZ108" i="2"/>
  <c r="AZ59" i="2"/>
  <c r="AZ131" i="2"/>
  <c r="AZ135" i="2" s="1"/>
  <c r="AZ138" i="2"/>
  <c r="AW163" i="2"/>
  <c r="AK185" i="2"/>
  <c r="AK187" i="2" s="1"/>
  <c r="AY150" i="2"/>
  <c r="AW168" i="2"/>
  <c r="AW269" i="2" s="1"/>
  <c r="BH129" i="2"/>
  <c r="AZ160" i="2"/>
  <c r="BH95" i="2"/>
  <c r="BA157" i="2"/>
  <c r="BA159" i="2"/>
  <c r="BA148" i="2"/>
  <c r="BA158" i="2"/>
  <c r="BA153" i="2"/>
  <c r="BI39" i="2"/>
  <c r="BI40" i="2" s="1"/>
  <c r="BI37" i="2"/>
  <c r="BI61" i="2" s="1"/>
  <c r="BJ7" i="2"/>
  <c r="BJ9" i="2" s="1"/>
  <c r="BJ186" i="2" s="1"/>
  <c r="BN212" i="2"/>
  <c r="BJ183" i="2"/>
  <c r="BA5" i="2"/>
  <c r="AZ8" i="2"/>
  <c r="BB145" i="2"/>
  <c r="BA63" i="2" l="1"/>
  <c r="BA67" i="2" s="1"/>
  <c r="AZ150" i="2"/>
  <c r="BA108" i="2"/>
  <c r="BA93" i="2"/>
  <c r="BA74" i="2"/>
  <c r="BA139" i="2"/>
  <c r="BA103" i="2"/>
  <c r="BA138" i="2"/>
  <c r="BA59" i="2"/>
  <c r="BA69" i="2"/>
  <c r="BA140" i="2"/>
  <c r="BA98" i="2"/>
  <c r="BA102" i="2" s="1"/>
  <c r="AZ149" i="2"/>
  <c r="BA131" i="2"/>
  <c r="BA135" i="2" s="1"/>
  <c r="BA71" i="2"/>
  <c r="BA82" i="2"/>
  <c r="BA97" i="2"/>
  <c r="BA101" i="2" s="1"/>
  <c r="BA116" i="2"/>
  <c r="BA62" i="2"/>
  <c r="BA66" i="2" s="1"/>
  <c r="BA132" i="2"/>
  <c r="BA136" i="2" s="1"/>
  <c r="AX163" i="2"/>
  <c r="AZ151" i="2"/>
  <c r="BJ202" i="2"/>
  <c r="BJ218" i="2" s="1"/>
  <c r="BJ203" i="2"/>
  <c r="BJ219" i="2" s="1"/>
  <c r="BJ199" i="2"/>
  <c r="BJ196" i="2"/>
  <c r="BJ197" i="2" s="1"/>
  <c r="BJ194" i="2"/>
  <c r="BJ200" i="2"/>
  <c r="BJ217" i="2" s="1"/>
  <c r="BJ191" i="2"/>
  <c r="BJ201" i="2"/>
  <c r="BJ190" i="2"/>
  <c r="BJ192" i="2" s="1"/>
  <c r="BJ198" i="2"/>
  <c r="AX168" i="2"/>
  <c r="BI193" i="2"/>
  <c r="BI216" i="2" s="1"/>
  <c r="BI214" i="2"/>
  <c r="AY152" i="2"/>
  <c r="AY154" i="2" s="1"/>
  <c r="AY162" i="2" s="1"/>
  <c r="AM185" i="2" s="1"/>
  <c r="AM187" i="2" s="1"/>
  <c r="BA104" i="2"/>
  <c r="BA137" i="2"/>
  <c r="BA70" i="2"/>
  <c r="BA105" i="2"/>
  <c r="BB35" i="2"/>
  <c r="BB82" i="2" s="1"/>
  <c r="BA72" i="2"/>
  <c r="BA96" i="2"/>
  <c r="BA100" i="2" s="1"/>
  <c r="BA54" i="2"/>
  <c r="AZ142" i="2"/>
  <c r="AZ165" i="2" s="1"/>
  <c r="AZ166" i="2" s="1"/>
  <c r="AZ143" i="2" s="1"/>
  <c r="BA88" i="2"/>
  <c r="BA106" i="2"/>
  <c r="BA48" i="2"/>
  <c r="BA64" i="2"/>
  <c r="BA68" i="2" s="1"/>
  <c r="BA130" i="2"/>
  <c r="BA134" i="2" s="1"/>
  <c r="BA122" i="2"/>
  <c r="AZ181" i="2"/>
  <c r="BA177" i="2"/>
  <c r="BA171" i="2"/>
  <c r="BA172" i="2"/>
  <c r="BA215" i="2" s="1"/>
  <c r="BA173" i="2"/>
  <c r="AW169" i="2"/>
  <c r="AW175" i="2"/>
  <c r="AW195" i="2" s="1"/>
  <c r="BI129" i="2"/>
  <c r="BB159" i="2"/>
  <c r="BB153" i="2"/>
  <c r="BB157" i="2"/>
  <c r="BA160" i="2"/>
  <c r="BI95" i="2"/>
  <c r="BJ37" i="2"/>
  <c r="BJ61" i="2" s="1"/>
  <c r="BJ39" i="2"/>
  <c r="BJ40" i="2" s="1"/>
  <c r="BK7" i="2"/>
  <c r="BK9" i="2" s="1"/>
  <c r="BK186" i="2" s="1"/>
  <c r="BO212" i="2"/>
  <c r="BK183" i="2"/>
  <c r="BB5" i="2"/>
  <c r="BB30" i="2" s="1"/>
  <c r="BA8" i="2"/>
  <c r="BC145" i="2"/>
  <c r="BA151" i="2" l="1"/>
  <c r="AZ152" i="2"/>
  <c r="AZ154" i="2" s="1"/>
  <c r="AZ162" i="2" s="1"/>
  <c r="AZ168" i="2" s="1"/>
  <c r="AZ269" i="2" s="1"/>
  <c r="BB131" i="2"/>
  <c r="BB135" i="2" s="1"/>
  <c r="BB122" i="2"/>
  <c r="AX169" i="2"/>
  <c r="AX269" i="2"/>
  <c r="AY163" i="2"/>
  <c r="AY168" i="2"/>
  <c r="AY269" i="2" s="1"/>
  <c r="BB108" i="2"/>
  <c r="BB88" i="2"/>
  <c r="BB132" i="2"/>
  <c r="BB136" i="2" s="1"/>
  <c r="BA149" i="2"/>
  <c r="BB64" i="2"/>
  <c r="BB68" i="2" s="1"/>
  <c r="BC35" i="2"/>
  <c r="BC88" i="2" s="1"/>
  <c r="BB62" i="2"/>
  <c r="BB66" i="2" s="1"/>
  <c r="BB130" i="2"/>
  <c r="BB134" i="2" s="1"/>
  <c r="BB71" i="2"/>
  <c r="BB59" i="2"/>
  <c r="BB103" i="2"/>
  <c r="BB69" i="2"/>
  <c r="BB138" i="2"/>
  <c r="BB127" i="2"/>
  <c r="BB96" i="2"/>
  <c r="BB100" i="2" s="1"/>
  <c r="BB104" i="2" s="1"/>
  <c r="BB137" i="2"/>
  <c r="BB98" i="2"/>
  <c r="BB102" i="2" s="1"/>
  <c r="BB93" i="2"/>
  <c r="BB105" i="2"/>
  <c r="BB139" i="2"/>
  <c r="BA142" i="2"/>
  <c r="BA165" i="2" s="1"/>
  <c r="BA166" i="2" s="1"/>
  <c r="BA143" i="2" s="1"/>
  <c r="BB63" i="2"/>
  <c r="BB67" i="2" s="1"/>
  <c r="BB54" i="2"/>
  <c r="BB48" i="2"/>
  <c r="BB140" i="2"/>
  <c r="BA150" i="2"/>
  <c r="BJ193" i="2"/>
  <c r="BJ216" i="2" s="1"/>
  <c r="BJ214" i="2"/>
  <c r="BK203" i="2"/>
  <c r="BK219" i="2" s="1"/>
  <c r="BK200" i="2"/>
  <c r="BK217" i="2" s="1"/>
  <c r="BK191" i="2"/>
  <c r="BK201" i="2"/>
  <c r="BK194" i="2"/>
  <c r="BK202" i="2"/>
  <c r="BK218" i="2" s="1"/>
  <c r="BK199" i="2"/>
  <c r="BK196" i="2"/>
  <c r="BK197" i="2" s="1"/>
  <c r="BK190" i="2"/>
  <c r="BK192" i="2" s="1"/>
  <c r="BK198" i="2"/>
  <c r="AX175" i="2"/>
  <c r="AX195" i="2" s="1"/>
  <c r="BB97" i="2"/>
  <c r="BB101" i="2" s="1"/>
  <c r="BB116" i="2"/>
  <c r="AN185" i="2"/>
  <c r="AN187" i="2" s="1"/>
  <c r="BB74" i="2"/>
  <c r="BJ95" i="2"/>
  <c r="BJ129" i="2"/>
  <c r="BC159" i="2"/>
  <c r="BC157" i="2"/>
  <c r="BC153" i="2"/>
  <c r="BC97" i="2"/>
  <c r="BC101" i="2" s="1"/>
  <c r="BK39" i="2"/>
  <c r="BK40" i="2" s="1"/>
  <c r="BK37" i="2"/>
  <c r="BK61" i="2" s="1"/>
  <c r="BL7" i="2"/>
  <c r="BL9" i="2" s="1"/>
  <c r="BL186" i="2" s="1"/>
  <c r="BP212" i="2"/>
  <c r="BL183" i="2"/>
  <c r="BC5" i="2"/>
  <c r="BC30" i="2" s="1"/>
  <c r="BB8" i="2"/>
  <c r="BD145" i="2"/>
  <c r="BC105" i="2" l="1"/>
  <c r="BC59" i="2"/>
  <c r="BC103" i="2"/>
  <c r="BC98" i="2"/>
  <c r="BC102" i="2" s="1"/>
  <c r="BC130" i="2"/>
  <c r="BC134" i="2" s="1"/>
  <c r="BC138" i="2"/>
  <c r="BC131" i="2"/>
  <c r="BC135" i="2" s="1"/>
  <c r="BC69" i="2"/>
  <c r="BC140" i="2"/>
  <c r="AZ163" i="2"/>
  <c r="BA152" i="2"/>
  <c r="BA154" i="2" s="1"/>
  <c r="BA162" i="2" s="1"/>
  <c r="BA168" i="2" s="1"/>
  <c r="BA269" i="2" s="1"/>
  <c r="AY169" i="2"/>
  <c r="AY175" i="2"/>
  <c r="AY195" i="2" s="1"/>
  <c r="BB149" i="2"/>
  <c r="BB151" i="2"/>
  <c r="BC71" i="2"/>
  <c r="BC139" i="2"/>
  <c r="BC127" i="2"/>
  <c r="BC72" i="2"/>
  <c r="BC132" i="2"/>
  <c r="BC136" i="2" s="1"/>
  <c r="BC48" i="2"/>
  <c r="BC62" i="2" s="1"/>
  <c r="BC66" i="2" s="1"/>
  <c r="BC74" i="2"/>
  <c r="BC63" i="2"/>
  <c r="BC67" i="2" s="1"/>
  <c r="BC82" i="2"/>
  <c r="BC96" i="2" s="1"/>
  <c r="BC100" i="2" s="1"/>
  <c r="BC104" i="2" s="1"/>
  <c r="BC137" i="2"/>
  <c r="BD35" i="2"/>
  <c r="BD59" i="2" s="1"/>
  <c r="BC64" i="2"/>
  <c r="BC68" i="2" s="1"/>
  <c r="BC122" i="2"/>
  <c r="BC106" i="2"/>
  <c r="BC54" i="2"/>
  <c r="BC116" i="2"/>
  <c r="BC93" i="2"/>
  <c r="BK193" i="2"/>
  <c r="BK216" i="2" s="1"/>
  <c r="BK214" i="2"/>
  <c r="BL203" i="2"/>
  <c r="BL219" i="2" s="1"/>
  <c r="BL200" i="2"/>
  <c r="BL217" i="2" s="1"/>
  <c r="BL199" i="2"/>
  <c r="BL196" i="2"/>
  <c r="BL197" i="2" s="1"/>
  <c r="BL198" i="2"/>
  <c r="BL201" i="2"/>
  <c r="BL190" i="2"/>
  <c r="BL192" i="2" s="1"/>
  <c r="BL202" i="2"/>
  <c r="BL218" i="2" s="1"/>
  <c r="BL194" i="2"/>
  <c r="BL191" i="2"/>
  <c r="AZ169" i="2"/>
  <c r="AZ175" i="2"/>
  <c r="AZ195" i="2" s="1"/>
  <c r="BC108" i="2"/>
  <c r="BB70" i="2"/>
  <c r="BB150" i="2" s="1"/>
  <c r="BB148" i="2"/>
  <c r="BK129" i="2"/>
  <c r="BD159" i="2"/>
  <c r="BD153" i="2"/>
  <c r="BD157" i="2"/>
  <c r="BK95" i="2"/>
  <c r="BL39" i="2"/>
  <c r="BL40" i="2" s="1"/>
  <c r="BL37" i="2"/>
  <c r="BL61" i="2" s="1"/>
  <c r="BM7" i="2"/>
  <c r="BM9" i="2" s="1"/>
  <c r="BM186" i="2" s="1"/>
  <c r="BQ212" i="2"/>
  <c r="BM183" i="2"/>
  <c r="BD5" i="2"/>
  <c r="BD30" i="2" s="1"/>
  <c r="BC8" i="2"/>
  <c r="BE145" i="2"/>
  <c r="AO185" i="2" l="1"/>
  <c r="AO187" i="2" s="1"/>
  <c r="BA163" i="2"/>
  <c r="BC149" i="2"/>
  <c r="BD88" i="2"/>
  <c r="BD82" i="2"/>
  <c r="BD97" i="2"/>
  <c r="BD101" i="2" s="1"/>
  <c r="BD71" i="2"/>
  <c r="BD131" i="2"/>
  <c r="BD135" i="2" s="1"/>
  <c r="BD54" i="2"/>
  <c r="BD64" i="2"/>
  <c r="BD68" i="2" s="1"/>
  <c r="BD93" i="2"/>
  <c r="BD74" i="2"/>
  <c r="BE35" i="2"/>
  <c r="BE127" i="2" s="1"/>
  <c r="BD127" i="2"/>
  <c r="BD105" i="2"/>
  <c r="BD138" i="2"/>
  <c r="BD137" i="2"/>
  <c r="BD69" i="2"/>
  <c r="BD139" i="2"/>
  <c r="BD63" i="2"/>
  <c r="BD67" i="2" s="1"/>
  <c r="BD122" i="2"/>
  <c r="BD106" i="2"/>
  <c r="BD130" i="2"/>
  <c r="BD134" i="2" s="1"/>
  <c r="BD132" i="2"/>
  <c r="BD136" i="2" s="1"/>
  <c r="BD103" i="2"/>
  <c r="BD140" i="2"/>
  <c r="BC142" i="2"/>
  <c r="BC165" i="2" s="1"/>
  <c r="BD72" i="2"/>
  <c r="BD98" i="2"/>
  <c r="BD102" i="2" s="1"/>
  <c r="BD116" i="2"/>
  <c r="BD48" i="2"/>
  <c r="BD62" i="2" s="1"/>
  <c r="BD66" i="2" s="1"/>
  <c r="BD96" i="2"/>
  <c r="BD100" i="2" s="1"/>
  <c r="BD104" i="2" s="1"/>
  <c r="BC151" i="2"/>
  <c r="BM201" i="2"/>
  <c r="BM200" i="2"/>
  <c r="BM217" i="2" s="1"/>
  <c r="BM199" i="2"/>
  <c r="BM202" i="2"/>
  <c r="BM218" i="2" s="1"/>
  <c r="BM203" i="2"/>
  <c r="BM219" i="2" s="1"/>
  <c r="BM191" i="2"/>
  <c r="BM190" i="2"/>
  <c r="BM192" i="2" s="1"/>
  <c r="BM194" i="2"/>
  <c r="BM198" i="2"/>
  <c r="BM196" i="2"/>
  <c r="BM197" i="2" s="1"/>
  <c r="BL193" i="2"/>
  <c r="BL216" i="2" s="1"/>
  <c r="BL214" i="2"/>
  <c r="BA169" i="2"/>
  <c r="BA175" i="2"/>
  <c r="BA195" i="2" s="1"/>
  <c r="BD108" i="2"/>
  <c r="BB152" i="2"/>
  <c r="BB154" i="2" s="1"/>
  <c r="BB158" i="2" s="1"/>
  <c r="BL129" i="2"/>
  <c r="BE159" i="2"/>
  <c r="BE153" i="2"/>
  <c r="BE157" i="2"/>
  <c r="BC70" i="2"/>
  <c r="BC150" i="2" s="1"/>
  <c r="BC148" i="2"/>
  <c r="BL95" i="2"/>
  <c r="BM39" i="2"/>
  <c r="BM40" i="2" s="1"/>
  <c r="BM37" i="2"/>
  <c r="BM61" i="2" s="1"/>
  <c r="BN7" i="2"/>
  <c r="BN9" i="2" s="1"/>
  <c r="BN186" i="2" s="1"/>
  <c r="BR212" i="2"/>
  <c r="BN183" i="2"/>
  <c r="BE5" i="2"/>
  <c r="BE30" i="2" s="1"/>
  <c r="BD8" i="2"/>
  <c r="BF145" i="2"/>
  <c r="BD151" i="2" l="1"/>
  <c r="BB160" i="2"/>
  <c r="BB162" i="2" s="1"/>
  <c r="BE103" i="2"/>
  <c r="BE130" i="2"/>
  <c r="BE134" i="2" s="1"/>
  <c r="BE139" i="2"/>
  <c r="BE48" i="2"/>
  <c r="BE54" i="2"/>
  <c r="BE64" i="2"/>
  <c r="BE68" i="2" s="1"/>
  <c r="BE72" i="2"/>
  <c r="BE82" i="2"/>
  <c r="BE96" i="2" s="1"/>
  <c r="BE100" i="2" s="1"/>
  <c r="BE104" i="2" s="1"/>
  <c r="BE105" i="2"/>
  <c r="BE59" i="2"/>
  <c r="BE93" i="2"/>
  <c r="BE137" i="2"/>
  <c r="BE132" i="2"/>
  <c r="BE136" i="2" s="1"/>
  <c r="BE74" i="2"/>
  <c r="BF35" i="2"/>
  <c r="BF59" i="2" s="1"/>
  <c r="BE106" i="2"/>
  <c r="BE116" i="2"/>
  <c r="BE63" i="2"/>
  <c r="BE67" i="2" s="1"/>
  <c r="BE97" i="2"/>
  <c r="BE101" i="2" s="1"/>
  <c r="BE140" i="2"/>
  <c r="BE131" i="2"/>
  <c r="BE135" i="2" s="1"/>
  <c r="BE69" i="2"/>
  <c r="BE138" i="2"/>
  <c r="BE88" i="2"/>
  <c r="BE71" i="2"/>
  <c r="BE98" i="2"/>
  <c r="BE102" i="2" s="1"/>
  <c r="BE122" i="2"/>
  <c r="BD142" i="2"/>
  <c r="BD165" i="2" s="1"/>
  <c r="BD149" i="2"/>
  <c r="BE62" i="2"/>
  <c r="BE66" i="2" s="1"/>
  <c r="BN200" i="2"/>
  <c r="BN217" i="2" s="1"/>
  <c r="BN199" i="2"/>
  <c r="BN194" i="2"/>
  <c r="BN201" i="2"/>
  <c r="BN198" i="2"/>
  <c r="BN196" i="2"/>
  <c r="BN197" i="2" s="1"/>
  <c r="BN203" i="2"/>
  <c r="BN219" i="2" s="1"/>
  <c r="BN190" i="2"/>
  <c r="BN192" i="2" s="1"/>
  <c r="BN202" i="2"/>
  <c r="BN218" i="2" s="1"/>
  <c r="BN191" i="2"/>
  <c r="BM193" i="2"/>
  <c r="BM216" i="2" s="1"/>
  <c r="BM214" i="2"/>
  <c r="BB163" i="2"/>
  <c r="AP185" i="2"/>
  <c r="AP187" i="2" s="1"/>
  <c r="BE108" i="2"/>
  <c r="BE151" i="2" s="1"/>
  <c r="BC152" i="2"/>
  <c r="BC154" i="2" s="1"/>
  <c r="BC158" i="2" s="1"/>
  <c r="BC160" i="2" s="1"/>
  <c r="BC162" i="2" s="1"/>
  <c r="BF127" i="2"/>
  <c r="BM95" i="2"/>
  <c r="BF153" i="2"/>
  <c r="BF159" i="2"/>
  <c r="BF157" i="2"/>
  <c r="BM129" i="2"/>
  <c r="BF131" i="2"/>
  <c r="BF135" i="2" s="1"/>
  <c r="BF130" i="2"/>
  <c r="BF134" i="2" s="1"/>
  <c r="BD70" i="2"/>
  <c r="BD150" i="2" s="1"/>
  <c r="BD148" i="2"/>
  <c r="BF72" i="2"/>
  <c r="BN37" i="2"/>
  <c r="BN61" i="2" s="1"/>
  <c r="BN39" i="2"/>
  <c r="BN40" i="2" s="1"/>
  <c r="BO7" i="2"/>
  <c r="BO9" i="2" s="1"/>
  <c r="BO186" i="2" s="1"/>
  <c r="BS212" i="2"/>
  <c r="BO183" i="2"/>
  <c r="BF5" i="2"/>
  <c r="BF30" i="2" s="1"/>
  <c r="BE8" i="2"/>
  <c r="BG145" i="2"/>
  <c r="BE149" i="2" l="1"/>
  <c r="BE142" i="2"/>
  <c r="BE165" i="2" s="1"/>
  <c r="BF103" i="2"/>
  <c r="BF48" i="2"/>
  <c r="BF62" i="2" s="1"/>
  <c r="BF66" i="2" s="1"/>
  <c r="BF140" i="2"/>
  <c r="BF122" i="2"/>
  <c r="BF74" i="2"/>
  <c r="BF71" i="2"/>
  <c r="BF98" i="2"/>
  <c r="BF102" i="2" s="1"/>
  <c r="BF105" i="2"/>
  <c r="BF93" i="2"/>
  <c r="BF139" i="2"/>
  <c r="BF63" i="2"/>
  <c r="BF67" i="2" s="1"/>
  <c r="BF54" i="2"/>
  <c r="BF137" i="2"/>
  <c r="BF138" i="2"/>
  <c r="BF69" i="2"/>
  <c r="BG35" i="2"/>
  <c r="BG59" i="2" s="1"/>
  <c r="BF64" i="2"/>
  <c r="BF68" i="2" s="1"/>
  <c r="BF116" i="2"/>
  <c r="BF97" i="2"/>
  <c r="BF101" i="2" s="1"/>
  <c r="BF132" i="2"/>
  <c r="BF136" i="2" s="1"/>
  <c r="BF82" i="2"/>
  <c r="BF96" i="2" s="1"/>
  <c r="BF100" i="2" s="1"/>
  <c r="BF104" i="2" s="1"/>
  <c r="BF106" i="2"/>
  <c r="BF88" i="2"/>
  <c r="BN193" i="2"/>
  <c r="BN216" i="2" s="1"/>
  <c r="BN214" i="2"/>
  <c r="BO199" i="2"/>
  <c r="BO202" i="2"/>
  <c r="BO218" i="2" s="1"/>
  <c r="BO194" i="2"/>
  <c r="BO201" i="2"/>
  <c r="BO196" i="2"/>
  <c r="BO197" i="2" s="1"/>
  <c r="BO203" i="2"/>
  <c r="BO219" i="2" s="1"/>
  <c r="BO191" i="2"/>
  <c r="BO200" i="2"/>
  <c r="BO217" i="2" s="1"/>
  <c r="BO190" i="2"/>
  <c r="BO192" i="2" s="1"/>
  <c r="BO198" i="2"/>
  <c r="BC163" i="2"/>
  <c r="AQ185" i="2"/>
  <c r="AQ187" i="2" s="1"/>
  <c r="BF108" i="2"/>
  <c r="BD152" i="2"/>
  <c r="BD154" i="2" s="1"/>
  <c r="BD158" i="2" s="1"/>
  <c r="BD160" i="2" s="1"/>
  <c r="BD162" i="2" s="1"/>
  <c r="BG82" i="2"/>
  <c r="BG127" i="2"/>
  <c r="BN129" i="2"/>
  <c r="BN95" i="2"/>
  <c r="BG132" i="2"/>
  <c r="BG136" i="2" s="1"/>
  <c r="BG139" i="2"/>
  <c r="BG137" i="2"/>
  <c r="BG105" i="2"/>
  <c r="BG130" i="2"/>
  <c r="BG134" i="2" s="1"/>
  <c r="BG98" i="2"/>
  <c r="BG102" i="2" s="1"/>
  <c r="BG106" i="2"/>
  <c r="BG54" i="2"/>
  <c r="BG122" i="2"/>
  <c r="BG153" i="2"/>
  <c r="BG157" i="2"/>
  <c r="BG74" i="2" s="1"/>
  <c r="BG159" i="2"/>
  <c r="BE70" i="2"/>
  <c r="BE150" i="2" s="1"/>
  <c r="BE148" i="2"/>
  <c r="BG93" i="2"/>
  <c r="BG71" i="2"/>
  <c r="BG69" i="2"/>
  <c r="BG72" i="2"/>
  <c r="BG64" i="2"/>
  <c r="BG68" i="2" s="1"/>
  <c r="BG63" i="2"/>
  <c r="BG67" i="2" s="1"/>
  <c r="BO37" i="2"/>
  <c r="BO61" i="2" s="1"/>
  <c r="BO39" i="2"/>
  <c r="BO40" i="2" s="1"/>
  <c r="BP7" i="2"/>
  <c r="BP9" i="2" s="1"/>
  <c r="BP186" i="2" s="1"/>
  <c r="BT212" i="2"/>
  <c r="BP183" i="2"/>
  <c r="BG5" i="2"/>
  <c r="BG30" i="2" s="1"/>
  <c r="BF8" i="2"/>
  <c r="BH145" i="2"/>
  <c r="BH35" i="2"/>
  <c r="BH122" i="2" s="1"/>
  <c r="BF142" i="2" l="1"/>
  <c r="BF165" i="2" s="1"/>
  <c r="BG48" i="2"/>
  <c r="BG62" i="2" s="1"/>
  <c r="BG66" i="2" s="1"/>
  <c r="BG97" i="2"/>
  <c r="BG101" i="2" s="1"/>
  <c r="BG116" i="2"/>
  <c r="BG103" i="2"/>
  <c r="BG149" i="2" s="1"/>
  <c r="BG140" i="2"/>
  <c r="BG138" i="2"/>
  <c r="BG88" i="2"/>
  <c r="BG131" i="2"/>
  <c r="BG135" i="2" s="1"/>
  <c r="BF149" i="2"/>
  <c r="BG96" i="2"/>
  <c r="BG100" i="2" s="1"/>
  <c r="BG104" i="2" s="1"/>
  <c r="BF151" i="2"/>
  <c r="BP200" i="2"/>
  <c r="BP217" i="2" s="1"/>
  <c r="BP201" i="2"/>
  <c r="BP196" i="2"/>
  <c r="BP197" i="2" s="1"/>
  <c r="BP202" i="2"/>
  <c r="BP218" i="2" s="1"/>
  <c r="BP198" i="2"/>
  <c r="BP199" i="2"/>
  <c r="BP203" i="2"/>
  <c r="BP219" i="2" s="1"/>
  <c r="BP191" i="2"/>
  <c r="BP194" i="2"/>
  <c r="BP190" i="2"/>
  <c r="BP192" i="2" s="1"/>
  <c r="BO193" i="2"/>
  <c r="BO216" i="2" s="1"/>
  <c r="BO214" i="2"/>
  <c r="BD163" i="2"/>
  <c r="AR185" i="2"/>
  <c r="AR187" i="2" s="1"/>
  <c r="BG108" i="2"/>
  <c r="BG151" i="2" s="1"/>
  <c r="BE152" i="2"/>
  <c r="BE154" i="2" s="1"/>
  <c r="BE158" i="2" s="1"/>
  <c r="BE160" i="2" s="1"/>
  <c r="BE162" i="2" s="1"/>
  <c r="BH93" i="2"/>
  <c r="BG142" i="2"/>
  <c r="BG165" i="2" s="1"/>
  <c r="BO95" i="2"/>
  <c r="BH139" i="2"/>
  <c r="BH137" i="2"/>
  <c r="BH140" i="2"/>
  <c r="BH138" i="2"/>
  <c r="BH131" i="2"/>
  <c r="BH135" i="2" s="1"/>
  <c r="BH132" i="2"/>
  <c r="BH136" i="2" s="1"/>
  <c r="BH103" i="2"/>
  <c r="BH97" i="2"/>
  <c r="BH101" i="2" s="1"/>
  <c r="BH105" i="2"/>
  <c r="BH130" i="2"/>
  <c r="BH134" i="2" s="1"/>
  <c r="BH106" i="2"/>
  <c r="BH98" i="2"/>
  <c r="BH102" i="2" s="1"/>
  <c r="BH157" i="2"/>
  <c r="BH108" i="2" s="1"/>
  <c r="BH159" i="2"/>
  <c r="BH153" i="2"/>
  <c r="BO129" i="2"/>
  <c r="BH59" i="2"/>
  <c r="BH127" i="2"/>
  <c r="BH54" i="2"/>
  <c r="BF70" i="2"/>
  <c r="BF150" i="2" s="1"/>
  <c r="BF148" i="2"/>
  <c r="BH116" i="2"/>
  <c r="BH48" i="2"/>
  <c r="BH62" i="2" s="1"/>
  <c r="BH88" i="2"/>
  <c r="BH82" i="2"/>
  <c r="BH71" i="2"/>
  <c r="BH69" i="2"/>
  <c r="BH70" i="2"/>
  <c r="BH72" i="2"/>
  <c r="BH64" i="2"/>
  <c r="BH68" i="2" s="1"/>
  <c r="BH63" i="2"/>
  <c r="BH67" i="2" s="1"/>
  <c r="BP39" i="2"/>
  <c r="BP40" i="2" s="1"/>
  <c r="BP37" i="2"/>
  <c r="BP61" i="2" s="1"/>
  <c r="BQ7" i="2"/>
  <c r="BQ9" i="2" s="1"/>
  <c r="BQ186" i="2" s="1"/>
  <c r="BU212" i="2"/>
  <c r="BQ183" i="2"/>
  <c r="BH5" i="2"/>
  <c r="BH30" i="2" s="1"/>
  <c r="BG8" i="2"/>
  <c r="BI145" i="2"/>
  <c r="BI35" i="2"/>
  <c r="BI48" i="2" s="1"/>
  <c r="BH96" i="2" l="1"/>
  <c r="BH100" i="2" s="1"/>
  <c r="BH104" i="2" s="1"/>
  <c r="BH150" i="2" s="1"/>
  <c r="BQ200" i="2"/>
  <c r="BQ217" i="2" s="1"/>
  <c r="BQ203" i="2"/>
  <c r="BQ219" i="2" s="1"/>
  <c r="BQ199" i="2"/>
  <c r="BQ194" i="2"/>
  <c r="BQ202" i="2"/>
  <c r="BQ218" i="2" s="1"/>
  <c r="BQ198" i="2"/>
  <c r="BQ191" i="2"/>
  <c r="BQ201" i="2"/>
  <c r="BQ196" i="2"/>
  <c r="BQ197" i="2" s="1"/>
  <c r="BQ190" i="2"/>
  <c r="BQ192" i="2" s="1"/>
  <c r="BP214" i="2"/>
  <c r="BP193" i="2"/>
  <c r="BP216" i="2" s="1"/>
  <c r="BE163" i="2"/>
  <c r="AS185" i="2"/>
  <c r="AS187" i="2" s="1"/>
  <c r="BH74" i="2"/>
  <c r="BH151" i="2" s="1"/>
  <c r="BH142" i="2"/>
  <c r="BH165" i="2" s="1"/>
  <c r="BI59" i="2"/>
  <c r="BH149" i="2"/>
  <c r="BI127" i="2"/>
  <c r="BI54" i="2"/>
  <c r="BI157" i="2"/>
  <c r="BI108" i="2" s="1"/>
  <c r="BI159" i="2"/>
  <c r="BI153" i="2"/>
  <c r="BF152" i="2"/>
  <c r="BF154" i="2" s="1"/>
  <c r="BF158" i="2" s="1"/>
  <c r="BF160" i="2" s="1"/>
  <c r="BF162" i="2" s="1"/>
  <c r="BI82" i="2"/>
  <c r="BI137" i="2"/>
  <c r="BI140" i="2"/>
  <c r="BI139" i="2"/>
  <c r="BI138" i="2"/>
  <c r="BI131" i="2"/>
  <c r="BI135" i="2" s="1"/>
  <c r="BI132" i="2"/>
  <c r="BI136" i="2" s="1"/>
  <c r="BI103" i="2"/>
  <c r="BI130" i="2"/>
  <c r="BI134" i="2" s="1"/>
  <c r="BI106" i="2"/>
  <c r="BI97" i="2"/>
  <c r="BI101" i="2" s="1"/>
  <c r="BI105" i="2"/>
  <c r="BI98" i="2"/>
  <c r="BI102" i="2" s="1"/>
  <c r="BI116" i="2"/>
  <c r="BI122" i="2"/>
  <c r="BG70" i="2"/>
  <c r="BG150" i="2" s="1"/>
  <c r="BG148" i="2"/>
  <c r="BI88" i="2"/>
  <c r="BP129" i="2"/>
  <c r="BI93" i="2"/>
  <c r="BP95" i="2"/>
  <c r="BI71" i="2"/>
  <c r="BI69" i="2"/>
  <c r="BI72" i="2"/>
  <c r="BI70" i="2"/>
  <c r="BH66" i="2"/>
  <c r="BI64" i="2"/>
  <c r="BI68" i="2" s="1"/>
  <c r="BI63" i="2"/>
  <c r="BI67" i="2" s="1"/>
  <c r="BI62" i="2"/>
  <c r="BQ39" i="2"/>
  <c r="BQ40" i="2" s="1"/>
  <c r="BQ37" i="2"/>
  <c r="BQ61" i="2" s="1"/>
  <c r="BR7" i="2"/>
  <c r="BR9" i="2" s="1"/>
  <c r="BR186" i="2" s="1"/>
  <c r="BV212" i="2"/>
  <c r="BR183" i="2"/>
  <c r="BI5" i="2"/>
  <c r="BI30" i="2" s="1"/>
  <c r="BH8" i="2"/>
  <c r="BJ145" i="2"/>
  <c r="BJ35" i="2"/>
  <c r="BJ48" i="2" s="1"/>
  <c r="BH148" i="2" l="1"/>
  <c r="BH152" i="2" s="1"/>
  <c r="BH154" i="2" s="1"/>
  <c r="BH158" i="2" s="1"/>
  <c r="BH160" i="2" s="1"/>
  <c r="BH162" i="2" s="1"/>
  <c r="BI96" i="2"/>
  <c r="BI100" i="2" s="1"/>
  <c r="BI104" i="2" s="1"/>
  <c r="BI150" i="2" s="1"/>
  <c r="BQ214" i="2"/>
  <c r="BQ193" i="2"/>
  <c r="BQ216" i="2" s="1"/>
  <c r="BR200" i="2"/>
  <c r="BR217" i="2" s="1"/>
  <c r="BR201" i="2"/>
  <c r="BR196" i="2"/>
  <c r="BR197" i="2" s="1"/>
  <c r="BR202" i="2"/>
  <c r="BR218" i="2" s="1"/>
  <c r="BR198" i="2"/>
  <c r="BR203" i="2"/>
  <c r="BR219" i="2" s="1"/>
  <c r="BR199" i="2"/>
  <c r="BR194" i="2"/>
  <c r="BR191" i="2"/>
  <c r="BR190" i="2"/>
  <c r="BR192" i="2" s="1"/>
  <c r="AT185" i="2"/>
  <c r="AT187" i="2" s="1"/>
  <c r="BI74" i="2"/>
  <c r="BI151" i="2" s="1"/>
  <c r="BI149" i="2"/>
  <c r="BI142" i="2"/>
  <c r="BI165" i="2" s="1"/>
  <c r="BJ82" i="2"/>
  <c r="BJ96" i="2" s="1"/>
  <c r="BJ100" i="2" s="1"/>
  <c r="BJ104" i="2" s="1"/>
  <c r="BJ59" i="2"/>
  <c r="BJ122" i="2"/>
  <c r="BG152" i="2"/>
  <c r="BG154" i="2" s="1"/>
  <c r="BG158" i="2" s="1"/>
  <c r="BG160" i="2" s="1"/>
  <c r="BG162" i="2" s="1"/>
  <c r="BJ127" i="2"/>
  <c r="BJ159" i="2"/>
  <c r="BJ153" i="2"/>
  <c r="BJ157" i="2"/>
  <c r="BJ108" i="2" s="1"/>
  <c r="BJ93" i="2"/>
  <c r="BQ95" i="2"/>
  <c r="BJ88" i="2"/>
  <c r="BJ54" i="2"/>
  <c r="BF163" i="2"/>
  <c r="BQ129" i="2"/>
  <c r="BJ139" i="2"/>
  <c r="BJ137" i="2"/>
  <c r="BJ138" i="2"/>
  <c r="BJ132" i="2"/>
  <c r="BJ136" i="2" s="1"/>
  <c r="BJ103" i="2"/>
  <c r="BJ98" i="2"/>
  <c r="BJ102" i="2" s="1"/>
  <c r="BJ130" i="2"/>
  <c r="BJ134" i="2" s="1"/>
  <c r="BJ106" i="2"/>
  <c r="BJ131" i="2"/>
  <c r="BJ135" i="2" s="1"/>
  <c r="BJ105" i="2"/>
  <c r="BJ97" i="2"/>
  <c r="BJ101" i="2" s="1"/>
  <c r="BJ140" i="2"/>
  <c r="BJ116" i="2"/>
  <c r="BJ72" i="2"/>
  <c r="BJ70" i="2"/>
  <c r="BJ69" i="2"/>
  <c r="BJ71" i="2"/>
  <c r="BI66" i="2"/>
  <c r="BI148" i="2" s="1"/>
  <c r="BR39" i="2"/>
  <c r="BR40" i="2" s="1"/>
  <c r="BR37" i="2"/>
  <c r="BR61" i="2" s="1"/>
  <c r="BJ64" i="2"/>
  <c r="BJ68" i="2" s="1"/>
  <c r="BJ63" i="2"/>
  <c r="BJ67" i="2" s="1"/>
  <c r="BJ62" i="2"/>
  <c r="BS7" i="2"/>
  <c r="BS9" i="2" s="1"/>
  <c r="BS186" i="2" s="1"/>
  <c r="BW212" i="2"/>
  <c r="BS183" i="2"/>
  <c r="BJ5" i="2"/>
  <c r="BJ30" i="2" s="1"/>
  <c r="BI8" i="2"/>
  <c r="BK145" i="2"/>
  <c r="BK35" i="2"/>
  <c r="BK93" i="2" s="1"/>
  <c r="BJ74" i="2" l="1"/>
  <c r="BJ151" i="2" s="1"/>
  <c r="BR193" i="2"/>
  <c r="BR216" i="2" s="1"/>
  <c r="BR214" i="2"/>
  <c r="BS201" i="2"/>
  <c r="BS203" i="2"/>
  <c r="BS219" i="2" s="1"/>
  <c r="BS200" i="2"/>
  <c r="BS217" i="2" s="1"/>
  <c r="BS190" i="2"/>
  <c r="BS192" i="2" s="1"/>
  <c r="BS191" i="2"/>
  <c r="BS202" i="2"/>
  <c r="BS218" i="2" s="1"/>
  <c r="BS198" i="2"/>
  <c r="BS194" i="2"/>
  <c r="BS196" i="2"/>
  <c r="BS197" i="2" s="1"/>
  <c r="BS199" i="2"/>
  <c r="BH163" i="2"/>
  <c r="AV185" i="2"/>
  <c r="AV187" i="2" s="1"/>
  <c r="BG163" i="2"/>
  <c r="AU185" i="2"/>
  <c r="AU187" i="2" s="1"/>
  <c r="BJ149" i="2"/>
  <c r="BI152" i="2"/>
  <c r="BI154" i="2" s="1"/>
  <c r="BI158" i="2" s="1"/>
  <c r="BI160" i="2" s="1"/>
  <c r="BI162" i="2" s="1"/>
  <c r="BJ150" i="2"/>
  <c r="BK59" i="2"/>
  <c r="BK116" i="2"/>
  <c r="BK127" i="2"/>
  <c r="BK54" i="2"/>
  <c r="BK88" i="2"/>
  <c r="BK140" i="2"/>
  <c r="BK139" i="2"/>
  <c r="BK137" i="2"/>
  <c r="BK131" i="2"/>
  <c r="BK135" i="2" s="1"/>
  <c r="BK138" i="2"/>
  <c r="BK130" i="2"/>
  <c r="BK134" i="2" s="1"/>
  <c r="BK106" i="2"/>
  <c r="BK105" i="2"/>
  <c r="BK98" i="2"/>
  <c r="BK102" i="2" s="1"/>
  <c r="BK104" i="2"/>
  <c r="BK97" i="2"/>
  <c r="BK101" i="2" s="1"/>
  <c r="BK103" i="2"/>
  <c r="BK132" i="2"/>
  <c r="BK136" i="2" s="1"/>
  <c r="BK159" i="2"/>
  <c r="BK153" i="2"/>
  <c r="BK157" i="2"/>
  <c r="BK74" i="2" s="1"/>
  <c r="BK122" i="2"/>
  <c r="BR95" i="2"/>
  <c r="BK82" i="2"/>
  <c r="BK96" i="2" s="1"/>
  <c r="BK100" i="2" s="1"/>
  <c r="BJ142" i="2"/>
  <c r="BJ165" i="2" s="1"/>
  <c r="BK48" i="2"/>
  <c r="BK62" i="2" s="1"/>
  <c r="BR129" i="2"/>
  <c r="BK72" i="2"/>
  <c r="BK70" i="2"/>
  <c r="BK71" i="2"/>
  <c r="BK69" i="2"/>
  <c r="BJ66" i="2"/>
  <c r="BJ148" i="2" s="1"/>
  <c r="BK64" i="2"/>
  <c r="BK68" i="2" s="1"/>
  <c r="BK63" i="2"/>
  <c r="BK67" i="2" s="1"/>
  <c r="BS37" i="2"/>
  <c r="BS61" i="2" s="1"/>
  <c r="BS39" i="2"/>
  <c r="BS40" i="2" s="1"/>
  <c r="BT7" i="2"/>
  <c r="BT9" i="2" s="1"/>
  <c r="BT186" i="2" s="1"/>
  <c r="BX212" i="2"/>
  <c r="BT183" i="2"/>
  <c r="BK5" i="2"/>
  <c r="BK30" i="2" s="1"/>
  <c r="BJ8" i="2"/>
  <c r="BL145" i="2"/>
  <c r="BL35" i="2"/>
  <c r="BL48" i="2" s="1"/>
  <c r="BT201" i="2" l="1"/>
  <c r="BT202" i="2"/>
  <c r="BT218" i="2" s="1"/>
  <c r="BT198" i="2"/>
  <c r="BT203" i="2"/>
  <c r="BT219" i="2" s="1"/>
  <c r="BT191" i="2"/>
  <c r="BT194" i="2"/>
  <c r="BT196" i="2"/>
  <c r="BT197" i="2" s="1"/>
  <c r="BT190" i="2"/>
  <c r="BT192" i="2" s="1"/>
  <c r="BT199" i="2"/>
  <c r="BT200" i="2"/>
  <c r="BT217" i="2" s="1"/>
  <c r="BS193" i="2"/>
  <c r="BS216" i="2" s="1"/>
  <c r="BS214" i="2"/>
  <c r="BI163" i="2"/>
  <c r="AW185" i="2"/>
  <c r="AW187" i="2" s="1"/>
  <c r="BK149" i="2"/>
  <c r="BJ152" i="2"/>
  <c r="BJ154" i="2" s="1"/>
  <c r="BJ158" i="2" s="1"/>
  <c r="BJ160" i="2" s="1"/>
  <c r="BJ162" i="2" s="1"/>
  <c r="BS129" i="2"/>
  <c r="BL122" i="2"/>
  <c r="BL127" i="2"/>
  <c r="BK150" i="2"/>
  <c r="BK142" i="2"/>
  <c r="BK165" i="2" s="1"/>
  <c r="BL93" i="2"/>
  <c r="BK108" i="2"/>
  <c r="BK151" i="2" s="1"/>
  <c r="BL54" i="2"/>
  <c r="BL159" i="2"/>
  <c r="BL153" i="2"/>
  <c r="BL157" i="2"/>
  <c r="BL108" i="2" s="1"/>
  <c r="BS95" i="2"/>
  <c r="BL88" i="2"/>
  <c r="BL132" i="2"/>
  <c r="BL136" i="2" s="1"/>
  <c r="BL106" i="2"/>
  <c r="BL139" i="2"/>
  <c r="BL105" i="2"/>
  <c r="BL137" i="2"/>
  <c r="BL131" i="2"/>
  <c r="BL135" i="2" s="1"/>
  <c r="BL98" i="2"/>
  <c r="BL102" i="2" s="1"/>
  <c r="BL104" i="2"/>
  <c r="BL97" i="2"/>
  <c r="BL101" i="2" s="1"/>
  <c r="BL103" i="2"/>
  <c r="BL130" i="2"/>
  <c r="BL134" i="2" s="1"/>
  <c r="BL138" i="2" s="1"/>
  <c r="BL82" i="2"/>
  <c r="BL96" i="2" s="1"/>
  <c r="BL100" i="2" s="1"/>
  <c r="BL116" i="2"/>
  <c r="BL59" i="2"/>
  <c r="BL72" i="2"/>
  <c r="BL70" i="2"/>
  <c r="BL69" i="2"/>
  <c r="BL71" i="2"/>
  <c r="BK66" i="2"/>
  <c r="BK148" i="2" s="1"/>
  <c r="BT39" i="2"/>
  <c r="BT40" i="2" s="1"/>
  <c r="BT37" i="2"/>
  <c r="BT61" i="2" s="1"/>
  <c r="BL64" i="2"/>
  <c r="BL68" i="2" s="1"/>
  <c r="BL63" i="2"/>
  <c r="BL67" i="2" s="1"/>
  <c r="BL62" i="2"/>
  <c r="BU7" i="2"/>
  <c r="BU9" i="2" s="1"/>
  <c r="BU186" i="2" s="1"/>
  <c r="BY212" i="2"/>
  <c r="BU183" i="2"/>
  <c r="BL5" i="2"/>
  <c r="BL30" i="2" s="1"/>
  <c r="BK8" i="2"/>
  <c r="BM145" i="2"/>
  <c r="BM35" i="2"/>
  <c r="BM116" i="2" s="1"/>
  <c r="BT193" i="2" l="1"/>
  <c r="BT216" i="2" s="1"/>
  <c r="BT214" i="2"/>
  <c r="BU202" i="2"/>
  <c r="BU218" i="2" s="1"/>
  <c r="BU199" i="2"/>
  <c r="BU191" i="2"/>
  <c r="BU194" i="2"/>
  <c r="BU201" i="2"/>
  <c r="BU190" i="2"/>
  <c r="BU192" i="2" s="1"/>
  <c r="BU198" i="2"/>
  <c r="BU196" i="2"/>
  <c r="BU197" i="2" s="1"/>
  <c r="BU200" i="2"/>
  <c r="BU217" i="2" s="1"/>
  <c r="BU203" i="2"/>
  <c r="BU219" i="2" s="1"/>
  <c r="BJ163" i="2"/>
  <c r="AX185" i="2"/>
  <c r="AX187" i="2" s="1"/>
  <c r="BL74" i="2"/>
  <c r="BL151" i="2" s="1"/>
  <c r="BL149" i="2"/>
  <c r="BM48" i="2"/>
  <c r="BK152" i="2"/>
  <c r="BK154" i="2" s="1"/>
  <c r="BK158" i="2" s="1"/>
  <c r="BK160" i="2" s="1"/>
  <c r="BK162" i="2" s="1"/>
  <c r="BM88" i="2"/>
  <c r="BM82" i="2"/>
  <c r="BM96" i="2" s="1"/>
  <c r="BM100" i="2" s="1"/>
  <c r="BT129" i="2"/>
  <c r="BM59" i="2"/>
  <c r="BM93" i="2"/>
  <c r="BM127" i="2"/>
  <c r="BT95" i="2"/>
  <c r="BL150" i="2"/>
  <c r="BM140" i="2"/>
  <c r="BM132" i="2"/>
  <c r="BM136" i="2" s="1"/>
  <c r="BM139" i="2"/>
  <c r="BM105" i="2"/>
  <c r="BM104" i="2"/>
  <c r="BM131" i="2"/>
  <c r="BM135" i="2" s="1"/>
  <c r="BM98" i="2"/>
  <c r="BM102" i="2" s="1"/>
  <c r="BM137" i="2"/>
  <c r="BM106" i="2"/>
  <c r="BM97" i="2"/>
  <c r="BM101" i="2" s="1"/>
  <c r="BM103" i="2"/>
  <c r="BM130" i="2"/>
  <c r="BM134" i="2" s="1"/>
  <c r="BM138" i="2" s="1"/>
  <c r="BM159" i="2"/>
  <c r="BM153" i="2"/>
  <c r="BM157" i="2"/>
  <c r="BM74" i="2" s="1"/>
  <c r="BM54" i="2"/>
  <c r="BM122" i="2"/>
  <c r="BM72" i="2"/>
  <c r="BM70" i="2"/>
  <c r="BM71" i="2"/>
  <c r="BM69" i="2"/>
  <c r="BL66" i="2"/>
  <c r="BL148" i="2" s="1"/>
  <c r="BM63" i="2"/>
  <c r="BM67" i="2" s="1"/>
  <c r="BM64" i="2"/>
  <c r="BM68" i="2" s="1"/>
  <c r="BU39" i="2"/>
  <c r="BU40" i="2" s="1"/>
  <c r="BU37" i="2"/>
  <c r="BU61" i="2" s="1"/>
  <c r="BV7" i="2"/>
  <c r="BV9" i="2" s="1"/>
  <c r="BV186" i="2" s="1"/>
  <c r="BZ212" i="2"/>
  <c r="BV183" i="2"/>
  <c r="BM5" i="2"/>
  <c r="BM30" i="2" s="1"/>
  <c r="BL8" i="2"/>
  <c r="BN145" i="2"/>
  <c r="BN35" i="2"/>
  <c r="BN54" i="2" s="1"/>
  <c r="BU193" i="2" l="1"/>
  <c r="BU216" i="2" s="1"/>
  <c r="BU214" i="2"/>
  <c r="BV202" i="2"/>
  <c r="BV218" i="2" s="1"/>
  <c r="BV203" i="2"/>
  <c r="BV219" i="2" s="1"/>
  <c r="BV200" i="2"/>
  <c r="BV217" i="2" s="1"/>
  <c r="BV199" i="2"/>
  <c r="BV196" i="2"/>
  <c r="BV197" i="2" s="1"/>
  <c r="BV198" i="2"/>
  <c r="BV194" i="2"/>
  <c r="BV191" i="2"/>
  <c r="BV190" i="2"/>
  <c r="BV192" i="2" s="1"/>
  <c r="BV201" i="2"/>
  <c r="BK163" i="2"/>
  <c r="AY185" i="2"/>
  <c r="AY187" i="2" s="1"/>
  <c r="BL152" i="2"/>
  <c r="BL154" i="2" s="1"/>
  <c r="BL158" i="2" s="1"/>
  <c r="BL160" i="2" s="1"/>
  <c r="BL162" i="2" s="1"/>
  <c r="BM149" i="2"/>
  <c r="BN127" i="2"/>
  <c r="BN116" i="2"/>
  <c r="BN130" i="2" s="1"/>
  <c r="BN134" i="2" s="1"/>
  <c r="BN138" i="2" s="1"/>
  <c r="BN88" i="2"/>
  <c r="BM108" i="2"/>
  <c r="BM151" i="2" s="1"/>
  <c r="BN59" i="2"/>
  <c r="BU95" i="2"/>
  <c r="BN153" i="2"/>
  <c r="BN159" i="2"/>
  <c r="BN157" i="2"/>
  <c r="BM142" i="2"/>
  <c r="BM165" i="2" s="1"/>
  <c r="BU129" i="2"/>
  <c r="BM150" i="2"/>
  <c r="BN93" i="2"/>
  <c r="BN132" i="2"/>
  <c r="BN136" i="2" s="1"/>
  <c r="BN139" i="2"/>
  <c r="BN105" i="2"/>
  <c r="BN106" i="2"/>
  <c r="BN98" i="2"/>
  <c r="BN102" i="2" s="1"/>
  <c r="BN137" i="2"/>
  <c r="BN104" i="2"/>
  <c r="BN97" i="2"/>
  <c r="BN101" i="2" s="1"/>
  <c r="BN103" i="2"/>
  <c r="BN131" i="2"/>
  <c r="BN135" i="2" s="1"/>
  <c r="BN140" i="2"/>
  <c r="BN122" i="2"/>
  <c r="BN71" i="2"/>
  <c r="BN69" i="2"/>
  <c r="BN72" i="2"/>
  <c r="BN70" i="2"/>
  <c r="BV37" i="2"/>
  <c r="BV61" i="2" s="1"/>
  <c r="BV39" i="2"/>
  <c r="BV40" i="2" s="1"/>
  <c r="BN64" i="2"/>
  <c r="BN68" i="2" s="1"/>
  <c r="BN63" i="2"/>
  <c r="BN67" i="2" s="1"/>
  <c r="BW7" i="2"/>
  <c r="BW9" i="2" s="1"/>
  <c r="BW186" i="2" s="1"/>
  <c r="CA212" i="2"/>
  <c r="BW183" i="2"/>
  <c r="BN5" i="2"/>
  <c r="BN30" i="2" s="1"/>
  <c r="BM8" i="2"/>
  <c r="BO145" i="2"/>
  <c r="BO35" i="2"/>
  <c r="BO54" i="2" s="1"/>
  <c r="BN108" i="2" l="1"/>
  <c r="BV193" i="2"/>
  <c r="BV216" i="2" s="1"/>
  <c r="BV214" i="2"/>
  <c r="BW203" i="2"/>
  <c r="BW219" i="2" s="1"/>
  <c r="BW200" i="2"/>
  <c r="BW217" i="2" s="1"/>
  <c r="BW201" i="2"/>
  <c r="BW191" i="2"/>
  <c r="BW194" i="2"/>
  <c r="BW198" i="2"/>
  <c r="BW202" i="2"/>
  <c r="BW218" i="2" s="1"/>
  <c r="BW190" i="2"/>
  <c r="BW192" i="2" s="1"/>
  <c r="BW196" i="2"/>
  <c r="BW197" i="2" s="1"/>
  <c r="BW199" i="2"/>
  <c r="BL163" i="2"/>
  <c r="AZ185" i="2"/>
  <c r="AZ187" i="2" s="1"/>
  <c r="BN74" i="2"/>
  <c r="BN151" i="2" s="1"/>
  <c r="BN150" i="2"/>
  <c r="BO122" i="2"/>
  <c r="BO116" i="2"/>
  <c r="BO130" i="2" s="1"/>
  <c r="BO134" i="2" s="1"/>
  <c r="BO138" i="2" s="1"/>
  <c r="BO88" i="2"/>
  <c r="BN142" i="2"/>
  <c r="BN165" i="2" s="1"/>
  <c r="BO59" i="2"/>
  <c r="BV95" i="2"/>
  <c r="BO48" i="2"/>
  <c r="BO82" i="2"/>
  <c r="BV129" i="2"/>
  <c r="BN149" i="2"/>
  <c r="BO93" i="2"/>
  <c r="BO132" i="2"/>
  <c r="BO136" i="2" s="1"/>
  <c r="BO140" i="2"/>
  <c r="BO105" i="2"/>
  <c r="BO104" i="2"/>
  <c r="BO137" i="2"/>
  <c r="BO131" i="2"/>
  <c r="BO135" i="2" s="1"/>
  <c r="BO139" i="2"/>
  <c r="BO97" i="2"/>
  <c r="BO101" i="2" s="1"/>
  <c r="BO106" i="2"/>
  <c r="BO103" i="2"/>
  <c r="BO98" i="2"/>
  <c r="BO102" i="2" s="1"/>
  <c r="BO153" i="2"/>
  <c r="BO157" i="2"/>
  <c r="BO108" i="2" s="1"/>
  <c r="BO159" i="2"/>
  <c r="BO127" i="2"/>
  <c r="BO71" i="2"/>
  <c r="BO69" i="2"/>
  <c r="BO72" i="2"/>
  <c r="BO70" i="2"/>
  <c r="BW39" i="2"/>
  <c r="BW40" i="2" s="1"/>
  <c r="BW37" i="2"/>
  <c r="BW61" i="2" s="1"/>
  <c r="BO64" i="2"/>
  <c r="BO68" i="2" s="1"/>
  <c r="BO63" i="2"/>
  <c r="BO67" i="2" s="1"/>
  <c r="BX7" i="2"/>
  <c r="BX9" i="2" s="1"/>
  <c r="BX186" i="2" s="1"/>
  <c r="CB212" i="2"/>
  <c r="BX183" i="2"/>
  <c r="BO5" i="2"/>
  <c r="BO30" i="2" s="1"/>
  <c r="BN8" i="2"/>
  <c r="BP145" i="2"/>
  <c r="BP35" i="2"/>
  <c r="BP116" i="2" s="1"/>
  <c r="BW193" i="2" l="1"/>
  <c r="BW216" i="2" s="1"/>
  <c r="BW214" i="2"/>
  <c r="BX203" i="2"/>
  <c r="BX219" i="2" s="1"/>
  <c r="BX199" i="2"/>
  <c r="BX196" i="2"/>
  <c r="BX197" i="2" s="1"/>
  <c r="BX201" i="2"/>
  <c r="BX198" i="2"/>
  <c r="BX194" i="2"/>
  <c r="BX202" i="2"/>
  <c r="BX218" i="2" s="1"/>
  <c r="BX190" i="2"/>
  <c r="BX192" i="2" s="1"/>
  <c r="BX191" i="2"/>
  <c r="BX200" i="2"/>
  <c r="BX217" i="2" s="1"/>
  <c r="BP88" i="2"/>
  <c r="BP59" i="2"/>
  <c r="BP54" i="2"/>
  <c r="BP82" i="2"/>
  <c r="BW129" i="2"/>
  <c r="BP93" i="2"/>
  <c r="BP48" i="2"/>
  <c r="BO74" i="2"/>
  <c r="BO151" i="2" s="1"/>
  <c r="BP127" i="2"/>
  <c r="BP157" i="2"/>
  <c r="BP74" i="2" s="1"/>
  <c r="BP153" i="2"/>
  <c r="BP159" i="2"/>
  <c r="BO149" i="2"/>
  <c r="BP122" i="2"/>
  <c r="BW95" i="2"/>
  <c r="BO142" i="2"/>
  <c r="BO165" i="2" s="1"/>
  <c r="BO150" i="2"/>
  <c r="BP139" i="2"/>
  <c r="BP140" i="2"/>
  <c r="BP137" i="2"/>
  <c r="BP104" i="2"/>
  <c r="BP131" i="2"/>
  <c r="BP135" i="2" s="1"/>
  <c r="BP132" i="2"/>
  <c r="BP136" i="2" s="1"/>
  <c r="BP97" i="2"/>
  <c r="BP101" i="2" s="1"/>
  <c r="BP106" i="2"/>
  <c r="BP103" i="2"/>
  <c r="BP98" i="2"/>
  <c r="BP102" i="2" s="1"/>
  <c r="BP105" i="2"/>
  <c r="BP130" i="2"/>
  <c r="BP134" i="2" s="1"/>
  <c r="BP138" i="2" s="1"/>
  <c r="BP71" i="2"/>
  <c r="BP69" i="2"/>
  <c r="BP72" i="2"/>
  <c r="BP70" i="2"/>
  <c r="BX39" i="2"/>
  <c r="BX40" i="2" s="1"/>
  <c r="BX37" i="2"/>
  <c r="BX61" i="2" s="1"/>
  <c r="BP64" i="2"/>
  <c r="BP68" i="2" s="1"/>
  <c r="BP63" i="2"/>
  <c r="BP67" i="2" s="1"/>
  <c r="BY7" i="2"/>
  <c r="BY9" i="2" s="1"/>
  <c r="BY186" i="2" s="1"/>
  <c r="CC212" i="2"/>
  <c r="BY183" i="2"/>
  <c r="BP5" i="2"/>
  <c r="BP30" i="2" s="1"/>
  <c r="BO8" i="2"/>
  <c r="BQ145" i="2"/>
  <c r="BQ35" i="2"/>
  <c r="BX193" i="2" l="1"/>
  <c r="BX216" i="2" s="1"/>
  <c r="BX214" i="2"/>
  <c r="BY201" i="2"/>
  <c r="BY202" i="2"/>
  <c r="BY218" i="2" s="1"/>
  <c r="BY200" i="2"/>
  <c r="BY217" i="2" s="1"/>
  <c r="BY190" i="2"/>
  <c r="BY192" i="2" s="1"/>
  <c r="BY198" i="2"/>
  <c r="BY194" i="2"/>
  <c r="BY191" i="2"/>
  <c r="BY196" i="2"/>
  <c r="BY197" i="2" s="1"/>
  <c r="BY199" i="2"/>
  <c r="BY203" i="2"/>
  <c r="BY219" i="2" s="1"/>
  <c r="BP150" i="2"/>
  <c r="BP108" i="2"/>
  <c r="BP151" i="2" s="1"/>
  <c r="BQ137" i="2"/>
  <c r="BQ140" i="2"/>
  <c r="BQ139" i="2"/>
  <c r="BQ131" i="2"/>
  <c r="BQ135" i="2" s="1"/>
  <c r="BQ103" i="2"/>
  <c r="BQ106" i="2"/>
  <c r="BQ97" i="2"/>
  <c r="BQ101" i="2" s="1"/>
  <c r="BQ104" i="2"/>
  <c r="BQ98" i="2"/>
  <c r="BQ102" i="2" s="1"/>
  <c r="BQ105" i="2"/>
  <c r="BQ132" i="2"/>
  <c r="BQ136" i="2" s="1"/>
  <c r="BQ93" i="2"/>
  <c r="BX95" i="2"/>
  <c r="BQ59" i="2"/>
  <c r="BP149" i="2"/>
  <c r="BQ127" i="2"/>
  <c r="BQ54" i="2"/>
  <c r="BQ122" i="2"/>
  <c r="BQ48" i="2"/>
  <c r="BQ157" i="2"/>
  <c r="BQ108" i="2" s="1"/>
  <c r="BQ159" i="2"/>
  <c r="BQ153" i="2"/>
  <c r="BQ116" i="2"/>
  <c r="BQ130" i="2" s="1"/>
  <c r="BQ134" i="2" s="1"/>
  <c r="BQ138" i="2" s="1"/>
  <c r="BP142" i="2"/>
  <c r="BP165" i="2" s="1"/>
  <c r="BQ88" i="2"/>
  <c r="BQ82" i="2"/>
  <c r="BX129" i="2"/>
  <c r="BQ71" i="2"/>
  <c r="BQ69" i="2"/>
  <c r="BQ72" i="2"/>
  <c r="BQ70" i="2"/>
  <c r="BQ64" i="2"/>
  <c r="BQ68" i="2" s="1"/>
  <c r="BQ63" i="2"/>
  <c r="BQ67" i="2" s="1"/>
  <c r="BY39" i="2"/>
  <c r="BY40" i="2" s="1"/>
  <c r="BY37" i="2"/>
  <c r="BY61" i="2" s="1"/>
  <c r="BZ7" i="2"/>
  <c r="BZ9" i="2" s="1"/>
  <c r="BZ186" i="2" s="1"/>
  <c r="CD212" i="2"/>
  <c r="BZ183" i="2"/>
  <c r="BQ5" i="2"/>
  <c r="BQ30" i="2" s="1"/>
  <c r="BP8" i="2"/>
  <c r="BR145" i="2"/>
  <c r="BR35" i="2"/>
  <c r="BR127" i="2" s="1"/>
  <c r="BY193" i="2" l="1"/>
  <c r="BY216" i="2" s="1"/>
  <c r="BY214" i="2"/>
  <c r="BZ194" i="2"/>
  <c r="BZ191" i="2"/>
  <c r="BZ190" i="2"/>
  <c r="BZ192" i="2" s="1"/>
  <c r="BQ142" i="2"/>
  <c r="BQ165" i="2" s="1"/>
  <c r="BQ74" i="2"/>
  <c r="BQ151" i="2" s="1"/>
  <c r="BR88" i="2"/>
  <c r="BR159" i="2"/>
  <c r="BR157" i="2"/>
  <c r="BR108" i="2" s="1"/>
  <c r="BR153" i="2"/>
  <c r="BR54" i="2"/>
  <c r="BR122" i="2"/>
  <c r="BR48" i="2"/>
  <c r="BQ150" i="2"/>
  <c r="BY129" i="2"/>
  <c r="BY95" i="2"/>
  <c r="BR93" i="2"/>
  <c r="BR59" i="2"/>
  <c r="BR116" i="2"/>
  <c r="BR130" i="2" s="1"/>
  <c r="BR134" i="2" s="1"/>
  <c r="BR138" i="2" s="1"/>
  <c r="BR140" i="2"/>
  <c r="BR139" i="2"/>
  <c r="BR137" i="2"/>
  <c r="BR131" i="2"/>
  <c r="BR135" i="2" s="1"/>
  <c r="BR103" i="2"/>
  <c r="BR98" i="2"/>
  <c r="BR102" i="2" s="1"/>
  <c r="BR106" i="2"/>
  <c r="BR104" i="2"/>
  <c r="BR132" i="2"/>
  <c r="BR136" i="2" s="1"/>
  <c r="BR105" i="2"/>
  <c r="BR97" i="2"/>
  <c r="BR101" i="2" s="1"/>
  <c r="BR82" i="2"/>
  <c r="BQ149" i="2"/>
  <c r="BR72" i="2"/>
  <c r="BR70" i="2"/>
  <c r="BR69" i="2"/>
  <c r="BR71" i="2"/>
  <c r="BZ39" i="2"/>
  <c r="BZ40" i="2" s="1"/>
  <c r="BZ37" i="2"/>
  <c r="BZ61" i="2" s="1"/>
  <c r="BR64" i="2"/>
  <c r="BR68" i="2" s="1"/>
  <c r="BR63" i="2"/>
  <c r="BR67" i="2" s="1"/>
  <c r="CA7" i="2"/>
  <c r="CA9" i="2" s="1"/>
  <c r="CA186" i="2" s="1"/>
  <c r="CE212" i="2"/>
  <c r="CA183" i="2"/>
  <c r="BR5" i="2"/>
  <c r="BR30" i="2" s="1"/>
  <c r="BQ8" i="2"/>
  <c r="BS145" i="2"/>
  <c r="BS35" i="2"/>
  <c r="BS54" i="2" s="1"/>
  <c r="BR74" i="2" l="1"/>
  <c r="BR151" i="2" s="1"/>
  <c r="BZ193" i="2"/>
  <c r="BZ216" i="2" s="1"/>
  <c r="BZ214" i="2"/>
  <c r="CA194" i="2"/>
  <c r="CA196" i="2"/>
  <c r="CA199" i="2"/>
  <c r="CA202" i="2"/>
  <c r="CA218" i="2" s="1"/>
  <c r="CA191" i="2"/>
  <c r="CA198" i="2"/>
  <c r="CA190" i="2"/>
  <c r="CA192" i="2" s="1"/>
  <c r="CA200" i="2"/>
  <c r="CA217" i="2" s="1"/>
  <c r="CA201" i="2"/>
  <c r="BS82" i="2"/>
  <c r="BS127" i="2"/>
  <c r="BS48" i="2"/>
  <c r="BS159" i="2"/>
  <c r="BS157" i="2"/>
  <c r="BS74" i="2" s="1"/>
  <c r="BS153" i="2"/>
  <c r="BS88" i="2"/>
  <c r="BZ95" i="2"/>
  <c r="BR142" i="2"/>
  <c r="BR165" i="2" s="1"/>
  <c r="BS93" i="2"/>
  <c r="BS59" i="2"/>
  <c r="BZ129" i="2"/>
  <c r="BR149" i="2"/>
  <c r="BS116" i="2"/>
  <c r="BS130" i="2" s="1"/>
  <c r="BS134" i="2" s="1"/>
  <c r="BS138" i="2" s="1"/>
  <c r="BS140" i="2"/>
  <c r="BS131" i="2"/>
  <c r="BS135" i="2" s="1"/>
  <c r="BS139" i="2"/>
  <c r="BS137" i="2"/>
  <c r="BS106" i="2"/>
  <c r="BS132" i="2"/>
  <c r="BS136" i="2" s="1"/>
  <c r="BS104" i="2"/>
  <c r="BS103" i="2"/>
  <c r="BS105" i="2"/>
  <c r="BS98" i="2"/>
  <c r="BS102" i="2" s="1"/>
  <c r="BS97" i="2"/>
  <c r="BS101" i="2" s="1"/>
  <c r="BR150" i="2"/>
  <c r="BS122" i="2"/>
  <c r="BS72" i="2"/>
  <c r="BS70" i="2"/>
  <c r="BS71" i="2"/>
  <c r="BS69" i="2"/>
  <c r="CA39" i="2"/>
  <c r="CA40" i="2" s="1"/>
  <c r="CA37" i="2"/>
  <c r="CA61" i="2" s="1"/>
  <c r="BS64" i="2"/>
  <c r="BS68" i="2" s="1"/>
  <c r="BS63" i="2"/>
  <c r="BS67" i="2" s="1"/>
  <c r="CB7" i="2"/>
  <c r="CB9" i="2" s="1"/>
  <c r="CB186" i="2" s="1"/>
  <c r="CF212" i="2"/>
  <c r="CB183" i="2"/>
  <c r="BS5" i="2"/>
  <c r="BS30" i="2" s="1"/>
  <c r="BR8" i="2"/>
  <c r="BT145" i="2"/>
  <c r="BT35" i="2"/>
  <c r="BT59" i="2" s="1"/>
  <c r="CA197" i="2" l="1"/>
  <c r="CA193" i="2"/>
  <c r="CA216" i="2" s="1"/>
  <c r="CA214" i="2"/>
  <c r="CB199" i="2"/>
  <c r="CB202" i="2"/>
  <c r="CB218" i="2" s="1"/>
  <c r="CB196" i="2"/>
  <c r="CB200" i="2"/>
  <c r="CB217" i="2" s="1"/>
  <c r="CB198" i="2"/>
  <c r="CB201" i="2"/>
  <c r="CB194" i="2"/>
  <c r="CB191" i="2"/>
  <c r="CB190" i="2"/>
  <c r="CB192" i="2" s="1"/>
  <c r="BS142" i="2"/>
  <c r="BS165" i="2" s="1"/>
  <c r="CA129" i="2"/>
  <c r="BT88" i="2"/>
  <c r="BT48" i="2"/>
  <c r="BS150" i="2"/>
  <c r="BS108" i="2"/>
  <c r="BS151" i="2" s="1"/>
  <c r="BT122" i="2"/>
  <c r="BT127" i="2"/>
  <c r="BT140" i="2"/>
  <c r="BT139" i="2"/>
  <c r="BT137" i="2"/>
  <c r="BT132" i="2"/>
  <c r="BT136" i="2" s="1"/>
  <c r="BT106" i="2"/>
  <c r="BT105" i="2"/>
  <c r="BT103" i="2"/>
  <c r="BT98" i="2"/>
  <c r="BT102" i="2" s="1"/>
  <c r="BT131" i="2"/>
  <c r="BT135" i="2" s="1"/>
  <c r="BT104" i="2"/>
  <c r="BT97" i="2"/>
  <c r="BT101" i="2" s="1"/>
  <c r="BT159" i="2"/>
  <c r="BT153" i="2"/>
  <c r="BT157" i="2"/>
  <c r="BT108" i="2" s="1"/>
  <c r="BT93" i="2"/>
  <c r="BT54" i="2"/>
  <c r="BT82" i="2"/>
  <c r="CA95" i="2"/>
  <c r="BS149" i="2"/>
  <c r="BT116" i="2"/>
  <c r="BT130" i="2" s="1"/>
  <c r="BT134" i="2" s="1"/>
  <c r="BT138" i="2" s="1"/>
  <c r="BT72" i="2"/>
  <c r="BT70" i="2"/>
  <c r="BT69" i="2"/>
  <c r="BT71" i="2"/>
  <c r="CB37" i="2"/>
  <c r="CB61" i="2" s="1"/>
  <c r="CB39" i="2"/>
  <c r="CB40" i="2" s="1"/>
  <c r="BT64" i="2"/>
  <c r="BT68" i="2" s="1"/>
  <c r="BT63" i="2"/>
  <c r="BT67" i="2" s="1"/>
  <c r="CC7" i="2"/>
  <c r="CC9" i="2" s="1"/>
  <c r="CC186" i="2" s="1"/>
  <c r="CG212" i="2"/>
  <c r="CC183" i="2"/>
  <c r="BT5" i="2"/>
  <c r="BT30" i="2" s="1"/>
  <c r="BS8" i="2"/>
  <c r="BU145" i="2"/>
  <c r="BU35" i="2"/>
  <c r="BU93" i="2" s="1"/>
  <c r="CB197" i="2" l="1"/>
  <c r="CB214" i="2"/>
  <c r="CB193" i="2"/>
  <c r="CB216" i="2" s="1"/>
  <c r="CC194" i="2"/>
  <c r="CC200" i="2"/>
  <c r="CC217" i="2" s="1"/>
  <c r="CC199" i="2"/>
  <c r="CC198" i="2"/>
  <c r="CC191" i="2"/>
  <c r="CC203" i="2"/>
  <c r="CC219" i="2" s="1"/>
  <c r="CC202" i="2"/>
  <c r="CC218" i="2" s="1"/>
  <c r="CC196" i="2"/>
  <c r="CC201" i="2"/>
  <c r="CC190" i="2"/>
  <c r="CC192" i="2" s="1"/>
  <c r="CB95" i="2"/>
  <c r="BU127" i="2"/>
  <c r="BU116" i="2"/>
  <c r="BU130" i="2" s="1"/>
  <c r="BU134" i="2" s="1"/>
  <c r="BU138" i="2" s="1"/>
  <c r="BU122" i="2"/>
  <c r="BT149" i="2"/>
  <c r="BU59" i="2"/>
  <c r="BT74" i="2"/>
  <c r="BT151" i="2" s="1"/>
  <c r="BU140" i="2"/>
  <c r="BU139" i="2"/>
  <c r="BU132" i="2"/>
  <c r="BU136" i="2" s="1"/>
  <c r="BU137" i="2"/>
  <c r="BU105" i="2"/>
  <c r="BU104" i="2"/>
  <c r="BU131" i="2"/>
  <c r="BU135" i="2" s="1"/>
  <c r="BU106" i="2"/>
  <c r="BU98" i="2"/>
  <c r="BU102" i="2" s="1"/>
  <c r="BU97" i="2"/>
  <c r="BU101" i="2" s="1"/>
  <c r="BU103" i="2"/>
  <c r="CB129" i="2"/>
  <c r="BU82" i="2"/>
  <c r="BT150" i="2"/>
  <c r="BU54" i="2"/>
  <c r="BU159" i="2"/>
  <c r="BU153" i="2"/>
  <c r="BU157" i="2"/>
  <c r="BU108" i="2" s="1"/>
  <c r="BU48" i="2"/>
  <c r="BT142" i="2"/>
  <c r="BT165" i="2" s="1"/>
  <c r="BU88" i="2"/>
  <c r="BU72" i="2"/>
  <c r="BU70" i="2"/>
  <c r="BU71" i="2"/>
  <c r="BU69" i="2"/>
  <c r="CC37" i="2"/>
  <c r="CC61" i="2" s="1"/>
  <c r="CC39" i="2"/>
  <c r="CC40" i="2" s="1"/>
  <c r="BU64" i="2"/>
  <c r="BU68" i="2" s="1"/>
  <c r="BU63" i="2"/>
  <c r="BU67" i="2" s="1"/>
  <c r="CD7" i="2"/>
  <c r="CD9" i="2" s="1"/>
  <c r="CD186" i="2" s="1"/>
  <c r="CH212" i="2"/>
  <c r="CD183" i="2"/>
  <c r="BU5" i="2"/>
  <c r="BU30" i="2" s="1"/>
  <c r="BT8" i="2"/>
  <c r="BV145" i="2"/>
  <c r="BV35" i="2"/>
  <c r="BV127" i="2" s="1"/>
  <c r="CC197" i="2" l="1"/>
  <c r="CC214" i="2"/>
  <c r="CC193" i="2"/>
  <c r="CC216" i="2" s="1"/>
  <c r="CD200" i="2"/>
  <c r="CD217" i="2" s="1"/>
  <c r="CD196" i="2"/>
  <c r="CD199" i="2"/>
  <c r="CD198" i="2"/>
  <c r="CD201" i="2"/>
  <c r="CD202" i="2"/>
  <c r="CD218" i="2" s="1"/>
  <c r="CD191" i="2"/>
  <c r="CD190" i="2"/>
  <c r="CD192" i="2" s="1"/>
  <c r="CD194" i="2"/>
  <c r="BU74" i="2"/>
  <c r="BU151" i="2" s="1"/>
  <c r="BV82" i="2"/>
  <c r="BV59" i="2"/>
  <c r="BV153" i="2"/>
  <c r="BV157" i="2"/>
  <c r="BV108" i="2" s="1"/>
  <c r="BV159" i="2"/>
  <c r="BU149" i="2"/>
  <c r="BV88" i="2"/>
  <c r="BV54" i="2"/>
  <c r="BU142" i="2"/>
  <c r="BU165" i="2" s="1"/>
  <c r="BV132" i="2"/>
  <c r="BV136" i="2" s="1"/>
  <c r="BV137" i="2"/>
  <c r="BV105" i="2"/>
  <c r="BV140" i="2"/>
  <c r="BV139" i="2"/>
  <c r="BV106" i="2"/>
  <c r="BV98" i="2"/>
  <c r="BV102" i="2" s="1"/>
  <c r="BV97" i="2"/>
  <c r="BV101" i="2" s="1"/>
  <c r="BV131" i="2"/>
  <c r="BV135" i="2" s="1"/>
  <c r="BV103" i="2"/>
  <c r="BV104" i="2"/>
  <c r="CC129" i="2"/>
  <c r="BV93" i="2"/>
  <c r="BU150" i="2"/>
  <c r="BV122" i="2"/>
  <c r="CC95" i="2"/>
  <c r="BV116" i="2"/>
  <c r="BV130" i="2" s="1"/>
  <c r="BV134" i="2" s="1"/>
  <c r="BV138" i="2" s="1"/>
  <c r="BV48" i="2"/>
  <c r="BV71" i="2"/>
  <c r="BV69" i="2"/>
  <c r="BV70" i="2"/>
  <c r="BV72" i="2"/>
  <c r="CD39" i="2"/>
  <c r="CD40" i="2" s="1"/>
  <c r="CD37" i="2"/>
  <c r="CD61" i="2" s="1"/>
  <c r="BV64" i="2"/>
  <c r="BV68" i="2" s="1"/>
  <c r="BV63" i="2"/>
  <c r="BV67" i="2" s="1"/>
  <c r="CE7" i="2"/>
  <c r="CE9" i="2" s="1"/>
  <c r="CE186" i="2" s="1"/>
  <c r="CI212" i="2"/>
  <c r="CE183" i="2"/>
  <c r="BV5" i="2"/>
  <c r="BV30" i="2" s="1"/>
  <c r="BU8" i="2"/>
  <c r="BW145" i="2"/>
  <c r="BW35" i="2"/>
  <c r="BW88" i="2" s="1"/>
  <c r="CD197" i="2" l="1"/>
  <c r="CD193" i="2"/>
  <c r="CD216" i="2" s="1"/>
  <c r="CD214" i="2"/>
  <c r="CE200" i="2"/>
  <c r="CE217" i="2" s="1"/>
  <c r="CE201" i="2"/>
  <c r="CE202" i="2"/>
  <c r="CE218" i="2" s="1"/>
  <c r="CE196" i="2"/>
  <c r="CE199" i="2"/>
  <c r="CE190" i="2"/>
  <c r="CE192" i="2" s="1"/>
  <c r="CE194" i="2"/>
  <c r="CE198" i="2"/>
  <c r="CE191" i="2"/>
  <c r="BV149" i="2"/>
  <c r="CD95" i="2"/>
  <c r="BV142" i="2"/>
  <c r="BV165" i="2" s="1"/>
  <c r="BW116" i="2"/>
  <c r="BW130" i="2" s="1"/>
  <c r="BW134" i="2" s="1"/>
  <c r="BW138" i="2" s="1"/>
  <c r="BW54" i="2"/>
  <c r="BW93" i="2"/>
  <c r="BW48" i="2"/>
  <c r="BW122" i="2"/>
  <c r="BW82" i="2"/>
  <c r="BW153" i="2"/>
  <c r="BW157" i="2"/>
  <c r="BW108" i="2" s="1"/>
  <c r="BW159" i="2"/>
  <c r="BV74" i="2"/>
  <c r="BV151" i="2" s="1"/>
  <c r="CD129" i="2"/>
  <c r="BW132" i="2"/>
  <c r="BW136" i="2" s="1"/>
  <c r="BW140" i="2"/>
  <c r="BW139" i="2"/>
  <c r="BW137" i="2"/>
  <c r="BW105" i="2"/>
  <c r="BW104" i="2"/>
  <c r="BW106" i="2"/>
  <c r="BW98" i="2"/>
  <c r="BW102" i="2" s="1"/>
  <c r="BW97" i="2"/>
  <c r="BW101" i="2" s="1"/>
  <c r="BW131" i="2"/>
  <c r="BW135" i="2" s="1"/>
  <c r="BW103" i="2"/>
  <c r="BW127" i="2"/>
  <c r="BW59" i="2"/>
  <c r="BV150" i="2"/>
  <c r="BW71" i="2"/>
  <c r="BW69" i="2"/>
  <c r="BW72" i="2"/>
  <c r="BW70" i="2"/>
  <c r="CE39" i="2"/>
  <c r="CE40" i="2" s="1"/>
  <c r="CE37" i="2"/>
  <c r="CE61" i="2" s="1"/>
  <c r="BW64" i="2"/>
  <c r="BW68" i="2" s="1"/>
  <c r="BW63" i="2"/>
  <c r="BW67" i="2" s="1"/>
  <c r="CF7" i="2"/>
  <c r="CF9" i="2" s="1"/>
  <c r="CF186" i="2" s="1"/>
  <c r="CJ212" i="2"/>
  <c r="CF183" i="2"/>
  <c r="BW5" i="2"/>
  <c r="BW30" i="2" s="1"/>
  <c r="BV8" i="2"/>
  <c r="BX145" i="2"/>
  <c r="BX35" i="2"/>
  <c r="BX122" i="2" s="1"/>
  <c r="CE197" i="2" l="1"/>
  <c r="BW74" i="2"/>
  <c r="BW151" i="2" s="1"/>
  <c r="CF201" i="2"/>
  <c r="CF199" i="2"/>
  <c r="CF198" i="2"/>
  <c r="CF200" i="2"/>
  <c r="CF217" i="2" s="1"/>
  <c r="CF191" i="2"/>
  <c r="CF202" i="2"/>
  <c r="CF218" i="2" s="1"/>
  <c r="CF196" i="2"/>
  <c r="CF190" i="2"/>
  <c r="CF192" i="2" s="1"/>
  <c r="CF194" i="2"/>
  <c r="CE193" i="2"/>
  <c r="CE216" i="2" s="1"/>
  <c r="CE214" i="2"/>
  <c r="BW142" i="2"/>
  <c r="BW165" i="2" s="1"/>
  <c r="CE129" i="2"/>
  <c r="BX88" i="2"/>
  <c r="BW149" i="2"/>
  <c r="BX127" i="2"/>
  <c r="BX139" i="2"/>
  <c r="BX104" i="2"/>
  <c r="BX140" i="2"/>
  <c r="BX132" i="2"/>
  <c r="BX136" i="2" s="1"/>
  <c r="BX131" i="2"/>
  <c r="BX135" i="2" s="1"/>
  <c r="BX137" i="2"/>
  <c r="BX97" i="2"/>
  <c r="BX101" i="2" s="1"/>
  <c r="BX105" i="2"/>
  <c r="BX103" i="2"/>
  <c r="BX98" i="2"/>
  <c r="BX102" i="2" s="1"/>
  <c r="BX106" i="2"/>
  <c r="BX157" i="2"/>
  <c r="BX74" i="2" s="1"/>
  <c r="BX153" i="2"/>
  <c r="BX159" i="2"/>
  <c r="BX59" i="2"/>
  <c r="BW150" i="2"/>
  <c r="BX93" i="2"/>
  <c r="BX48" i="2"/>
  <c r="BX82" i="2"/>
  <c r="BX54" i="2"/>
  <c r="CE95" i="2"/>
  <c r="BX71" i="2"/>
  <c r="BX69" i="2"/>
  <c r="BX72" i="2"/>
  <c r="BX70" i="2"/>
  <c r="CF39" i="2"/>
  <c r="CF40" i="2" s="1"/>
  <c r="CF37" i="2"/>
  <c r="CF61" i="2" s="1"/>
  <c r="BX64" i="2"/>
  <c r="BX68" i="2" s="1"/>
  <c r="BX63" i="2"/>
  <c r="BX67" i="2" s="1"/>
  <c r="CG7" i="2"/>
  <c r="CG9" i="2" s="1"/>
  <c r="CG186" i="2" s="1"/>
  <c r="CK212" i="2"/>
  <c r="CL212" i="2" s="1"/>
  <c r="CL215" i="2" s="1"/>
  <c r="CG183" i="2"/>
  <c r="BX5" i="2"/>
  <c r="BX30" i="2" s="1"/>
  <c r="BW8" i="2"/>
  <c r="BY145" i="2"/>
  <c r="BY35" i="2"/>
  <c r="BY127" i="2" s="1"/>
  <c r="CF197" i="2" l="1"/>
  <c r="CF193" i="2"/>
  <c r="CF216" i="2" s="1"/>
  <c r="CF214" i="2"/>
  <c r="CG201" i="2"/>
  <c r="CG191" i="2"/>
  <c r="CG202" i="2"/>
  <c r="CG218" i="2" s="1"/>
  <c r="CG194" i="2"/>
  <c r="CG198" i="2"/>
  <c r="CG196" i="2"/>
  <c r="CG199" i="2"/>
  <c r="CG200" i="2"/>
  <c r="CG217" i="2" s="1"/>
  <c r="CG190" i="2"/>
  <c r="CG192" i="2" s="1"/>
  <c r="BX149" i="2"/>
  <c r="BX108" i="2"/>
  <c r="BX151" i="2" s="1"/>
  <c r="CF95" i="2"/>
  <c r="BY88" i="2"/>
  <c r="BY54" i="2"/>
  <c r="BX142" i="2"/>
  <c r="BX165" i="2" s="1"/>
  <c r="BY93" i="2"/>
  <c r="BY82" i="2"/>
  <c r="BY48" i="2"/>
  <c r="BY59" i="2"/>
  <c r="BY137" i="2"/>
  <c r="BY140" i="2"/>
  <c r="BY132" i="2"/>
  <c r="BY136" i="2" s="1"/>
  <c r="BY103" i="2"/>
  <c r="BY131" i="2"/>
  <c r="BY135" i="2" s="1"/>
  <c r="BY106" i="2"/>
  <c r="BY139" i="2"/>
  <c r="BY97" i="2"/>
  <c r="BY101" i="2" s="1"/>
  <c r="BY105" i="2"/>
  <c r="BY98" i="2"/>
  <c r="BY102" i="2" s="1"/>
  <c r="BY104" i="2"/>
  <c r="BY122" i="2"/>
  <c r="BY157" i="2"/>
  <c r="BY74" i="2" s="1"/>
  <c r="BY159" i="2"/>
  <c r="BY153" i="2"/>
  <c r="CF129" i="2"/>
  <c r="BY116" i="2"/>
  <c r="BY71" i="2"/>
  <c r="BY69" i="2"/>
  <c r="BY72" i="2"/>
  <c r="BY70" i="2"/>
  <c r="CG39" i="2"/>
  <c r="CG40" i="2" s="1"/>
  <c r="CG37" i="2"/>
  <c r="CG61" i="2" s="1"/>
  <c r="BY63" i="2"/>
  <c r="BY67" i="2" s="1"/>
  <c r="BY64" i="2"/>
  <c r="BY68" i="2" s="1"/>
  <c r="CM212" i="2"/>
  <c r="CM215" i="2" s="1"/>
  <c r="CH7" i="2"/>
  <c r="CH9" i="2" s="1"/>
  <c r="CH186" i="2" s="1"/>
  <c r="CH183" i="2"/>
  <c r="BY5" i="2"/>
  <c r="BY30" i="2" s="1"/>
  <c r="BX8" i="2"/>
  <c r="BZ145" i="2"/>
  <c r="BZ35" i="2"/>
  <c r="BZ116" i="2" s="1"/>
  <c r="CG197" i="2" l="1"/>
  <c r="CG193" i="2"/>
  <c r="CG216" i="2" s="1"/>
  <c r="CG214" i="2"/>
  <c r="CH191" i="2"/>
  <c r="CH190" i="2"/>
  <c r="CH192" i="2" s="1"/>
  <c r="CH194" i="2"/>
  <c r="BY149" i="2"/>
  <c r="BY108" i="2"/>
  <c r="BY151" i="2" s="1"/>
  <c r="BZ54" i="2"/>
  <c r="CG129" i="2"/>
  <c r="BZ122" i="2"/>
  <c r="BZ93" i="2"/>
  <c r="BY142" i="2"/>
  <c r="BY165" i="2" s="1"/>
  <c r="BZ88" i="2"/>
  <c r="BZ59" i="2"/>
  <c r="BZ140" i="2"/>
  <c r="BZ131" i="2"/>
  <c r="BZ135" i="2" s="1"/>
  <c r="BZ137" i="2"/>
  <c r="BZ132" i="2"/>
  <c r="BZ136" i="2" s="1"/>
  <c r="BZ103" i="2"/>
  <c r="BZ98" i="2"/>
  <c r="BZ102" i="2" s="1"/>
  <c r="BZ106" i="2"/>
  <c r="BZ105" i="2"/>
  <c r="BZ104" i="2"/>
  <c r="BZ97" i="2"/>
  <c r="BZ101" i="2" s="1"/>
  <c r="BZ139" i="2"/>
  <c r="BZ159" i="2"/>
  <c r="BZ153" i="2"/>
  <c r="BZ157" i="2"/>
  <c r="BZ127" i="2"/>
  <c r="CG95" i="2"/>
  <c r="BZ72" i="2"/>
  <c r="BZ70" i="2"/>
  <c r="BZ71" i="2"/>
  <c r="BZ69" i="2"/>
  <c r="CH37" i="2"/>
  <c r="CH61" i="2" s="1"/>
  <c r="CH39" i="2"/>
  <c r="CH40" i="2" s="1"/>
  <c r="BZ64" i="2"/>
  <c r="BZ68" i="2" s="1"/>
  <c r="BZ63" i="2"/>
  <c r="BZ67" i="2" s="1"/>
  <c r="CN212" i="2"/>
  <c r="CN215" i="2" s="1"/>
  <c r="CI7" i="2"/>
  <c r="CI9" i="2" s="1"/>
  <c r="CI186" i="2" s="1"/>
  <c r="CI183" i="2"/>
  <c r="BZ5" i="2"/>
  <c r="BZ30" i="2" s="1"/>
  <c r="BY8" i="2"/>
  <c r="CA145" i="2"/>
  <c r="CA35" i="2"/>
  <c r="CA54" i="2" s="1"/>
  <c r="BZ108" i="2" l="1"/>
  <c r="CH193" i="2"/>
  <c r="CH216" i="2" s="1"/>
  <c r="CH214" i="2"/>
  <c r="CI202" i="2"/>
  <c r="CI218" i="2" s="1"/>
  <c r="CI191" i="2"/>
  <c r="CI203" i="2"/>
  <c r="CI219" i="2" s="1"/>
  <c r="CI194" i="2"/>
  <c r="CI196" i="2"/>
  <c r="CI197" i="2" s="1"/>
  <c r="CI199" i="2"/>
  <c r="CI200" i="2"/>
  <c r="CI217" i="2" s="1"/>
  <c r="CI190" i="2"/>
  <c r="CI192" i="2" s="1"/>
  <c r="CI201" i="2"/>
  <c r="CI198" i="2"/>
  <c r="BZ149" i="2"/>
  <c r="CA88" i="2"/>
  <c r="CH95" i="2"/>
  <c r="BZ142" i="2"/>
  <c r="BZ165" i="2" s="1"/>
  <c r="CA127" i="2"/>
  <c r="CA59" i="2"/>
  <c r="CA116" i="2"/>
  <c r="BZ74" i="2"/>
  <c r="CA138" i="2"/>
  <c r="CA131" i="2"/>
  <c r="CA135" i="2" s="1"/>
  <c r="CA137" i="2"/>
  <c r="CA140" i="2"/>
  <c r="CA139" i="2"/>
  <c r="CA106" i="2"/>
  <c r="CA105" i="2"/>
  <c r="CA132" i="2"/>
  <c r="CA136" i="2" s="1"/>
  <c r="CA104" i="2"/>
  <c r="CA103" i="2"/>
  <c r="CA98" i="2"/>
  <c r="CA102" i="2" s="1"/>
  <c r="CA97" i="2"/>
  <c r="CA101" i="2" s="1"/>
  <c r="CA93" i="2"/>
  <c r="CH129" i="2"/>
  <c r="CA82" i="2"/>
  <c r="CA122" i="2"/>
  <c r="CA159" i="2"/>
  <c r="CA153" i="2"/>
  <c r="CA157" i="2"/>
  <c r="CA74" i="2" s="1"/>
  <c r="CA48" i="2"/>
  <c r="CA72" i="2"/>
  <c r="CA70" i="2"/>
  <c r="CA71" i="2"/>
  <c r="CA69" i="2"/>
  <c r="CI39" i="2"/>
  <c r="CI40" i="2" s="1"/>
  <c r="CI37" i="2"/>
  <c r="CI61" i="2" s="1"/>
  <c r="CA64" i="2"/>
  <c r="CA68" i="2" s="1"/>
  <c r="CA63" i="2"/>
  <c r="CA67" i="2" s="1"/>
  <c r="CO212" i="2"/>
  <c r="CO215" i="2" s="1"/>
  <c r="CJ7" i="2"/>
  <c r="CJ9" i="2" s="1"/>
  <c r="CJ186" i="2" s="1"/>
  <c r="CJ183" i="2"/>
  <c r="CA5" i="2"/>
  <c r="CA30" i="2" s="1"/>
  <c r="BZ8" i="2"/>
  <c r="CB145" i="2"/>
  <c r="CB35" i="2"/>
  <c r="CB82" i="2" s="1"/>
  <c r="BZ151" i="2" l="1"/>
  <c r="CI193" i="2"/>
  <c r="CI216" i="2" s="1"/>
  <c r="CI214" i="2"/>
  <c r="CJ203" i="2"/>
  <c r="CJ219" i="2" s="1"/>
  <c r="CJ200" i="2"/>
  <c r="CJ217" i="2" s="1"/>
  <c r="CJ201" i="2"/>
  <c r="CJ202" i="2"/>
  <c r="CJ218" i="2" s="1"/>
  <c r="CJ196" i="2"/>
  <c r="CJ197" i="2" s="1"/>
  <c r="CJ198" i="2"/>
  <c r="CJ199" i="2"/>
  <c r="CJ190" i="2"/>
  <c r="CJ192" i="2" s="1"/>
  <c r="CJ194" i="2"/>
  <c r="CJ191" i="2"/>
  <c r="CA149" i="2"/>
  <c r="CA142" i="2"/>
  <c r="CA165" i="2" s="1"/>
  <c r="CB116" i="2"/>
  <c r="CB59" i="2"/>
  <c r="CA150" i="2"/>
  <c r="CA108" i="2"/>
  <c r="CA151" i="2" s="1"/>
  <c r="CB48" i="2"/>
  <c r="CB93" i="2"/>
  <c r="CB54" i="2"/>
  <c r="CB88" i="2"/>
  <c r="CI95" i="2"/>
  <c r="CB127" i="2"/>
  <c r="CB138" i="2"/>
  <c r="CB140" i="2"/>
  <c r="CB137" i="2"/>
  <c r="CB139" i="2"/>
  <c r="CB132" i="2"/>
  <c r="CB136" i="2" s="1"/>
  <c r="CB106" i="2"/>
  <c r="CB131" i="2"/>
  <c r="CB135" i="2" s="1"/>
  <c r="CB105" i="2"/>
  <c r="CB104" i="2"/>
  <c r="CB103" i="2"/>
  <c r="CB98" i="2"/>
  <c r="CB102" i="2" s="1"/>
  <c r="CB97" i="2"/>
  <c r="CB101" i="2" s="1"/>
  <c r="CB159" i="2"/>
  <c r="CB157" i="2"/>
  <c r="CB74" i="2" s="1"/>
  <c r="CB153" i="2"/>
  <c r="CI129" i="2"/>
  <c r="CB122" i="2"/>
  <c r="CB72" i="2"/>
  <c r="CB70" i="2"/>
  <c r="CB71" i="2"/>
  <c r="CB69" i="2"/>
  <c r="CJ39" i="2"/>
  <c r="CJ40" i="2" s="1"/>
  <c r="CJ37" i="2"/>
  <c r="CJ61" i="2" s="1"/>
  <c r="CB64" i="2"/>
  <c r="CB68" i="2" s="1"/>
  <c r="CB63" i="2"/>
  <c r="CB67" i="2" s="1"/>
  <c r="CP212" i="2"/>
  <c r="CP215" i="2" s="1"/>
  <c r="CK7" i="2"/>
  <c r="CK9" i="2" s="1"/>
  <c r="CK186" i="2" s="1"/>
  <c r="CK183" i="2"/>
  <c r="CB5" i="2"/>
  <c r="CB30" i="2" s="1"/>
  <c r="CA8" i="2"/>
  <c r="CC145" i="2"/>
  <c r="CC35" i="2"/>
  <c r="CC122" i="2" s="1"/>
  <c r="CK190" i="2" l="1"/>
  <c r="CK192" i="2" s="1"/>
  <c r="CK194" i="2"/>
  <c r="CK191" i="2"/>
  <c r="CJ193" i="2"/>
  <c r="CJ216" i="2" s="1"/>
  <c r="CJ214" i="2"/>
  <c r="CL183" i="2"/>
  <c r="CM183" i="2" s="1"/>
  <c r="CB150" i="2"/>
  <c r="CB108" i="2"/>
  <c r="CB151" i="2" s="1"/>
  <c r="CJ129" i="2"/>
  <c r="CC54" i="2"/>
  <c r="CC82" i="2"/>
  <c r="CC88" i="2"/>
  <c r="CC93" i="2"/>
  <c r="CC140" i="2"/>
  <c r="CC139" i="2"/>
  <c r="CC137" i="2"/>
  <c r="CC132" i="2"/>
  <c r="CC136" i="2" s="1"/>
  <c r="CC131" i="2"/>
  <c r="CC135" i="2" s="1"/>
  <c r="CC105" i="2"/>
  <c r="CC104" i="2"/>
  <c r="CC103" i="2"/>
  <c r="CC98" i="2"/>
  <c r="CC102" i="2" s="1"/>
  <c r="CC97" i="2"/>
  <c r="CC101" i="2" s="1"/>
  <c r="CC138" i="2"/>
  <c r="CC106" i="2"/>
  <c r="CC116" i="2"/>
  <c r="CC159" i="2"/>
  <c r="CC153" i="2"/>
  <c r="CC157" i="2"/>
  <c r="CC108" i="2" s="1"/>
  <c r="CC59" i="2"/>
  <c r="CB149" i="2"/>
  <c r="CJ95" i="2"/>
  <c r="CC127" i="2"/>
  <c r="CB142" i="2"/>
  <c r="CB165" i="2" s="1"/>
  <c r="CC48" i="2"/>
  <c r="CC72" i="2"/>
  <c r="CC70" i="2"/>
  <c r="CC71" i="2"/>
  <c r="CC69" i="2"/>
  <c r="CK39" i="2"/>
  <c r="CK40" i="2" s="1"/>
  <c r="CK37" i="2"/>
  <c r="CK61" i="2" s="1"/>
  <c r="CC64" i="2"/>
  <c r="CC68" i="2" s="1"/>
  <c r="CC63" i="2"/>
  <c r="CC67" i="2" s="1"/>
  <c r="CQ212" i="2"/>
  <c r="CQ215" i="2" s="1"/>
  <c r="CL7" i="2"/>
  <c r="CL9" i="2" s="1"/>
  <c r="CL186" i="2" s="1"/>
  <c r="CC5" i="2"/>
  <c r="CC30" i="2" s="1"/>
  <c r="CB8" i="2"/>
  <c r="CD145" i="2"/>
  <c r="CD35" i="2"/>
  <c r="CD82" i="2" s="1"/>
  <c r="CM195" i="2" l="1"/>
  <c r="CM194" i="2"/>
  <c r="CM196" i="2"/>
  <c r="CM197" i="2" s="1"/>
  <c r="CM199" i="2"/>
  <c r="CM200" i="2"/>
  <c r="CM217" i="2" s="1"/>
  <c r="CM191" i="2"/>
  <c r="CM190" i="2"/>
  <c r="CM192" i="2" s="1"/>
  <c r="CM201" i="2"/>
  <c r="CM202" i="2"/>
  <c r="CM218" i="2" s="1"/>
  <c r="CM203" i="2"/>
  <c r="CM219" i="2" s="1"/>
  <c r="CM198" i="2"/>
  <c r="CK193" i="2"/>
  <c r="CK216" i="2" s="1"/>
  <c r="CK214" i="2"/>
  <c r="CL201" i="2"/>
  <c r="CL202" i="2"/>
  <c r="CL218" i="2" s="1"/>
  <c r="CL203" i="2"/>
  <c r="CL219" i="2" s="1"/>
  <c r="CL195" i="2"/>
  <c r="CL194" i="2"/>
  <c r="CL198" i="2"/>
  <c r="CL199" i="2"/>
  <c r="CL190" i="2"/>
  <c r="CL192" i="2" s="1"/>
  <c r="CL200" i="2"/>
  <c r="CL217" i="2" s="1"/>
  <c r="CL196" i="2"/>
  <c r="CL197" i="2" s="1"/>
  <c r="CL191" i="2"/>
  <c r="CC149" i="2"/>
  <c r="CC150" i="2"/>
  <c r="CD48" i="2"/>
  <c r="CD88" i="2"/>
  <c r="CD153" i="2"/>
  <c r="CD157" i="2"/>
  <c r="CD74" i="2" s="1"/>
  <c r="CD159" i="2"/>
  <c r="CD122" i="2"/>
  <c r="CC142" i="2"/>
  <c r="CC165" i="2" s="1"/>
  <c r="CD116" i="2"/>
  <c r="CK129" i="2"/>
  <c r="CD93" i="2"/>
  <c r="CD127" i="2"/>
  <c r="CD54" i="2"/>
  <c r="CD59" i="2"/>
  <c r="CK95" i="2"/>
  <c r="CC74" i="2"/>
  <c r="CC151" i="2" s="1"/>
  <c r="CD139" i="2"/>
  <c r="CD132" i="2"/>
  <c r="CD136" i="2" s="1"/>
  <c r="CD140" i="2"/>
  <c r="CD138" i="2"/>
  <c r="CD105" i="2"/>
  <c r="CD137" i="2"/>
  <c r="CD106" i="2"/>
  <c r="CD103" i="2"/>
  <c r="CD104" i="2"/>
  <c r="CD98" i="2"/>
  <c r="CD102" i="2" s="1"/>
  <c r="CD131" i="2"/>
  <c r="CD135" i="2" s="1"/>
  <c r="CD97" i="2"/>
  <c r="CD101" i="2" s="1"/>
  <c r="CD71" i="2"/>
  <c r="CD69" i="2"/>
  <c r="CD72" i="2"/>
  <c r="CD70" i="2"/>
  <c r="CL37" i="2"/>
  <c r="CL61" i="2" s="1"/>
  <c r="CL39" i="2"/>
  <c r="CL40" i="2" s="1"/>
  <c r="CD64" i="2"/>
  <c r="CD68" i="2" s="1"/>
  <c r="CD63" i="2"/>
  <c r="CD67" i="2" s="1"/>
  <c r="CR212" i="2"/>
  <c r="CR215" i="2" s="1"/>
  <c r="CN183" i="2"/>
  <c r="CM7" i="2"/>
  <c r="CM9" i="2" s="1"/>
  <c r="CM186" i="2" s="1"/>
  <c r="CD5" i="2"/>
  <c r="CD30" i="2" s="1"/>
  <c r="CC8" i="2"/>
  <c r="CE145" i="2"/>
  <c r="CE35" i="2"/>
  <c r="CE122" i="2" s="1"/>
  <c r="CL193" i="2" l="1"/>
  <c r="CL216" i="2" s="1"/>
  <c r="CL214" i="2"/>
  <c r="CM193" i="2"/>
  <c r="CM216" i="2" s="1"/>
  <c r="CM214" i="2"/>
  <c r="CN199" i="2"/>
  <c r="CN202" i="2"/>
  <c r="CN218" i="2" s="1"/>
  <c r="CN201" i="2"/>
  <c r="CN203" i="2"/>
  <c r="CN219" i="2" s="1"/>
  <c r="CN196" i="2"/>
  <c r="CN197" i="2" s="1"/>
  <c r="CN198" i="2"/>
  <c r="CN200" i="2"/>
  <c r="CN217" i="2" s="1"/>
  <c r="CN195" i="2"/>
  <c r="CN194" i="2"/>
  <c r="CN191" i="2"/>
  <c r="CN190" i="2"/>
  <c r="CN192" i="2" s="1"/>
  <c r="CD108" i="2"/>
  <c r="CD151" i="2" s="1"/>
  <c r="CD142" i="2"/>
  <c r="CD165" i="2" s="1"/>
  <c r="CE93" i="2"/>
  <c r="CE48" i="2"/>
  <c r="CD150" i="2"/>
  <c r="CE54" i="2"/>
  <c r="CL95" i="2"/>
  <c r="CD149" i="2"/>
  <c r="CE116" i="2"/>
  <c r="CE59" i="2"/>
  <c r="CE139" i="2"/>
  <c r="CE132" i="2"/>
  <c r="CE136" i="2" s="1"/>
  <c r="CE140" i="2"/>
  <c r="CE105" i="2"/>
  <c r="CE104" i="2"/>
  <c r="CE138" i="2"/>
  <c r="CE131" i="2"/>
  <c r="CE135" i="2" s="1"/>
  <c r="CE137" i="2"/>
  <c r="CE98" i="2"/>
  <c r="CE102" i="2" s="1"/>
  <c r="CE97" i="2"/>
  <c r="CE101" i="2" s="1"/>
  <c r="CE106" i="2"/>
  <c r="CE103" i="2"/>
  <c r="CE153" i="2"/>
  <c r="CE157" i="2"/>
  <c r="CE108" i="2" s="1"/>
  <c r="CE159" i="2"/>
  <c r="CE82" i="2"/>
  <c r="CL129" i="2"/>
  <c r="CE88" i="2"/>
  <c r="CE127" i="2"/>
  <c r="CE71" i="2"/>
  <c r="CE69" i="2"/>
  <c r="CE72" i="2"/>
  <c r="CE70" i="2"/>
  <c r="CM37" i="2"/>
  <c r="CM61" i="2" s="1"/>
  <c r="CM39" i="2"/>
  <c r="CM40" i="2" s="1"/>
  <c r="CE64" i="2"/>
  <c r="CE68" i="2" s="1"/>
  <c r="CE63" i="2"/>
  <c r="CE67" i="2" s="1"/>
  <c r="CO183" i="2"/>
  <c r="CS212" i="2"/>
  <c r="CS215" i="2" s="1"/>
  <c r="CN7" i="2"/>
  <c r="CN9" i="2" s="1"/>
  <c r="CN186" i="2" s="1"/>
  <c r="CE5" i="2"/>
  <c r="CE30" i="2" s="1"/>
  <c r="CD8" i="2"/>
  <c r="CF145" i="2"/>
  <c r="CF35" i="2"/>
  <c r="CF127" i="2" s="1"/>
  <c r="CM220" i="2" l="1"/>
  <c r="CL220" i="2"/>
  <c r="CO199" i="2"/>
  <c r="CO195" i="2"/>
  <c r="CO194" i="2"/>
  <c r="CO198" i="2"/>
  <c r="CO200" i="2"/>
  <c r="CO217" i="2" s="1"/>
  <c r="CO191" i="2"/>
  <c r="CO201" i="2"/>
  <c r="CO202" i="2"/>
  <c r="CO218" i="2" s="1"/>
  <c r="CO190" i="2"/>
  <c r="CO192" i="2" s="1"/>
  <c r="CO203" i="2"/>
  <c r="CO219" i="2" s="1"/>
  <c r="CO196" i="2"/>
  <c r="CO197" i="2" s="1"/>
  <c r="CN193" i="2"/>
  <c r="CN216" i="2" s="1"/>
  <c r="CN214" i="2"/>
  <c r="CE74" i="2"/>
  <c r="CE151" i="2" s="1"/>
  <c r="CF54" i="2"/>
  <c r="CM129" i="2"/>
  <c r="CF82" i="2"/>
  <c r="CE149" i="2"/>
  <c r="CF59" i="2"/>
  <c r="CE142" i="2"/>
  <c r="CE165" i="2" s="1"/>
  <c r="CF139" i="2"/>
  <c r="CF140" i="2"/>
  <c r="CF104" i="2"/>
  <c r="CF132" i="2"/>
  <c r="CF136" i="2" s="1"/>
  <c r="CF98" i="2"/>
  <c r="CF102" i="2" s="1"/>
  <c r="CF97" i="2"/>
  <c r="CF101" i="2" s="1"/>
  <c r="CF131" i="2"/>
  <c r="CF135" i="2" s="1"/>
  <c r="CF138" i="2"/>
  <c r="CF106" i="2"/>
  <c r="CF105" i="2"/>
  <c r="CF103" i="2"/>
  <c r="CF137" i="2"/>
  <c r="CF93" i="2"/>
  <c r="CF48" i="2"/>
  <c r="CF157" i="2"/>
  <c r="CF108" i="2" s="1"/>
  <c r="CF159" i="2"/>
  <c r="CF153" i="2"/>
  <c r="CF116" i="2"/>
  <c r="CM95" i="2"/>
  <c r="CF88" i="2"/>
  <c r="CE150" i="2"/>
  <c r="CF122" i="2"/>
  <c r="CF71" i="2"/>
  <c r="CF69" i="2"/>
  <c r="CF70" i="2"/>
  <c r="CF72" i="2"/>
  <c r="CN37" i="2"/>
  <c r="CN61" i="2" s="1"/>
  <c r="CN39" i="2"/>
  <c r="CN40" i="2" s="1"/>
  <c r="CF64" i="2"/>
  <c r="CF68" i="2" s="1"/>
  <c r="CF63" i="2"/>
  <c r="CF67" i="2" s="1"/>
  <c r="CP183" i="2"/>
  <c r="CT212" i="2"/>
  <c r="CT215" i="2" s="1"/>
  <c r="CO7" i="2"/>
  <c r="CO9" i="2" s="1"/>
  <c r="CO186" i="2" s="1"/>
  <c r="CF5" i="2"/>
  <c r="CF30" i="2" s="1"/>
  <c r="CE8" i="2"/>
  <c r="CG145" i="2"/>
  <c r="CG35" i="2"/>
  <c r="CG82" i="2" s="1"/>
  <c r="CO214" i="2" l="1"/>
  <c r="CO193" i="2"/>
  <c r="CO216" i="2" s="1"/>
  <c r="CP200" i="2"/>
  <c r="CP217" i="2" s="1"/>
  <c r="CP203" i="2"/>
  <c r="CP219" i="2" s="1"/>
  <c r="CP202" i="2"/>
  <c r="CP218" i="2" s="1"/>
  <c r="CP196" i="2"/>
  <c r="CP197" i="2" s="1"/>
  <c r="CP198" i="2"/>
  <c r="CP199" i="2"/>
  <c r="CP195" i="2"/>
  <c r="CP201" i="2"/>
  <c r="CP194" i="2"/>
  <c r="CP191" i="2"/>
  <c r="CP190" i="2"/>
  <c r="CP192" i="2" s="1"/>
  <c r="CN220" i="2"/>
  <c r="CF149" i="2"/>
  <c r="CF150" i="2"/>
  <c r="CG88" i="2"/>
  <c r="CG127" i="2"/>
  <c r="CG122" i="2"/>
  <c r="CG54" i="2"/>
  <c r="CN129" i="2"/>
  <c r="CN95" i="2"/>
  <c r="CG48" i="2"/>
  <c r="CG93" i="2"/>
  <c r="CF74" i="2"/>
  <c r="CF151" i="2" s="1"/>
  <c r="CF142" i="2"/>
  <c r="CF165" i="2" s="1"/>
  <c r="CG137" i="2"/>
  <c r="CG138" i="2"/>
  <c r="CG140" i="2"/>
  <c r="CG103" i="2"/>
  <c r="CG139" i="2"/>
  <c r="CG106" i="2"/>
  <c r="CG104" i="2"/>
  <c r="CG97" i="2"/>
  <c r="CG101" i="2" s="1"/>
  <c r="CG131" i="2"/>
  <c r="CG135" i="2" s="1"/>
  <c r="CG132" i="2"/>
  <c r="CG136" i="2" s="1"/>
  <c r="CG98" i="2"/>
  <c r="CG102" i="2" s="1"/>
  <c r="CG105" i="2"/>
  <c r="CG157" i="2"/>
  <c r="CG74" i="2" s="1"/>
  <c r="CG159" i="2"/>
  <c r="CG153" i="2"/>
  <c r="CG59" i="2"/>
  <c r="CG116" i="2"/>
  <c r="CG71" i="2"/>
  <c r="CG69" i="2"/>
  <c r="CG72" i="2"/>
  <c r="CG70" i="2"/>
  <c r="CO37" i="2"/>
  <c r="CO61" i="2" s="1"/>
  <c r="CO39" i="2"/>
  <c r="CO40" i="2" s="1"/>
  <c r="CG64" i="2"/>
  <c r="CG68" i="2" s="1"/>
  <c r="CG63" i="2"/>
  <c r="CG67" i="2" s="1"/>
  <c r="CU212" i="2"/>
  <c r="CU215" i="2" s="1"/>
  <c r="CQ183" i="2"/>
  <c r="CP7" i="2"/>
  <c r="CP9" i="2" s="1"/>
  <c r="CP186" i="2" s="1"/>
  <c r="CG5" i="2"/>
  <c r="CG30" i="2" s="1"/>
  <c r="CF8" i="2"/>
  <c r="CH145" i="2"/>
  <c r="CH35" i="2"/>
  <c r="CH54" i="2" s="1"/>
  <c r="CP193" i="2" l="1"/>
  <c r="CP216" i="2" s="1"/>
  <c r="CP214" i="2"/>
  <c r="CQ200" i="2"/>
  <c r="CQ217" i="2" s="1"/>
  <c r="CQ199" i="2"/>
  <c r="CQ201" i="2"/>
  <c r="CQ202" i="2"/>
  <c r="CQ218" i="2" s="1"/>
  <c r="CQ195" i="2"/>
  <c r="CQ194" i="2"/>
  <c r="CQ203" i="2"/>
  <c r="CQ219" i="2" s="1"/>
  <c r="CQ191" i="2"/>
  <c r="CQ198" i="2"/>
  <c r="CQ190" i="2"/>
  <c r="CQ192" i="2" s="1"/>
  <c r="CQ196" i="2"/>
  <c r="CQ197" i="2" s="1"/>
  <c r="CO220" i="2"/>
  <c r="CG150" i="2"/>
  <c r="CH59" i="2"/>
  <c r="CH127" i="2"/>
  <c r="CH93" i="2"/>
  <c r="CH159" i="2"/>
  <c r="CH157" i="2"/>
  <c r="CH108" i="2" s="1"/>
  <c r="CH153" i="2"/>
  <c r="CG108" i="2"/>
  <c r="CG151" i="2" s="1"/>
  <c r="CH122" i="2"/>
  <c r="CH88" i="2"/>
  <c r="CH140" i="2"/>
  <c r="CH131" i="2"/>
  <c r="CH135" i="2" s="1"/>
  <c r="CH138" i="2"/>
  <c r="CH139" i="2"/>
  <c r="CH103" i="2"/>
  <c r="CH98" i="2"/>
  <c r="CH102" i="2" s="1"/>
  <c r="CH106" i="2"/>
  <c r="CH137" i="2"/>
  <c r="CH132" i="2"/>
  <c r="CH136" i="2" s="1"/>
  <c r="CH104" i="2"/>
  <c r="CH105" i="2"/>
  <c r="CH97" i="2"/>
  <c r="CH101" i="2" s="1"/>
  <c r="CG149" i="2"/>
  <c r="CH82" i="2"/>
  <c r="CH48" i="2"/>
  <c r="CO95" i="2"/>
  <c r="CG142" i="2"/>
  <c r="CG165" i="2" s="1"/>
  <c r="CH116" i="2"/>
  <c r="CO129" i="2"/>
  <c r="CH72" i="2"/>
  <c r="CH70" i="2"/>
  <c r="CH69" i="2"/>
  <c r="CH71" i="2"/>
  <c r="CP37" i="2"/>
  <c r="CP61" i="2" s="1"/>
  <c r="CP39" i="2"/>
  <c r="CP40" i="2" s="1"/>
  <c r="CH64" i="2"/>
  <c r="CH68" i="2" s="1"/>
  <c r="CH63" i="2"/>
  <c r="CH67" i="2" s="1"/>
  <c r="CR183" i="2"/>
  <c r="CV212" i="2"/>
  <c r="CV215" i="2" s="1"/>
  <c r="CQ7" i="2"/>
  <c r="CQ9" i="2" s="1"/>
  <c r="CQ186" i="2" s="1"/>
  <c r="CH5" i="2"/>
  <c r="CH30" i="2" s="1"/>
  <c r="CG8" i="2"/>
  <c r="CI145" i="2"/>
  <c r="CI35" i="2"/>
  <c r="CI59" i="2" s="1"/>
  <c r="CP220" i="2" l="1"/>
  <c r="CQ193" i="2"/>
  <c r="CQ216" i="2" s="1"/>
  <c r="CQ214" i="2"/>
  <c r="CR201" i="2"/>
  <c r="CR203" i="2"/>
  <c r="CR219" i="2" s="1"/>
  <c r="CR198" i="2"/>
  <c r="CR199" i="2"/>
  <c r="CR191" i="2"/>
  <c r="CR200" i="2"/>
  <c r="CR217" i="2" s="1"/>
  <c r="CR195" i="2"/>
  <c r="CR194" i="2"/>
  <c r="CR196" i="2"/>
  <c r="CR197" i="2" s="1"/>
  <c r="CR190" i="2"/>
  <c r="CR192" i="2" s="1"/>
  <c r="CR202" i="2"/>
  <c r="CR218" i="2" s="1"/>
  <c r="CH74" i="2"/>
  <c r="CH151" i="2" s="1"/>
  <c r="CI116" i="2"/>
  <c r="CH149" i="2"/>
  <c r="CI122" i="2"/>
  <c r="CI127" i="2"/>
  <c r="CI88" i="2"/>
  <c r="CH142" i="2"/>
  <c r="CH165" i="2" s="1"/>
  <c r="CP129" i="2"/>
  <c r="CI48" i="2"/>
  <c r="CI131" i="2"/>
  <c r="CI135" i="2" s="1"/>
  <c r="CI138" i="2"/>
  <c r="CI137" i="2"/>
  <c r="CI140" i="2"/>
  <c r="CI106" i="2"/>
  <c r="CI139" i="2"/>
  <c r="CI132" i="2"/>
  <c r="CI136" i="2" s="1"/>
  <c r="CI105" i="2"/>
  <c r="CI97" i="2"/>
  <c r="CI101" i="2" s="1"/>
  <c r="CI103" i="2"/>
  <c r="CI104" i="2"/>
  <c r="CI98" i="2"/>
  <c r="CI102" i="2" s="1"/>
  <c r="CI159" i="2"/>
  <c r="CI157" i="2"/>
  <c r="CI108" i="2" s="1"/>
  <c r="CI153" i="2"/>
  <c r="CH150" i="2"/>
  <c r="CI54" i="2"/>
  <c r="CP95" i="2"/>
  <c r="CI93" i="2"/>
  <c r="CI82" i="2"/>
  <c r="CI72" i="2"/>
  <c r="CI70" i="2"/>
  <c r="CI71" i="2"/>
  <c r="CI69" i="2"/>
  <c r="CQ37" i="2"/>
  <c r="CQ61" i="2" s="1"/>
  <c r="CQ39" i="2"/>
  <c r="CQ40" i="2" s="1"/>
  <c r="CI64" i="2"/>
  <c r="CI68" i="2" s="1"/>
  <c r="CI63" i="2"/>
  <c r="CI67" i="2" s="1"/>
  <c r="CW212" i="2"/>
  <c r="CW215" i="2" s="1"/>
  <c r="CS183" i="2"/>
  <c r="CR7" i="2"/>
  <c r="CR9" i="2" s="1"/>
  <c r="CR186" i="2" s="1"/>
  <c r="CI5" i="2"/>
  <c r="CI30" i="2" s="1"/>
  <c r="CH8" i="2"/>
  <c r="CJ145" i="2"/>
  <c r="CJ35" i="2"/>
  <c r="CJ59" i="2" s="1"/>
  <c r="CQ220" i="2" l="1"/>
  <c r="CR193" i="2"/>
  <c r="CR216" i="2" s="1"/>
  <c r="CR214" i="2"/>
  <c r="CS201" i="2"/>
  <c r="CS199" i="2"/>
  <c r="CS191" i="2"/>
  <c r="CS200" i="2"/>
  <c r="CS217" i="2" s="1"/>
  <c r="CS202" i="2"/>
  <c r="CS218" i="2" s="1"/>
  <c r="CS203" i="2"/>
  <c r="CS219" i="2" s="1"/>
  <c r="CS195" i="2"/>
  <c r="CS194" i="2"/>
  <c r="CS190" i="2"/>
  <c r="CS192" i="2" s="1"/>
  <c r="CS198" i="2"/>
  <c r="CS196" i="2"/>
  <c r="CS197" i="2" s="1"/>
  <c r="CI150" i="2"/>
  <c r="CI74" i="2"/>
  <c r="CI151" i="2" s="1"/>
  <c r="CI149" i="2"/>
  <c r="CJ48" i="2"/>
  <c r="CQ95" i="2"/>
  <c r="CJ122" i="2"/>
  <c r="CQ129" i="2"/>
  <c r="CJ138" i="2"/>
  <c r="CJ140" i="2"/>
  <c r="CJ137" i="2"/>
  <c r="CJ132" i="2"/>
  <c r="CJ136" i="2" s="1"/>
  <c r="CJ106" i="2"/>
  <c r="CJ139" i="2"/>
  <c r="CJ131" i="2"/>
  <c r="CJ135" i="2" s="1"/>
  <c r="CJ105" i="2"/>
  <c r="CJ103" i="2"/>
  <c r="CJ104" i="2"/>
  <c r="CJ98" i="2"/>
  <c r="CJ102" i="2" s="1"/>
  <c r="CJ97" i="2"/>
  <c r="CJ101" i="2" s="1"/>
  <c r="CJ82" i="2"/>
  <c r="CJ159" i="2"/>
  <c r="CJ153" i="2"/>
  <c r="CJ157" i="2"/>
  <c r="CJ74" i="2" s="1"/>
  <c r="CJ88" i="2"/>
  <c r="CJ127" i="2"/>
  <c r="CJ54" i="2"/>
  <c r="CI142" i="2"/>
  <c r="CI165" i="2" s="1"/>
  <c r="CJ93" i="2"/>
  <c r="CJ72" i="2"/>
  <c r="CJ70" i="2"/>
  <c r="CJ69" i="2"/>
  <c r="CJ71" i="2"/>
  <c r="CR37" i="2"/>
  <c r="CR61" i="2" s="1"/>
  <c r="CR39" i="2"/>
  <c r="CR40" i="2" s="1"/>
  <c r="CJ64" i="2"/>
  <c r="CJ68" i="2" s="1"/>
  <c r="CJ63" i="2"/>
  <c r="CJ67" i="2" s="1"/>
  <c r="CT183" i="2"/>
  <c r="CS7" i="2"/>
  <c r="CS9" i="2" s="1"/>
  <c r="CS186" i="2" s="1"/>
  <c r="CJ5" i="2"/>
  <c r="CJ30" i="2" s="1"/>
  <c r="CI8" i="2"/>
  <c r="CK145" i="2"/>
  <c r="CK35" i="2"/>
  <c r="CK88" i="2" s="1"/>
  <c r="CR220" i="2" l="1"/>
  <c r="CS193" i="2"/>
  <c r="CS216" i="2" s="1"/>
  <c r="CS214" i="2"/>
  <c r="CT202" i="2"/>
  <c r="CT218" i="2" s="1"/>
  <c r="CT199" i="2"/>
  <c r="CT200" i="2"/>
  <c r="CT217" i="2" s="1"/>
  <c r="CT196" i="2"/>
  <c r="CT197" i="2" s="1"/>
  <c r="CT201" i="2"/>
  <c r="CT194" i="2"/>
  <c r="CT203" i="2"/>
  <c r="CT219" i="2" s="1"/>
  <c r="CT198" i="2"/>
  <c r="CT191" i="2"/>
  <c r="CT190" i="2"/>
  <c r="CT192" i="2" s="1"/>
  <c r="CT195" i="2"/>
  <c r="CJ108" i="2"/>
  <c r="CJ151" i="2" s="1"/>
  <c r="CK82" i="2"/>
  <c r="CK116" i="2"/>
  <c r="CJ149" i="2"/>
  <c r="CJ150" i="2"/>
  <c r="CK122" i="2"/>
  <c r="CK54" i="2"/>
  <c r="CR95" i="2"/>
  <c r="CK140" i="2"/>
  <c r="CK139" i="2"/>
  <c r="CK138" i="2"/>
  <c r="CK137" i="2"/>
  <c r="CK132" i="2"/>
  <c r="CK136" i="2" s="1"/>
  <c r="CK131" i="2"/>
  <c r="CK135" i="2" s="1"/>
  <c r="CK105" i="2"/>
  <c r="CK104" i="2"/>
  <c r="CK106" i="2"/>
  <c r="CK103" i="2"/>
  <c r="CK98" i="2"/>
  <c r="CK102" i="2" s="1"/>
  <c r="CK97" i="2"/>
  <c r="CK101" i="2" s="1"/>
  <c r="CR129" i="2"/>
  <c r="CK127" i="2"/>
  <c r="CK48" i="2"/>
  <c r="CK159" i="2"/>
  <c r="CK153" i="2"/>
  <c r="CK157" i="2"/>
  <c r="CK74" i="2" s="1"/>
  <c r="CJ142" i="2"/>
  <c r="CJ165" i="2" s="1"/>
  <c r="CK93" i="2"/>
  <c r="CK59" i="2"/>
  <c r="CK72" i="2"/>
  <c r="CK70" i="2"/>
  <c r="CK71" i="2"/>
  <c r="CK69" i="2"/>
  <c r="CS37" i="2"/>
  <c r="CS61" i="2" s="1"/>
  <c r="CS39" i="2"/>
  <c r="CS40" i="2" s="1"/>
  <c r="CK63" i="2"/>
  <c r="CK67" i="2" s="1"/>
  <c r="CK64" i="2"/>
  <c r="CK68" i="2" s="1"/>
  <c r="CU183" i="2"/>
  <c r="CT7" i="2"/>
  <c r="CT9" i="2" s="1"/>
  <c r="CT186" i="2" s="1"/>
  <c r="CK5" i="2"/>
  <c r="CK30" i="2" s="1"/>
  <c r="CJ8" i="2"/>
  <c r="CL145" i="2"/>
  <c r="CL35" i="2"/>
  <c r="CL59" i="2" s="1"/>
  <c r="CS220" i="2" l="1"/>
  <c r="CT193" i="2"/>
  <c r="CT216" i="2" s="1"/>
  <c r="CT214" i="2"/>
  <c r="CU202" i="2"/>
  <c r="CU218" i="2" s="1"/>
  <c r="CU191" i="2"/>
  <c r="CU200" i="2"/>
  <c r="CU217" i="2" s="1"/>
  <c r="CU201" i="2"/>
  <c r="CU203" i="2"/>
  <c r="CU219" i="2" s="1"/>
  <c r="CU195" i="2"/>
  <c r="CU194" i="2"/>
  <c r="CU198" i="2"/>
  <c r="CU196" i="2"/>
  <c r="CU197" i="2" s="1"/>
  <c r="CU190" i="2"/>
  <c r="CU192" i="2" s="1"/>
  <c r="CU199" i="2"/>
  <c r="CK149" i="2"/>
  <c r="CL48" i="2"/>
  <c r="CK142" i="2"/>
  <c r="CK165" i="2" s="1"/>
  <c r="CL127" i="2"/>
  <c r="CS129" i="2"/>
  <c r="CL54" i="2"/>
  <c r="CK108" i="2"/>
  <c r="CK151" i="2" s="1"/>
  <c r="CS95" i="2"/>
  <c r="CK150" i="2"/>
  <c r="CL122" i="2"/>
  <c r="CL137" i="2"/>
  <c r="CL132" i="2"/>
  <c r="CL136" i="2" s="1"/>
  <c r="CL139" i="2"/>
  <c r="CL131" i="2"/>
  <c r="CL135" i="2" s="1"/>
  <c r="CL105" i="2"/>
  <c r="CL106" i="2"/>
  <c r="CL103" i="2"/>
  <c r="CL138" i="2"/>
  <c r="CL98" i="2"/>
  <c r="CL102" i="2" s="1"/>
  <c r="CL97" i="2"/>
  <c r="CL101" i="2" s="1"/>
  <c r="CL104" i="2"/>
  <c r="CL140" i="2"/>
  <c r="CL88" i="2"/>
  <c r="CL153" i="2"/>
  <c r="CL159" i="2"/>
  <c r="CL157" i="2"/>
  <c r="CL93" i="2"/>
  <c r="CL116" i="2"/>
  <c r="CL71" i="2"/>
  <c r="CT37" i="2"/>
  <c r="CT61" i="2" s="1"/>
  <c r="CT39" i="2"/>
  <c r="CT40" i="2" s="1"/>
  <c r="CL64" i="2"/>
  <c r="CL68" i="2" s="1"/>
  <c r="CL69" i="2" s="1"/>
  <c r="CL63" i="2"/>
  <c r="CL62" i="2"/>
  <c r="CL66" i="2" s="1"/>
  <c r="CV183" i="2"/>
  <c r="CU7" i="2"/>
  <c r="CU9" i="2" s="1"/>
  <c r="CU186" i="2" s="1"/>
  <c r="CL5" i="2"/>
  <c r="CL30" i="2" s="1"/>
  <c r="CK8" i="2"/>
  <c r="CM145" i="2"/>
  <c r="CM35" i="2"/>
  <c r="CM54" i="2" s="1"/>
  <c r="CL74" i="2" l="1"/>
  <c r="CT220" i="2"/>
  <c r="CV203" i="2"/>
  <c r="CV219" i="2" s="1"/>
  <c r="CV200" i="2"/>
  <c r="CV217" i="2" s="1"/>
  <c r="CV199" i="2"/>
  <c r="CV201" i="2"/>
  <c r="CV196" i="2"/>
  <c r="CV197" i="2" s="1"/>
  <c r="CV198" i="2"/>
  <c r="CV195" i="2"/>
  <c r="CV194" i="2"/>
  <c r="CV191" i="2"/>
  <c r="CV190" i="2"/>
  <c r="CV192" i="2" s="1"/>
  <c r="CV202" i="2"/>
  <c r="CV218" i="2" s="1"/>
  <c r="CU193" i="2"/>
  <c r="CU216" i="2" s="1"/>
  <c r="CU214" i="2"/>
  <c r="CL149" i="2"/>
  <c r="CL108" i="2"/>
  <c r="CT95" i="2"/>
  <c r="CM82" i="2"/>
  <c r="CM93" i="2"/>
  <c r="CM59" i="2"/>
  <c r="CT129" i="2"/>
  <c r="CM153" i="2"/>
  <c r="CM157" i="2"/>
  <c r="CM74" i="2" s="1"/>
  <c r="CM159" i="2"/>
  <c r="CM122" i="2"/>
  <c r="CM116" i="2"/>
  <c r="CM48" i="2"/>
  <c r="CM88" i="2"/>
  <c r="CM132" i="2"/>
  <c r="CM136" i="2" s="1"/>
  <c r="CM139" i="2"/>
  <c r="CM138" i="2"/>
  <c r="CM131" i="2"/>
  <c r="CM135" i="2" s="1"/>
  <c r="CM105" i="2"/>
  <c r="CM104" i="2"/>
  <c r="CM137" i="2"/>
  <c r="CM140" i="2"/>
  <c r="CM103" i="2"/>
  <c r="CM106" i="2"/>
  <c r="CM98" i="2"/>
  <c r="CM102" i="2" s="1"/>
  <c r="CM97" i="2"/>
  <c r="CM101" i="2" s="1"/>
  <c r="CM127" i="2"/>
  <c r="CM71" i="2"/>
  <c r="CM72" i="2"/>
  <c r="CL67" i="2"/>
  <c r="CL70" i="2" s="1"/>
  <c r="CL150" i="2" s="1"/>
  <c r="CU37" i="2"/>
  <c r="CU61" i="2" s="1"/>
  <c r="CU39" i="2"/>
  <c r="CU40" i="2" s="1"/>
  <c r="CM63" i="2"/>
  <c r="CM64" i="2"/>
  <c r="CM68" i="2" s="1"/>
  <c r="CM69" i="2" s="1"/>
  <c r="CM62" i="2"/>
  <c r="CM66" i="2" s="1"/>
  <c r="CW183" i="2"/>
  <c r="CV7" i="2"/>
  <c r="CV9" i="2" s="1"/>
  <c r="CV186" i="2" s="1"/>
  <c r="CM5" i="2"/>
  <c r="CM30" i="2" s="1"/>
  <c r="CL8" i="2"/>
  <c r="CN145" i="2"/>
  <c r="CN35" i="2"/>
  <c r="CN122" i="2" s="1"/>
  <c r="CL151" i="2" l="1"/>
  <c r="CV193" i="2"/>
  <c r="CV216" i="2" s="1"/>
  <c r="CV214" i="2"/>
  <c r="CW203" i="2"/>
  <c r="CW219" i="2" s="1"/>
  <c r="CW201" i="2"/>
  <c r="CW202" i="2"/>
  <c r="CW218" i="2" s="1"/>
  <c r="CW199" i="2"/>
  <c r="CW196" i="2"/>
  <c r="CW197" i="2" s="1"/>
  <c r="CW190" i="2"/>
  <c r="CW192" i="2" s="1"/>
  <c r="CW198" i="2"/>
  <c r="CW191" i="2"/>
  <c r="CW195" i="2"/>
  <c r="CW200" i="2"/>
  <c r="CW217" i="2" s="1"/>
  <c r="CW194" i="2"/>
  <c r="CU220" i="2"/>
  <c r="CN59" i="2"/>
  <c r="CN116" i="2"/>
  <c r="CM108" i="2"/>
  <c r="CM151" i="2" s="1"/>
  <c r="CN54" i="2"/>
  <c r="CN48" i="2"/>
  <c r="CU129" i="2"/>
  <c r="CM142" i="2"/>
  <c r="CM165" i="2" s="1"/>
  <c r="CN93" i="2"/>
  <c r="CN82" i="2"/>
  <c r="CU95" i="2"/>
  <c r="CM149" i="2"/>
  <c r="CN127" i="2"/>
  <c r="CN139" i="2"/>
  <c r="CN140" i="2"/>
  <c r="CN137" i="2"/>
  <c r="CN104" i="2"/>
  <c r="CN132" i="2"/>
  <c r="CN136" i="2" s="1"/>
  <c r="CN138" i="2"/>
  <c r="CN131" i="2"/>
  <c r="CN135" i="2" s="1"/>
  <c r="CN103" i="2"/>
  <c r="CN106" i="2"/>
  <c r="CN98" i="2"/>
  <c r="CN102" i="2" s="1"/>
  <c r="CN97" i="2"/>
  <c r="CN101" i="2" s="1"/>
  <c r="CN105" i="2"/>
  <c r="CN157" i="2"/>
  <c r="CN108" i="2" s="1"/>
  <c r="CN153" i="2"/>
  <c r="CN159" i="2"/>
  <c r="CN88" i="2"/>
  <c r="CN71" i="2"/>
  <c r="CN72" i="2"/>
  <c r="CM67" i="2"/>
  <c r="CM70" i="2" s="1"/>
  <c r="CM150" i="2" s="1"/>
  <c r="CN63" i="2"/>
  <c r="CN64" i="2"/>
  <c r="CN68" i="2" s="1"/>
  <c r="CN69" i="2" s="1"/>
  <c r="CN62" i="2"/>
  <c r="CN66" i="2" s="1"/>
  <c r="CV37" i="2"/>
  <c r="CV61" i="2" s="1"/>
  <c r="CV39" i="2"/>
  <c r="CV40" i="2" s="1"/>
  <c r="CW7" i="2"/>
  <c r="CW9" i="2" s="1"/>
  <c r="CW186" i="2" s="1"/>
  <c r="CN5" i="2"/>
  <c r="CN30" i="2" s="1"/>
  <c r="CM8" i="2"/>
  <c r="CO145" i="2"/>
  <c r="CO35" i="2"/>
  <c r="CO54" i="2" s="1"/>
  <c r="CV220" i="2" l="1"/>
  <c r="CW193" i="2"/>
  <c r="CW216" i="2" s="1"/>
  <c r="CW214" i="2"/>
  <c r="CN149" i="2"/>
  <c r="CN74" i="2"/>
  <c r="CN151" i="2" s="1"/>
  <c r="CO122" i="2"/>
  <c r="CO116" i="2"/>
  <c r="CN142" i="2"/>
  <c r="CN165" i="2" s="1"/>
  <c r="CV129" i="2"/>
  <c r="CO127" i="2"/>
  <c r="CO93" i="2"/>
  <c r="CO82" i="2"/>
  <c r="CO137" i="2"/>
  <c r="CO139" i="2"/>
  <c r="CO140" i="2"/>
  <c r="CO132" i="2"/>
  <c r="CO136" i="2" s="1"/>
  <c r="CO103" i="2"/>
  <c r="CO138" i="2"/>
  <c r="CO106" i="2"/>
  <c r="CO131" i="2"/>
  <c r="CO135" i="2" s="1"/>
  <c r="CO98" i="2"/>
  <c r="CO102" i="2" s="1"/>
  <c r="CO97" i="2"/>
  <c r="CO101" i="2" s="1"/>
  <c r="CO105" i="2"/>
  <c r="CO104" i="2"/>
  <c r="CO157" i="2"/>
  <c r="CO108" i="2" s="1"/>
  <c r="CO159" i="2"/>
  <c r="CO153" i="2"/>
  <c r="CO48" i="2"/>
  <c r="CV95" i="2"/>
  <c r="CO88" i="2"/>
  <c r="CO59" i="2"/>
  <c r="CO71" i="2"/>
  <c r="CO72" i="2"/>
  <c r="CN67" i="2"/>
  <c r="CW37" i="2"/>
  <c r="CW61" i="2" s="1"/>
  <c r="CW39" i="2"/>
  <c r="CW40" i="2" s="1"/>
  <c r="CO63" i="2"/>
  <c r="CO64" i="2"/>
  <c r="CO68" i="2" s="1"/>
  <c r="CO69" i="2" s="1"/>
  <c r="CO62" i="2"/>
  <c r="CO66" i="2" s="1"/>
  <c r="CX7" i="2"/>
  <c r="CX9" i="2" s="1"/>
  <c r="CO5" i="2"/>
  <c r="CO30" i="2" s="1"/>
  <c r="CN8" i="2"/>
  <c r="CP35" i="2"/>
  <c r="CP127" i="2" s="1"/>
  <c r="CP145" i="2"/>
  <c r="CW220" i="2" l="1"/>
  <c r="CO149" i="2"/>
  <c r="CO74" i="2"/>
  <c r="CO151" i="2" s="1"/>
  <c r="CP82" i="2"/>
  <c r="CP54" i="2"/>
  <c r="CP63" i="2" s="1"/>
  <c r="CW95" i="2"/>
  <c r="CP48" i="2"/>
  <c r="CP116" i="2"/>
  <c r="CP93" i="2"/>
  <c r="CO142" i="2"/>
  <c r="CO165" i="2" s="1"/>
  <c r="CW129" i="2"/>
  <c r="CP59" i="2"/>
  <c r="CP88" i="2"/>
  <c r="CP159" i="2"/>
  <c r="CP153" i="2"/>
  <c r="CP157" i="2"/>
  <c r="CP140" i="2"/>
  <c r="CP139" i="2"/>
  <c r="CP131" i="2"/>
  <c r="CP135" i="2" s="1"/>
  <c r="CP138" i="2"/>
  <c r="CP132" i="2"/>
  <c r="CP136" i="2" s="1"/>
  <c r="CP103" i="2"/>
  <c r="CP98" i="2"/>
  <c r="CP102" i="2" s="1"/>
  <c r="CP137" i="2"/>
  <c r="CP106" i="2"/>
  <c r="CP105" i="2"/>
  <c r="CP104" i="2"/>
  <c r="CP97" i="2"/>
  <c r="CP101" i="2" s="1"/>
  <c r="CN70" i="2"/>
  <c r="CN150" i="2" s="1"/>
  <c r="CP122" i="2"/>
  <c r="CP72" i="2"/>
  <c r="CP71" i="2"/>
  <c r="CO67" i="2"/>
  <c r="CO70" i="2" s="1"/>
  <c r="CO150" i="2" s="1"/>
  <c r="CX39" i="2"/>
  <c r="CX40" i="2" s="1"/>
  <c r="CX37" i="2"/>
  <c r="CX61" i="2" s="1"/>
  <c r="CP64" i="2"/>
  <c r="CP68" i="2" s="1"/>
  <c r="CP69" i="2" s="1"/>
  <c r="CP62" i="2"/>
  <c r="CP66" i="2" s="1"/>
  <c r="CY7" i="2"/>
  <c r="CY9" i="2" s="1"/>
  <c r="CP5" i="2"/>
  <c r="CP30" i="2" s="1"/>
  <c r="CO8" i="2"/>
  <c r="CQ35" i="2"/>
  <c r="CQ48" i="2" s="1"/>
  <c r="CQ145" i="2"/>
  <c r="F168" i="1" l="1"/>
  <c r="G168" i="1"/>
  <c r="H168" i="1"/>
  <c r="M168" i="1"/>
  <c r="CP108" i="2"/>
  <c r="CP149" i="2"/>
  <c r="CP142" i="2"/>
  <c r="CP165" i="2" s="1"/>
  <c r="CP74" i="2"/>
  <c r="CP151" i="2" s="1"/>
  <c r="CQ116" i="2"/>
  <c r="CQ88" i="2"/>
  <c r="CX95" i="2"/>
  <c r="CQ122" i="2"/>
  <c r="CX129" i="2"/>
  <c r="CQ131" i="2"/>
  <c r="CQ135" i="2" s="1"/>
  <c r="CQ140" i="2"/>
  <c r="CQ138" i="2"/>
  <c r="CQ139" i="2"/>
  <c r="CQ137" i="2"/>
  <c r="CQ106" i="2"/>
  <c r="CQ132" i="2"/>
  <c r="CQ136" i="2" s="1"/>
  <c r="CQ105" i="2"/>
  <c r="CQ104" i="2"/>
  <c r="CQ98" i="2"/>
  <c r="CQ102" i="2" s="1"/>
  <c r="CQ97" i="2"/>
  <c r="CQ101" i="2" s="1"/>
  <c r="CQ103" i="2"/>
  <c r="CQ127" i="2"/>
  <c r="CQ59" i="2"/>
  <c r="CQ93" i="2"/>
  <c r="CQ159" i="2"/>
  <c r="CQ157" i="2"/>
  <c r="CQ108" i="2" s="1"/>
  <c r="CQ153" i="2"/>
  <c r="CQ82" i="2"/>
  <c r="CQ54" i="2"/>
  <c r="CQ63" i="2" s="1"/>
  <c r="CQ72" i="2"/>
  <c r="CQ71" i="2"/>
  <c r="CP67" i="2"/>
  <c r="CP70" i="2" s="1"/>
  <c r="CP150" i="2" s="1"/>
  <c r="CY37" i="2"/>
  <c r="CY61" i="2" s="1"/>
  <c r="CY39" i="2"/>
  <c r="CY40" i="2" s="1"/>
  <c r="CQ64" i="2"/>
  <c r="CQ68" i="2" s="1"/>
  <c r="CQ69" i="2" s="1"/>
  <c r="CQ62" i="2"/>
  <c r="CQ66" i="2" s="1"/>
  <c r="CZ7" i="2"/>
  <c r="CZ9" i="2" s="1"/>
  <c r="CR35" i="2"/>
  <c r="CR88" i="2" s="1"/>
  <c r="CQ5" i="2"/>
  <c r="CQ30" i="2" s="1"/>
  <c r="CP8" i="2"/>
  <c r="CR145" i="2"/>
  <c r="CQ149" i="2" l="1"/>
  <c r="CQ142" i="2"/>
  <c r="CQ165" i="2" s="1"/>
  <c r="CQ74" i="2"/>
  <c r="CQ151" i="2" s="1"/>
  <c r="CR127" i="2"/>
  <c r="CR122" i="2"/>
  <c r="CY129" i="2"/>
  <c r="CR48" i="2"/>
  <c r="CR159" i="2"/>
  <c r="CR157" i="2"/>
  <c r="CR108" i="2" s="1"/>
  <c r="CR153" i="2"/>
  <c r="CR59" i="2"/>
  <c r="CR93" i="2"/>
  <c r="CR54" i="2"/>
  <c r="CR63" i="2" s="1"/>
  <c r="CY95" i="2"/>
  <c r="CR116" i="2"/>
  <c r="CR138" i="2"/>
  <c r="CR140" i="2"/>
  <c r="CR137" i="2"/>
  <c r="CR132" i="2"/>
  <c r="CR136" i="2" s="1"/>
  <c r="CR139" i="2"/>
  <c r="CR106" i="2"/>
  <c r="CR105" i="2"/>
  <c r="CR104" i="2"/>
  <c r="CR103" i="2"/>
  <c r="CR98" i="2"/>
  <c r="CR102" i="2" s="1"/>
  <c r="CR97" i="2"/>
  <c r="CR101" i="2" s="1"/>
  <c r="CR131" i="2"/>
  <c r="CR135" i="2" s="1"/>
  <c r="CR82" i="2"/>
  <c r="CR71" i="2"/>
  <c r="CQ67" i="2"/>
  <c r="CZ37" i="2"/>
  <c r="CZ61" i="2" s="1"/>
  <c r="CZ39" i="2"/>
  <c r="CZ40" i="2" s="1"/>
  <c r="CR64" i="2"/>
  <c r="CR68" i="2" s="1"/>
  <c r="CR69" i="2" s="1"/>
  <c r="CR62" i="2"/>
  <c r="CR66" i="2" s="1"/>
  <c r="DA7" i="2"/>
  <c r="DA9" i="2" s="1"/>
  <c r="CS35" i="2"/>
  <c r="CS122" i="2" s="1"/>
  <c r="CR5" i="2"/>
  <c r="CR30" i="2" s="1"/>
  <c r="CQ8" i="2"/>
  <c r="CS145" i="2"/>
  <c r="CR74" i="2" l="1"/>
  <c r="CR151" i="2" s="1"/>
  <c r="CS88" i="2"/>
  <c r="CS127" i="2"/>
  <c r="CS59" i="2"/>
  <c r="CS140" i="2"/>
  <c r="CS139" i="2"/>
  <c r="CS138" i="2"/>
  <c r="CS137" i="2"/>
  <c r="CS132" i="2"/>
  <c r="CS136" i="2" s="1"/>
  <c r="CS105" i="2"/>
  <c r="CS104" i="2"/>
  <c r="CS106" i="2"/>
  <c r="CS97" i="2"/>
  <c r="CS101" i="2" s="1"/>
  <c r="CS103" i="2"/>
  <c r="CS98" i="2"/>
  <c r="CS102" i="2" s="1"/>
  <c r="CS131" i="2"/>
  <c r="CS135" i="2" s="1"/>
  <c r="CS116" i="2"/>
  <c r="CZ95" i="2"/>
  <c r="CR149" i="2"/>
  <c r="CS93" i="2"/>
  <c r="CS48" i="2"/>
  <c r="CZ129" i="2"/>
  <c r="CQ70" i="2"/>
  <c r="CQ150" i="2" s="1"/>
  <c r="CS159" i="2"/>
  <c r="CS153" i="2"/>
  <c r="CS157" i="2"/>
  <c r="CS74" i="2" s="1"/>
  <c r="CS82" i="2"/>
  <c r="CS54" i="2"/>
  <c r="CS63" i="2" s="1"/>
  <c r="CS72" i="2"/>
  <c r="CS71" i="2"/>
  <c r="CR67" i="2"/>
  <c r="CR70" i="2" s="1"/>
  <c r="CR150" i="2" s="1"/>
  <c r="DA37" i="2"/>
  <c r="DA61" i="2" s="1"/>
  <c r="DA39" i="2"/>
  <c r="DA40" i="2" s="1"/>
  <c r="CS64" i="2"/>
  <c r="CS68" i="2" s="1"/>
  <c r="CS69" i="2" s="1"/>
  <c r="CS62" i="2"/>
  <c r="CS66" i="2" s="1"/>
  <c r="DB7" i="2"/>
  <c r="DB9" i="2" s="1"/>
  <c r="CT35" i="2"/>
  <c r="CT59" i="2" s="1"/>
  <c r="CS5" i="2"/>
  <c r="CS30" i="2" s="1"/>
  <c r="CR8" i="2"/>
  <c r="CT145" i="2"/>
  <c r="CS142" i="2" l="1"/>
  <c r="CS165" i="2" s="1"/>
  <c r="CS108" i="2"/>
  <c r="CS151" i="2" s="1"/>
  <c r="CT116" i="2"/>
  <c r="CT88" i="2"/>
  <c r="DA95" i="2"/>
  <c r="CS149" i="2"/>
  <c r="CT127" i="2"/>
  <c r="CT54" i="2"/>
  <c r="CT63" i="2" s="1"/>
  <c r="CT122" i="2"/>
  <c r="CT140" i="2"/>
  <c r="CT138" i="2"/>
  <c r="CT137" i="2"/>
  <c r="CT132" i="2"/>
  <c r="CT136" i="2" s="1"/>
  <c r="CT105" i="2"/>
  <c r="CT104" i="2"/>
  <c r="CT131" i="2"/>
  <c r="CT135" i="2" s="1"/>
  <c r="CT106" i="2"/>
  <c r="CT97" i="2"/>
  <c r="CT101" i="2" s="1"/>
  <c r="CT103" i="2"/>
  <c r="CT98" i="2"/>
  <c r="CT102" i="2" s="1"/>
  <c r="CT139" i="2"/>
  <c r="CT153" i="2"/>
  <c r="CT157" i="2"/>
  <c r="CT108" i="2" s="1"/>
  <c r="CT159" i="2"/>
  <c r="DA129" i="2"/>
  <c r="CT93" i="2"/>
  <c r="CT82" i="2"/>
  <c r="CT48" i="2"/>
  <c r="CT71" i="2"/>
  <c r="CT72" i="2"/>
  <c r="CS67" i="2"/>
  <c r="CS70" i="2" s="1"/>
  <c r="CS150" i="2" s="1"/>
  <c r="DB39" i="2"/>
  <c r="DB40" i="2" s="1"/>
  <c r="DB37" i="2"/>
  <c r="DB61" i="2" s="1"/>
  <c r="CT64" i="2"/>
  <c r="CT68" i="2" s="1"/>
  <c r="CT69" i="2" s="1"/>
  <c r="CT62" i="2"/>
  <c r="CT66" i="2" s="1"/>
  <c r="DC7" i="2"/>
  <c r="DC9" i="2" s="1"/>
  <c r="CU35" i="2"/>
  <c r="CU127" i="2" s="1"/>
  <c r="CT5" i="2"/>
  <c r="CT30" i="2" s="1"/>
  <c r="CS8" i="2"/>
  <c r="CU145" i="2"/>
  <c r="CT149" i="2" l="1"/>
  <c r="CT74" i="2"/>
  <c r="CT151" i="2" s="1"/>
  <c r="CU88" i="2"/>
  <c r="CT142" i="2"/>
  <c r="CT165" i="2" s="1"/>
  <c r="CU82" i="2"/>
  <c r="DB129" i="2"/>
  <c r="CU48" i="2"/>
  <c r="CU59" i="2"/>
  <c r="CU93" i="2"/>
  <c r="CU116" i="2"/>
  <c r="CU54" i="2"/>
  <c r="CU63" i="2" s="1"/>
  <c r="DB95" i="2"/>
  <c r="CU153" i="2"/>
  <c r="CU157" i="2"/>
  <c r="CU108" i="2" s="1"/>
  <c r="CU159" i="2"/>
  <c r="CU137" i="2"/>
  <c r="CU132" i="2"/>
  <c r="CU136" i="2" s="1"/>
  <c r="CU105" i="2"/>
  <c r="CU138" i="2"/>
  <c r="CU104" i="2"/>
  <c r="CU131" i="2"/>
  <c r="CU135" i="2" s="1"/>
  <c r="CU139" i="2"/>
  <c r="CU97" i="2"/>
  <c r="CU101" i="2" s="1"/>
  <c r="CU103" i="2"/>
  <c r="CU98" i="2"/>
  <c r="CU102" i="2" s="1"/>
  <c r="CU140" i="2"/>
  <c r="CU106" i="2"/>
  <c r="CU122" i="2"/>
  <c r="CU71" i="2"/>
  <c r="CT67" i="2"/>
  <c r="CT70" i="2" s="1"/>
  <c r="CT150" i="2" s="1"/>
  <c r="DC37" i="2"/>
  <c r="DC61" i="2" s="1"/>
  <c r="DC39" i="2"/>
  <c r="DC40" i="2" s="1"/>
  <c r="CU64" i="2"/>
  <c r="CU68" i="2" s="1"/>
  <c r="CU62" i="2"/>
  <c r="CU66" i="2" s="1"/>
  <c r="DD7" i="2"/>
  <c r="DD9" i="2" s="1"/>
  <c r="CV35" i="2"/>
  <c r="CV82" i="2" s="1"/>
  <c r="CU5" i="2"/>
  <c r="CU30" i="2" s="1"/>
  <c r="CT8" i="2"/>
  <c r="CV145" i="2"/>
  <c r="CU69" i="2" l="1"/>
  <c r="CU149" i="2" s="1"/>
  <c r="CU74" i="2"/>
  <c r="CU151" i="2" s="1"/>
  <c r="CV139" i="2"/>
  <c r="CV140" i="2"/>
  <c r="CV138" i="2"/>
  <c r="CV104" i="2"/>
  <c r="CV131" i="2"/>
  <c r="CV135" i="2" s="1"/>
  <c r="CV132" i="2"/>
  <c r="CV136" i="2" s="1"/>
  <c r="CV97" i="2"/>
  <c r="CV101" i="2" s="1"/>
  <c r="CV103" i="2"/>
  <c r="CV98" i="2"/>
  <c r="CV102" i="2" s="1"/>
  <c r="CV106" i="2"/>
  <c r="CV105" i="2"/>
  <c r="CV137" i="2"/>
  <c r="CV88" i="2"/>
  <c r="CV48" i="2"/>
  <c r="CV59" i="2"/>
  <c r="CV64" i="2" s="1"/>
  <c r="DC129" i="2"/>
  <c r="CV93" i="2"/>
  <c r="CV54" i="2"/>
  <c r="CV63" i="2" s="1"/>
  <c r="DC95" i="2"/>
  <c r="CV157" i="2"/>
  <c r="CV108" i="2" s="1"/>
  <c r="CV159" i="2"/>
  <c r="CV153" i="2"/>
  <c r="CV122" i="2"/>
  <c r="CV127" i="2"/>
  <c r="CV71" i="2"/>
  <c r="CV72" i="2"/>
  <c r="CU67" i="2"/>
  <c r="CU70" i="2" s="1"/>
  <c r="CU150" i="2" s="1"/>
  <c r="DD37" i="2"/>
  <c r="DD61" i="2" s="1"/>
  <c r="DD39" i="2"/>
  <c r="DD40" i="2" s="1"/>
  <c r="CV62" i="2"/>
  <c r="CV66" i="2" s="1"/>
  <c r="CW35" i="2"/>
  <c r="CW59" i="2" s="1"/>
  <c r="DE7" i="2"/>
  <c r="DE9" i="2" s="1"/>
  <c r="CV5" i="2"/>
  <c r="CV30" i="2" s="1"/>
  <c r="CU8" i="2"/>
  <c r="CW145" i="2"/>
  <c r="CV142" i="2" l="1"/>
  <c r="CV165" i="2" s="1"/>
  <c r="CW93" i="2"/>
  <c r="CW122" i="2"/>
  <c r="CW88" i="2"/>
  <c r="CW48" i="2"/>
  <c r="CW116" i="2"/>
  <c r="DD95" i="2"/>
  <c r="CW82" i="2"/>
  <c r="CW137" i="2"/>
  <c r="CW139" i="2"/>
  <c r="CW138" i="2"/>
  <c r="CW131" i="2"/>
  <c r="CW135" i="2" s="1"/>
  <c r="CW103" i="2"/>
  <c r="CW98" i="2"/>
  <c r="CW102" i="2" s="1"/>
  <c r="CW106" i="2"/>
  <c r="CW105" i="2"/>
  <c r="CW97" i="2"/>
  <c r="CW101" i="2" s="1"/>
  <c r="CW140" i="2"/>
  <c r="CW104" i="2"/>
  <c r="CW132" i="2"/>
  <c r="CW136" i="2" s="1"/>
  <c r="CV74" i="2"/>
  <c r="CV151" i="2" s="1"/>
  <c r="CW127" i="2"/>
  <c r="CW157" i="2"/>
  <c r="CW108" i="2" s="1"/>
  <c r="CW159" i="2"/>
  <c r="CW153" i="2"/>
  <c r="DD129" i="2"/>
  <c r="CW54" i="2"/>
  <c r="CW71" i="2"/>
  <c r="CW72" i="2"/>
  <c r="CX145" i="2"/>
  <c r="CV67" i="2"/>
  <c r="CV68" i="2"/>
  <c r="CX35" i="2"/>
  <c r="CX48" i="2" s="1"/>
  <c r="CW62" i="2"/>
  <c r="CW66" i="2" s="1"/>
  <c r="CW64" i="2"/>
  <c r="DE39" i="2"/>
  <c r="DE40" i="2" s="1"/>
  <c r="DE37" i="2"/>
  <c r="DE61" i="2" s="1"/>
  <c r="DF7" i="2"/>
  <c r="DF9" i="2" s="1"/>
  <c r="CW5" i="2"/>
  <c r="CV8" i="2"/>
  <c r="CV70" i="2" l="1"/>
  <c r="CV150" i="2" s="1"/>
  <c r="CV69" i="2"/>
  <c r="CV149" i="2" s="1"/>
  <c r="CX122" i="2"/>
  <c r="CX93" i="2"/>
  <c r="CX127" i="2"/>
  <c r="CX59" i="2"/>
  <c r="CX64" i="2" s="1"/>
  <c r="CW74" i="2"/>
  <c r="CW151" i="2" s="1"/>
  <c r="CX159" i="2"/>
  <c r="CX157" i="2"/>
  <c r="CX153" i="2"/>
  <c r="DE129" i="2"/>
  <c r="DE95" i="2"/>
  <c r="CW142" i="2"/>
  <c r="CW165" i="2" s="1"/>
  <c r="CX116" i="2"/>
  <c r="CX140" i="2"/>
  <c r="CX131" i="2"/>
  <c r="CX135" i="2" s="1"/>
  <c r="CX139" i="2"/>
  <c r="CX137" i="2"/>
  <c r="CX138" i="2"/>
  <c r="CX96" i="2"/>
  <c r="CX100" i="2" s="1"/>
  <c r="CX132" i="2"/>
  <c r="CX136" i="2" s="1"/>
  <c r="CX105" i="2"/>
  <c r="CX97" i="2"/>
  <c r="CX101" i="2" s="1"/>
  <c r="CX104" i="2" s="1"/>
  <c r="CX98" i="2"/>
  <c r="CX102" i="2" s="1"/>
  <c r="CX103" i="2" s="1"/>
  <c r="CX88" i="2"/>
  <c r="CX82" i="2"/>
  <c r="CY145" i="2"/>
  <c r="CZ145" i="2" s="1"/>
  <c r="CX69" i="2"/>
  <c r="CX71" i="2"/>
  <c r="CW68" i="2"/>
  <c r="CX62" i="2"/>
  <c r="CX66" i="2" s="1"/>
  <c r="CY35" i="2"/>
  <c r="CY82" i="2" s="1"/>
  <c r="DF37" i="2"/>
  <c r="DF61" i="2" s="1"/>
  <c r="DF39" i="2"/>
  <c r="DF40" i="2" s="1"/>
  <c r="CX5" i="2"/>
  <c r="CX30" i="2" s="1"/>
  <c r="CW30" i="2"/>
  <c r="DG7" i="2"/>
  <c r="DG9" i="2" s="1"/>
  <c r="CW8" i="2"/>
  <c r="CX74" i="2" l="1"/>
  <c r="CW70" i="2"/>
  <c r="CW150" i="2" s="1"/>
  <c r="CW69" i="2"/>
  <c r="CW149" i="2" s="1"/>
  <c r="CX108" i="2"/>
  <c r="DF129" i="2"/>
  <c r="CZ159" i="2"/>
  <c r="CZ153" i="2"/>
  <c r="CZ157" i="2"/>
  <c r="CY48" i="2"/>
  <c r="CY116" i="2"/>
  <c r="CY127" i="2"/>
  <c r="CY54" i="2"/>
  <c r="CX149" i="2"/>
  <c r="CY88" i="2"/>
  <c r="CY97" i="2" s="1"/>
  <c r="CY101" i="2" s="1"/>
  <c r="CY104" i="2" s="1"/>
  <c r="CY59" i="2"/>
  <c r="CY64" i="2" s="1"/>
  <c r="CY159" i="2"/>
  <c r="CY157" i="2"/>
  <c r="CY108" i="2" s="1"/>
  <c r="CY153" i="2"/>
  <c r="CY122" i="2"/>
  <c r="CY140" i="2"/>
  <c r="CY131" i="2"/>
  <c r="CY135" i="2" s="1"/>
  <c r="CY139" i="2"/>
  <c r="CY138" i="2"/>
  <c r="CY106" i="2"/>
  <c r="CY132" i="2"/>
  <c r="CY136" i="2" s="1"/>
  <c r="CY137" i="2"/>
  <c r="CY96" i="2"/>
  <c r="CY100" i="2" s="1"/>
  <c r="CY105" i="2"/>
  <c r="CY98" i="2"/>
  <c r="CY102" i="2" s="1"/>
  <c r="CY103" i="2" s="1"/>
  <c r="CY93" i="2"/>
  <c r="DF95" i="2"/>
  <c r="CY72" i="2"/>
  <c r="CY71" i="2"/>
  <c r="CY69" i="2"/>
  <c r="CX68" i="2"/>
  <c r="CX70" i="2" s="1"/>
  <c r="CX150" i="2" s="1"/>
  <c r="CY62" i="2"/>
  <c r="CY66" i="2" s="1"/>
  <c r="DG37" i="2"/>
  <c r="DG61" i="2" s="1"/>
  <c r="DG39" i="2"/>
  <c r="DG40" i="2" s="1"/>
  <c r="CZ35" i="2"/>
  <c r="CZ116" i="2" s="1"/>
  <c r="CX8" i="2"/>
  <c r="CY5" i="2"/>
  <c r="CY30" i="2" s="1"/>
  <c r="DA145" i="2"/>
  <c r="DH7" i="2"/>
  <c r="DH9" i="2" s="1"/>
  <c r="CX151" i="2" l="1"/>
  <c r="CY74" i="2"/>
  <c r="CY151" i="2" s="1"/>
  <c r="CZ54" i="2"/>
  <c r="CZ127" i="2"/>
  <c r="CZ59" i="2"/>
  <c r="CZ64" i="2" s="1"/>
  <c r="DA159" i="2"/>
  <c r="DA153" i="2"/>
  <c r="DA157" i="2"/>
  <c r="DG129" i="2"/>
  <c r="CZ93" i="2"/>
  <c r="DG95" i="2"/>
  <c r="CZ122" i="2"/>
  <c r="CZ82" i="2"/>
  <c r="CY149" i="2"/>
  <c r="CY142" i="2"/>
  <c r="CY165" i="2" s="1"/>
  <c r="CZ138" i="2"/>
  <c r="CZ140" i="2"/>
  <c r="CZ139" i="2"/>
  <c r="CZ132" i="2"/>
  <c r="CZ136" i="2" s="1"/>
  <c r="CZ106" i="2"/>
  <c r="CZ105" i="2"/>
  <c r="CZ96" i="2"/>
  <c r="CZ100" i="2" s="1"/>
  <c r="CZ137" i="2"/>
  <c r="CZ131" i="2"/>
  <c r="CZ135" i="2" s="1"/>
  <c r="CZ98" i="2"/>
  <c r="CZ102" i="2" s="1"/>
  <c r="CZ103" i="2" s="1"/>
  <c r="CZ108" i="2"/>
  <c r="CZ88" i="2"/>
  <c r="CZ97" i="2" s="1"/>
  <c r="CZ101" i="2" s="1"/>
  <c r="CZ104" i="2" s="1"/>
  <c r="CZ48" i="2"/>
  <c r="CZ74" i="2"/>
  <c r="CZ72" i="2"/>
  <c r="CZ69" i="2"/>
  <c r="CZ71" i="2"/>
  <c r="CY68" i="2"/>
  <c r="CY70" i="2" s="1"/>
  <c r="CY150" i="2" s="1"/>
  <c r="CZ62" i="2"/>
  <c r="CZ66" i="2" s="1"/>
  <c r="DH37" i="2"/>
  <c r="DH61" i="2" s="1"/>
  <c r="DH39" i="2"/>
  <c r="DH40" i="2" s="1"/>
  <c r="DA35" i="2"/>
  <c r="DA59" i="2" s="1"/>
  <c r="CZ5" i="2"/>
  <c r="CZ30" i="2" s="1"/>
  <c r="CY8" i="2"/>
  <c r="DB145" i="2"/>
  <c r="DI7" i="2"/>
  <c r="DI9" i="2" s="1"/>
  <c r="CZ151" i="2" l="1"/>
  <c r="CZ149" i="2"/>
  <c r="DA127" i="2"/>
  <c r="DH129" i="2"/>
  <c r="DA54" i="2"/>
  <c r="DA116" i="2"/>
  <c r="CZ142" i="2"/>
  <c r="CZ165" i="2" s="1"/>
  <c r="DA93" i="2"/>
  <c r="DA82" i="2"/>
  <c r="DA122" i="2"/>
  <c r="DB153" i="2"/>
  <c r="DB159" i="2"/>
  <c r="DB157" i="2"/>
  <c r="DA88" i="2"/>
  <c r="DA97" i="2" s="1"/>
  <c r="DA101" i="2" s="1"/>
  <c r="DA104" i="2" s="1"/>
  <c r="DH95" i="2"/>
  <c r="DA140" i="2"/>
  <c r="DA139" i="2"/>
  <c r="DA138" i="2"/>
  <c r="DA132" i="2"/>
  <c r="DA136" i="2" s="1"/>
  <c r="DA137" i="2"/>
  <c r="DA106" i="2"/>
  <c r="DA105" i="2"/>
  <c r="DA131" i="2"/>
  <c r="DA135" i="2" s="1"/>
  <c r="DA96" i="2"/>
  <c r="DA100" i="2" s="1"/>
  <c r="DA98" i="2"/>
  <c r="DA102" i="2" s="1"/>
  <c r="DA103" i="2" s="1"/>
  <c r="DA108" i="2"/>
  <c r="DA48" i="2"/>
  <c r="DA74" i="2"/>
  <c r="DA72" i="2"/>
  <c r="DA71" i="2"/>
  <c r="DA69" i="2"/>
  <c r="CZ68" i="2"/>
  <c r="CZ70" i="2" s="1"/>
  <c r="CZ150" i="2" s="1"/>
  <c r="DA64" i="2"/>
  <c r="DA62" i="2"/>
  <c r="DA66" i="2" s="1"/>
  <c r="DI39" i="2"/>
  <c r="DI40" i="2" s="1"/>
  <c r="DI37" i="2"/>
  <c r="DI61" i="2" s="1"/>
  <c r="DB35" i="2"/>
  <c r="DB122" i="2" s="1"/>
  <c r="DA5" i="2"/>
  <c r="DA30" i="2" s="1"/>
  <c r="CZ8" i="2"/>
  <c r="DC145" i="2"/>
  <c r="DB127" i="2" l="1"/>
  <c r="DB54" i="2"/>
  <c r="DB48" i="2"/>
  <c r="DB88" i="2"/>
  <c r="DB97" i="2" s="1"/>
  <c r="DB101" i="2" s="1"/>
  <c r="DB104" i="2" s="1"/>
  <c r="DA149" i="2"/>
  <c r="DA142" i="2"/>
  <c r="DA165" i="2" s="1"/>
  <c r="DB82" i="2"/>
  <c r="DI129" i="2"/>
  <c r="DC153" i="2"/>
  <c r="DC157" i="2"/>
  <c r="DC159" i="2"/>
  <c r="DB93" i="2"/>
  <c r="DI95" i="2"/>
  <c r="DB138" i="2"/>
  <c r="DB132" i="2"/>
  <c r="DB136" i="2" s="1"/>
  <c r="DB137" i="2"/>
  <c r="DB105" i="2"/>
  <c r="DB140" i="2"/>
  <c r="DB131" i="2"/>
  <c r="DB135" i="2" s="1"/>
  <c r="DB96" i="2"/>
  <c r="DB100" i="2" s="1"/>
  <c r="DB139" i="2"/>
  <c r="DB106" i="2"/>
  <c r="DB98" i="2"/>
  <c r="DB102" i="2" s="1"/>
  <c r="DB103" i="2" s="1"/>
  <c r="DB108" i="2"/>
  <c r="DB116" i="2"/>
  <c r="DA151" i="2"/>
  <c r="DB59" i="2"/>
  <c r="DB64" i="2" s="1"/>
  <c r="DB71" i="2"/>
  <c r="DB69" i="2"/>
  <c r="DB74" i="2"/>
  <c r="DB72" i="2"/>
  <c r="DB62" i="2"/>
  <c r="DB66" i="2" s="1"/>
  <c r="DA68" i="2"/>
  <c r="DA70" i="2" s="1"/>
  <c r="DA150" i="2" s="1"/>
  <c r="DC35" i="2"/>
  <c r="DC93" i="2" s="1"/>
  <c r="DB5" i="2"/>
  <c r="DB30" i="2" s="1"/>
  <c r="DA8" i="2"/>
  <c r="DD145" i="2"/>
  <c r="DC122" i="2" l="1"/>
  <c r="DB149" i="2"/>
  <c r="DB142" i="2"/>
  <c r="DB165" i="2" s="1"/>
  <c r="DC59" i="2"/>
  <c r="DC88" i="2"/>
  <c r="DC97" i="2" s="1"/>
  <c r="DC101" i="2" s="1"/>
  <c r="DC104" i="2" s="1"/>
  <c r="DC138" i="2"/>
  <c r="DC132" i="2"/>
  <c r="DC136" i="2" s="1"/>
  <c r="DC137" i="2"/>
  <c r="DC140" i="2"/>
  <c r="DC139" i="2"/>
  <c r="DC105" i="2"/>
  <c r="DC106" i="2"/>
  <c r="DC131" i="2"/>
  <c r="DC135" i="2" s="1"/>
  <c r="DC96" i="2"/>
  <c r="DC100" i="2" s="1"/>
  <c r="DC98" i="2"/>
  <c r="DC102" i="2" s="1"/>
  <c r="DC103" i="2" s="1"/>
  <c r="DC108" i="2"/>
  <c r="DC82" i="2"/>
  <c r="DC48" i="2"/>
  <c r="DC127" i="2"/>
  <c r="DC54" i="2"/>
  <c r="DD157" i="2"/>
  <c r="DD159" i="2"/>
  <c r="DD153" i="2"/>
  <c r="DB151" i="2"/>
  <c r="DC116" i="2"/>
  <c r="DD35" i="2"/>
  <c r="DD54" i="2" s="1"/>
  <c r="DC71" i="2"/>
  <c r="DC69" i="2"/>
  <c r="DC74" i="2"/>
  <c r="DC72" i="2"/>
  <c r="DC62" i="2"/>
  <c r="DC66" i="2" s="1"/>
  <c r="DC64" i="2"/>
  <c r="DB68" i="2"/>
  <c r="DB70" i="2" s="1"/>
  <c r="DB150" i="2" s="1"/>
  <c r="DB8" i="2"/>
  <c r="DC5" i="2"/>
  <c r="DC30" i="2" s="1"/>
  <c r="DE145" i="2"/>
  <c r="DD127" i="2" l="1"/>
  <c r="DD48" i="2"/>
  <c r="DD93" i="2"/>
  <c r="DD139" i="2"/>
  <c r="DD137" i="2"/>
  <c r="DD140" i="2"/>
  <c r="DD132" i="2"/>
  <c r="DD136" i="2" s="1"/>
  <c r="DD131" i="2"/>
  <c r="DD135" i="2" s="1"/>
  <c r="DD138" i="2"/>
  <c r="DD105" i="2"/>
  <c r="DD96" i="2"/>
  <c r="DD100" i="2" s="1"/>
  <c r="DD98" i="2"/>
  <c r="DD102" i="2" s="1"/>
  <c r="DD103" i="2" s="1"/>
  <c r="DD108" i="2"/>
  <c r="DD82" i="2"/>
  <c r="DC151" i="2"/>
  <c r="DD88" i="2"/>
  <c r="DD97" i="2" s="1"/>
  <c r="DD101" i="2" s="1"/>
  <c r="DE157" i="2"/>
  <c r="DE159" i="2"/>
  <c r="DE153" i="2"/>
  <c r="DC149" i="2"/>
  <c r="DD116" i="2"/>
  <c r="DC142" i="2"/>
  <c r="DC165" i="2" s="1"/>
  <c r="DD122" i="2"/>
  <c r="DE35" i="2"/>
  <c r="DE54" i="2" s="1"/>
  <c r="DD62" i="2"/>
  <c r="DD66" i="2" s="1"/>
  <c r="DD71" i="2"/>
  <c r="DD69" i="2"/>
  <c r="DD74" i="2"/>
  <c r="DD72" i="2"/>
  <c r="DC68" i="2"/>
  <c r="DC70" i="2" s="1"/>
  <c r="DC150" i="2" s="1"/>
  <c r="DD5" i="2"/>
  <c r="DD30" i="2" s="1"/>
  <c r="DC8" i="2"/>
  <c r="DF145" i="2"/>
  <c r="DD104" i="2" l="1"/>
  <c r="DE69" i="2"/>
  <c r="DE71" i="2"/>
  <c r="DE93" i="2"/>
  <c r="DE116" i="2"/>
  <c r="DD151" i="2"/>
  <c r="DF35" i="2"/>
  <c r="DF88" i="2" s="1"/>
  <c r="DE127" i="2"/>
  <c r="DE48" i="2"/>
  <c r="DE62" i="2"/>
  <c r="DE66" i="2" s="1"/>
  <c r="DE72" i="2"/>
  <c r="DE74" i="2"/>
  <c r="DF159" i="2"/>
  <c r="DF153" i="2"/>
  <c r="DF157" i="2"/>
  <c r="DD149" i="2"/>
  <c r="DE137" i="2"/>
  <c r="DE140" i="2"/>
  <c r="DE138" i="2"/>
  <c r="DE132" i="2"/>
  <c r="DE136" i="2" s="1"/>
  <c r="DE131" i="2"/>
  <c r="DE135" i="2" s="1"/>
  <c r="DE105" i="2"/>
  <c r="DE106" i="2"/>
  <c r="DE139" i="2"/>
  <c r="DE96" i="2"/>
  <c r="DE100" i="2" s="1"/>
  <c r="DE98" i="2"/>
  <c r="DE102" i="2" s="1"/>
  <c r="DE103" i="2" s="1"/>
  <c r="DE108" i="2"/>
  <c r="DE88" i="2"/>
  <c r="DE97" i="2" s="1"/>
  <c r="DE101" i="2" s="1"/>
  <c r="DE104" i="2" s="1"/>
  <c r="DE82" i="2"/>
  <c r="DE59" i="2"/>
  <c r="DE122" i="2"/>
  <c r="DE5" i="2"/>
  <c r="DE30" i="2" s="1"/>
  <c r="DD8" i="2"/>
  <c r="DG145" i="2"/>
  <c r="DE151" i="2" l="1"/>
  <c r="DF139" i="2"/>
  <c r="DF69" i="2"/>
  <c r="DF72" i="2"/>
  <c r="DF140" i="2"/>
  <c r="DF116" i="2"/>
  <c r="DF108" i="2"/>
  <c r="DF127" i="2"/>
  <c r="DF137" i="2"/>
  <c r="DF71" i="2"/>
  <c r="DF132" i="2"/>
  <c r="DF136" i="2" s="1"/>
  <c r="DF93" i="2"/>
  <c r="DF98" i="2" s="1"/>
  <c r="DF102" i="2" s="1"/>
  <c r="DG35" i="2"/>
  <c r="DG82" i="2" s="1"/>
  <c r="DF131" i="2"/>
  <c r="DF135" i="2" s="1"/>
  <c r="DF122" i="2"/>
  <c r="DF59" i="2"/>
  <c r="DF74" i="2"/>
  <c r="DF82" i="2"/>
  <c r="DF96" i="2"/>
  <c r="DF100" i="2" s="1"/>
  <c r="DF105" i="2"/>
  <c r="DF54" i="2"/>
  <c r="DF48" i="2"/>
  <c r="DF138" i="2"/>
  <c r="DF62" i="2"/>
  <c r="DF66" i="2" s="1"/>
  <c r="DF106" i="2"/>
  <c r="DE149" i="2"/>
  <c r="DE142" i="2"/>
  <c r="DE165" i="2" s="1"/>
  <c r="DG159" i="2"/>
  <c r="DG157" i="2"/>
  <c r="DG153" i="2"/>
  <c r="DF97" i="2"/>
  <c r="DF101" i="2" s="1"/>
  <c r="DF5" i="2"/>
  <c r="DF30" i="2" s="1"/>
  <c r="DE8" i="2"/>
  <c r="DH145" i="2"/>
  <c r="DF103" i="2" l="1"/>
  <c r="DF149" i="2" s="1"/>
  <c r="DF104" i="2"/>
  <c r="DF151" i="2"/>
  <c r="DF142" i="2"/>
  <c r="DF165" i="2" s="1"/>
  <c r="DG105" i="2"/>
  <c r="DG140" i="2"/>
  <c r="DG69" i="2"/>
  <c r="DH35" i="2"/>
  <c r="DH93" i="2" s="1"/>
  <c r="DG72" i="2"/>
  <c r="DG54" i="2"/>
  <c r="DG116" i="2"/>
  <c r="DG62" i="2"/>
  <c r="DG66" i="2" s="1"/>
  <c r="DG93" i="2"/>
  <c r="DG132" i="2"/>
  <c r="DG136" i="2" s="1"/>
  <c r="DG96" i="2"/>
  <c r="DG100" i="2" s="1"/>
  <c r="DG71" i="2"/>
  <c r="DG138" i="2"/>
  <c r="DG122" i="2"/>
  <c r="DG137" i="2"/>
  <c r="DG88" i="2"/>
  <c r="DG97" i="2" s="1"/>
  <c r="DG101" i="2" s="1"/>
  <c r="DG48" i="2"/>
  <c r="DG139" i="2"/>
  <c r="DG98" i="2"/>
  <c r="DG102" i="2" s="1"/>
  <c r="DG103" i="2" s="1"/>
  <c r="DG131" i="2"/>
  <c r="DG135" i="2" s="1"/>
  <c r="DG127" i="2"/>
  <c r="DG74" i="2"/>
  <c r="DG108" i="2"/>
  <c r="DH159" i="2"/>
  <c r="DH157" i="2"/>
  <c r="DH153" i="2"/>
  <c r="DG5" i="2"/>
  <c r="DG30" i="2" s="1"/>
  <c r="DF8" i="2"/>
  <c r="DI145" i="2"/>
  <c r="DH59" i="2" l="1"/>
  <c r="DG104" i="2"/>
  <c r="DI35" i="2"/>
  <c r="DI54" i="2" s="1"/>
  <c r="DH139" i="2"/>
  <c r="DH127" i="2"/>
  <c r="DH69" i="2"/>
  <c r="DH137" i="2"/>
  <c r="DH108" i="2"/>
  <c r="DG149" i="2"/>
  <c r="DH71" i="2"/>
  <c r="DH106" i="2"/>
  <c r="DH131" i="2"/>
  <c r="DH135" i="2" s="1"/>
  <c r="DH54" i="2"/>
  <c r="DH72" i="2"/>
  <c r="DH132" i="2"/>
  <c r="DH136" i="2" s="1"/>
  <c r="DH48" i="2"/>
  <c r="DH62" i="2"/>
  <c r="DH66" i="2" s="1"/>
  <c r="DH122" i="2"/>
  <c r="DH140" i="2"/>
  <c r="DH88" i="2"/>
  <c r="DH97" i="2" s="1"/>
  <c r="DH101" i="2" s="1"/>
  <c r="DH96" i="2"/>
  <c r="DH100" i="2" s="1"/>
  <c r="DH138" i="2"/>
  <c r="DH82" i="2"/>
  <c r="DH105" i="2"/>
  <c r="DG151" i="2"/>
  <c r="DH98" i="2"/>
  <c r="DH102" i="2" s="1"/>
  <c r="DH74" i="2"/>
  <c r="DI159" i="2"/>
  <c r="DI153" i="2"/>
  <c r="DI157" i="2"/>
  <c r="DH5" i="2"/>
  <c r="DH30" i="2" s="1"/>
  <c r="DG8" i="2"/>
  <c r="DH104" i="2" l="1"/>
  <c r="F130" i="1"/>
  <c r="G130" i="1"/>
  <c r="H130" i="1"/>
  <c r="I130" i="1"/>
  <c r="J130" i="1"/>
  <c r="K130" i="1"/>
  <c r="L130" i="1"/>
  <c r="M130" i="1"/>
  <c r="N130" i="1"/>
  <c r="F126" i="1"/>
  <c r="G126" i="1"/>
  <c r="H126" i="1"/>
  <c r="I126" i="1"/>
  <c r="J126" i="1"/>
  <c r="K126" i="1"/>
  <c r="L126" i="1"/>
  <c r="M126" i="1"/>
  <c r="N126" i="1"/>
  <c r="F132" i="1"/>
  <c r="G132" i="1"/>
  <c r="H132" i="1"/>
  <c r="I132" i="1"/>
  <c r="J132" i="1"/>
  <c r="K132" i="1"/>
  <c r="L132" i="1"/>
  <c r="M132" i="1"/>
  <c r="N132" i="1"/>
  <c r="DI140" i="2"/>
  <c r="DI59" i="2"/>
  <c r="DI96" i="2"/>
  <c r="DI100" i="2" s="1"/>
  <c r="DI82" i="2"/>
  <c r="DI105" i="2"/>
  <c r="DI122" i="2"/>
  <c r="DI137" i="2"/>
  <c r="DI127" i="2"/>
  <c r="DI62" i="2"/>
  <c r="DI66" i="2" s="1"/>
  <c r="DI106" i="2"/>
  <c r="DI48" i="2"/>
  <c r="DI74" i="2"/>
  <c r="DI72" i="2"/>
  <c r="DH103" i="2"/>
  <c r="DH149" i="2" s="1"/>
  <c r="DI139" i="2"/>
  <c r="DI93" i="2"/>
  <c r="DI98" i="2" s="1"/>
  <c r="DI102" i="2" s="1"/>
  <c r="DI131" i="2"/>
  <c r="DI135" i="2" s="1"/>
  <c r="DI88" i="2"/>
  <c r="DI97" i="2" s="1"/>
  <c r="DI101" i="2" s="1"/>
  <c r="DI138" i="2"/>
  <c r="DI69" i="2"/>
  <c r="DI71" i="2"/>
  <c r="DI132" i="2"/>
  <c r="DI136" i="2" s="1"/>
  <c r="DI116" i="2"/>
  <c r="DH151" i="2"/>
  <c r="DH142" i="2"/>
  <c r="DH165" i="2" s="1"/>
  <c r="DI108" i="2"/>
  <c r="DI5" i="2"/>
  <c r="J28" i="1" s="1"/>
  <c r="DH8" i="2"/>
  <c r="E54" i="2"/>
  <c r="E59" i="2"/>
  <c r="CX72" i="2" s="1"/>
  <c r="E48" i="2"/>
  <c r="DI151" i="2" l="1"/>
  <c r="DI104" i="2"/>
  <c r="DI103" i="2"/>
  <c r="DI149" i="2" s="1"/>
  <c r="DG59" i="2"/>
  <c r="CR72" i="2"/>
  <c r="CR142" i="2" s="1"/>
  <c r="CR165" i="2" s="1"/>
  <c r="DD59" i="2"/>
  <c r="DD64" i="2" s="1"/>
  <c r="DI142" i="2"/>
  <c r="DI165" i="2" s="1"/>
  <c r="DI30" i="2"/>
  <c r="E93" i="2"/>
  <c r="E116" i="2"/>
  <c r="E122" i="2"/>
  <c r="E127" i="2"/>
  <c r="E82" i="2"/>
  <c r="E88" i="2"/>
  <c r="CX106" i="2" s="1"/>
  <c r="CX142" i="2" s="1"/>
  <c r="CX165" i="2" s="1"/>
  <c r="BB72" i="2"/>
  <c r="BN48" i="2"/>
  <c r="BZ48" i="2"/>
  <c r="CL72" i="2"/>
  <c r="CL142" i="2" s="1"/>
  <c r="CL165" i="2" s="1"/>
  <c r="M138" i="1" s="1"/>
  <c r="CX54" i="2"/>
  <c r="CU72" i="2"/>
  <c r="CU142" i="2" s="1"/>
  <c r="CU165" i="2" s="1"/>
  <c r="DI8" i="2"/>
  <c r="BM62" i="2"/>
  <c r="CW63" i="2"/>
  <c r="F122" i="1" l="1"/>
  <c r="G122" i="1"/>
  <c r="H122" i="1"/>
  <c r="I122" i="1"/>
  <c r="J122" i="1"/>
  <c r="K122" i="1"/>
  <c r="L122" i="1"/>
  <c r="M122" i="1"/>
  <c r="N122" i="1"/>
  <c r="F124" i="1"/>
  <c r="G124" i="1"/>
  <c r="H124" i="1"/>
  <c r="I124" i="1"/>
  <c r="J124" i="1"/>
  <c r="K124" i="1"/>
  <c r="L124" i="1"/>
  <c r="M124" i="1"/>
  <c r="N124" i="1"/>
  <c r="F138" i="1"/>
  <c r="G138" i="1"/>
  <c r="H138" i="1"/>
  <c r="I138" i="1"/>
  <c r="K138" i="1"/>
  <c r="L138" i="1"/>
  <c r="DG106" i="2"/>
  <c r="DG142" i="2" s="1"/>
  <c r="DG165" i="2" s="1"/>
  <c r="DD106" i="2"/>
  <c r="DD142" i="2" s="1"/>
  <c r="DD165" i="2" s="1"/>
  <c r="DD68" i="2"/>
  <c r="DD70" i="2" s="1"/>
  <c r="DD150" i="2" s="1"/>
  <c r="DE64" i="2"/>
  <c r="BB106" i="2"/>
  <c r="BB142" i="2" s="1"/>
  <c r="BB165" i="2" s="1"/>
  <c r="BN82" i="2"/>
  <c r="BN96" i="2" s="1"/>
  <c r="BZ82" i="2"/>
  <c r="CL82" i="2"/>
  <c r="BL140" i="2"/>
  <c r="BL142" i="2" s="1"/>
  <c r="BL165" i="2" s="1"/>
  <c r="BX116" i="2"/>
  <c r="BX130" i="2" s="1"/>
  <c r="CJ116" i="2"/>
  <c r="CV116" i="2"/>
  <c r="DH116" i="2"/>
  <c r="CX63" i="2"/>
  <c r="CW67" i="2"/>
  <c r="BN62" i="2"/>
  <c r="BM66" i="2"/>
  <c r="BM148" i="2" s="1"/>
  <c r="BM152" i="2" s="1"/>
  <c r="BM154" i="2" s="1"/>
  <c r="BM158" i="2" s="1"/>
  <c r="BM160" i="2" s="1"/>
  <c r="BM162" i="2" s="1"/>
  <c r="J138" i="1" l="1"/>
  <c r="N138" i="1"/>
  <c r="DE68" i="2"/>
  <c r="DE70" i="2" s="1"/>
  <c r="DE150" i="2" s="1"/>
  <c r="DF64" i="2"/>
  <c r="BA185" i="2"/>
  <c r="BA187" i="2" s="1"/>
  <c r="BB166" i="2"/>
  <c r="BN100" i="2"/>
  <c r="BO96" i="2"/>
  <c r="BM163" i="2"/>
  <c r="BX134" i="2"/>
  <c r="BX138" i="2" s="1"/>
  <c r="BX150" i="2" s="1"/>
  <c r="BY130" i="2"/>
  <c r="CY63" i="2"/>
  <c r="CX67" i="2"/>
  <c r="BO62" i="2"/>
  <c r="BN66" i="2"/>
  <c r="BN148" i="2" s="1"/>
  <c r="BB143" i="2" l="1"/>
  <c r="BC166" i="2" s="1"/>
  <c r="BC168" i="2" s="1"/>
  <c r="BN152" i="2"/>
  <c r="BN154" i="2" s="1"/>
  <c r="BN158" i="2" s="1"/>
  <c r="DF68" i="2"/>
  <c r="DF70" i="2" s="1"/>
  <c r="DF150" i="2" s="1"/>
  <c r="DG64" i="2"/>
  <c r="BO100" i="2"/>
  <c r="BP96" i="2"/>
  <c r="BY134" i="2"/>
  <c r="BY138" i="2" s="1"/>
  <c r="BY150" i="2" s="1"/>
  <c r="BZ130" i="2"/>
  <c r="BB168" i="2"/>
  <c r="BP62" i="2"/>
  <c r="BO66" i="2"/>
  <c r="CZ63" i="2"/>
  <c r="CY67" i="2"/>
  <c r="BC143" i="2" l="1"/>
  <c r="BD166" i="2" s="1"/>
  <c r="BD168" i="2" s="1"/>
  <c r="BO148" i="2"/>
  <c r="BN160" i="2"/>
  <c r="BN162" i="2" s="1"/>
  <c r="BC169" i="2"/>
  <c r="BC269" i="2"/>
  <c r="BB169" i="2"/>
  <c r="BB269" i="2"/>
  <c r="DG68" i="2"/>
  <c r="DG70" i="2" s="1"/>
  <c r="DG150" i="2" s="1"/>
  <c r="DH64" i="2"/>
  <c r="BP100" i="2"/>
  <c r="BQ96" i="2"/>
  <c r="BZ134" i="2"/>
  <c r="BZ138" i="2" s="1"/>
  <c r="BZ150" i="2" s="1"/>
  <c r="L123" i="1" s="1"/>
  <c r="CA130" i="2"/>
  <c r="BD143" i="2"/>
  <c r="BE166" i="2" s="1"/>
  <c r="DA63" i="2"/>
  <c r="CZ67" i="2"/>
  <c r="BQ62" i="2"/>
  <c r="BP66" i="2"/>
  <c r="BB185" i="2" l="1"/>
  <c r="BB187" i="2" s="1"/>
  <c r="BN163" i="2"/>
  <c r="BO152" i="2"/>
  <c r="BO154" i="2" s="1"/>
  <c r="BO158" i="2" s="1"/>
  <c r="BD169" i="2"/>
  <c r="BD269" i="2"/>
  <c r="DH68" i="2"/>
  <c r="DH70" i="2" s="1"/>
  <c r="DH150" i="2" s="1"/>
  <c r="DI64" i="2"/>
  <c r="DI68" i="2" s="1"/>
  <c r="DI70" i="2" s="1"/>
  <c r="DI150" i="2" s="1"/>
  <c r="BP148" i="2"/>
  <c r="BP152" i="2" s="1"/>
  <c r="BP154" i="2" s="1"/>
  <c r="BP158" i="2" s="1"/>
  <c r="BP160" i="2" s="1"/>
  <c r="BP162" i="2" s="1"/>
  <c r="BE143" i="2"/>
  <c r="BF166" i="2" s="1"/>
  <c r="BE168" i="2"/>
  <c r="CA134" i="2"/>
  <c r="CB130" i="2"/>
  <c r="BQ100" i="2"/>
  <c r="BR96" i="2"/>
  <c r="BR62" i="2"/>
  <c r="BQ66" i="2"/>
  <c r="DB63" i="2"/>
  <c r="DA67" i="2"/>
  <c r="F123" i="1" l="1"/>
  <c r="G123" i="1"/>
  <c r="H123" i="1"/>
  <c r="I123" i="1"/>
  <c r="J123" i="1"/>
  <c r="K123" i="1"/>
  <c r="M123" i="1"/>
  <c r="N123" i="1"/>
  <c r="BO160" i="2"/>
  <c r="BO162" i="2" s="1"/>
  <c r="BE169" i="2"/>
  <c r="BE269" i="2"/>
  <c r="BP163" i="2"/>
  <c r="CB134" i="2"/>
  <c r="CC130" i="2"/>
  <c r="BQ148" i="2"/>
  <c r="BR100" i="2"/>
  <c r="BS96" i="2"/>
  <c r="BF143" i="2"/>
  <c r="BG166" i="2" s="1"/>
  <c r="BF168" i="2"/>
  <c r="DC63" i="2"/>
  <c r="DB67" i="2"/>
  <c r="BS62" i="2"/>
  <c r="BR66" i="2"/>
  <c r="BO163" i="2" l="1"/>
  <c r="BC185" i="2"/>
  <c r="BC187" i="2" s="1"/>
  <c r="BQ152" i="2"/>
  <c r="BQ154" i="2" s="1"/>
  <c r="BQ158" i="2" s="1"/>
  <c r="BD185" i="2"/>
  <c r="BD187" i="2" s="1"/>
  <c r="BF169" i="2"/>
  <c r="BF269" i="2"/>
  <c r="BR148" i="2"/>
  <c r="BR152" i="2" s="1"/>
  <c r="BR154" i="2" s="1"/>
  <c r="BR158" i="2" s="1"/>
  <c r="BR160" i="2" s="1"/>
  <c r="BR162" i="2" s="1"/>
  <c r="BS100" i="2"/>
  <c r="BT96" i="2"/>
  <c r="BG143" i="2"/>
  <c r="BH166" i="2" s="1"/>
  <c r="BG168" i="2"/>
  <c r="CC134" i="2"/>
  <c r="CD130" i="2"/>
  <c r="BT62" i="2"/>
  <c r="BS66" i="2"/>
  <c r="DD63" i="2"/>
  <c r="DC67" i="2"/>
  <c r="BQ160" i="2" l="1"/>
  <c r="BQ162" i="2" s="1"/>
  <c r="BF185" i="2" s="1"/>
  <c r="BF187" i="2" s="1"/>
  <c r="BG169" i="2"/>
  <c r="BG269" i="2"/>
  <c r="BS148" i="2"/>
  <c r="BS152" i="2" s="1"/>
  <c r="BS154" i="2" s="1"/>
  <c r="BS158" i="2" s="1"/>
  <c r="BS160" i="2" s="1"/>
  <c r="BS162" i="2" s="1"/>
  <c r="BR163" i="2"/>
  <c r="CD134" i="2"/>
  <c r="CE130" i="2"/>
  <c r="BH143" i="2"/>
  <c r="BI166" i="2" s="1"/>
  <c r="BH168" i="2"/>
  <c r="BT100" i="2"/>
  <c r="BU96" i="2"/>
  <c r="BU62" i="2"/>
  <c r="BT66" i="2"/>
  <c r="DE63" i="2"/>
  <c r="DD67" i="2"/>
  <c r="BG185" i="2" l="1"/>
  <c r="BG187" i="2" s="1"/>
  <c r="BQ163" i="2"/>
  <c r="BE185" i="2"/>
  <c r="BE187" i="2" s="1"/>
  <c r="BH169" i="2"/>
  <c r="BH269" i="2"/>
  <c r="BS163" i="2"/>
  <c r="BI143" i="2"/>
  <c r="BJ166" i="2" s="1"/>
  <c r="BI168" i="2"/>
  <c r="CE134" i="2"/>
  <c r="CF130" i="2"/>
  <c r="BT148" i="2"/>
  <c r="BT152" i="2" s="1"/>
  <c r="BT154" i="2" s="1"/>
  <c r="BT158" i="2" s="1"/>
  <c r="BT160" i="2" s="1"/>
  <c r="BT162" i="2" s="1"/>
  <c r="BU100" i="2"/>
  <c r="BV96" i="2"/>
  <c r="BV62" i="2"/>
  <c r="BU66" i="2"/>
  <c r="DF63" i="2"/>
  <c r="DE67" i="2"/>
  <c r="BI169" i="2" l="1"/>
  <c r="BI269" i="2"/>
  <c r="BH185" i="2"/>
  <c r="BH187" i="2" s="1"/>
  <c r="CF134" i="2"/>
  <c r="CG130" i="2"/>
  <c r="BV100" i="2"/>
  <c r="BW96" i="2"/>
  <c r="BU148" i="2"/>
  <c r="BU152" i="2" s="1"/>
  <c r="BU154" i="2" s="1"/>
  <c r="BU158" i="2" s="1"/>
  <c r="BU160" i="2" s="1"/>
  <c r="BU162" i="2" s="1"/>
  <c r="BT163" i="2"/>
  <c r="BJ143" i="2"/>
  <c r="BK166" i="2" s="1"/>
  <c r="BJ168" i="2"/>
  <c r="DG63" i="2"/>
  <c r="DF67" i="2"/>
  <c r="BW62" i="2"/>
  <c r="BV66" i="2"/>
  <c r="BJ169" i="2" l="1"/>
  <c r="BJ269" i="2"/>
  <c r="BV148" i="2"/>
  <c r="BV152" i="2" s="1"/>
  <c r="BV154" i="2" s="1"/>
  <c r="BV158" i="2" s="1"/>
  <c r="BV160" i="2" s="1"/>
  <c r="BV162" i="2" s="1"/>
  <c r="BJ185" i="2" s="1"/>
  <c r="BJ187" i="2" s="1"/>
  <c r="BI185" i="2"/>
  <c r="BI187" i="2" s="1"/>
  <c r="BU163" i="2"/>
  <c r="CG134" i="2"/>
  <c r="CH130" i="2"/>
  <c r="BW100" i="2"/>
  <c r="BX96" i="2"/>
  <c r="BK143" i="2"/>
  <c r="BL166" i="2" s="1"/>
  <c r="BK168" i="2"/>
  <c r="DH63" i="2"/>
  <c r="DG67" i="2"/>
  <c r="BX62" i="2"/>
  <c r="BW66" i="2"/>
  <c r="BK169" i="2" l="1"/>
  <c r="BK269" i="2"/>
  <c r="BV163" i="2"/>
  <c r="BW148" i="2"/>
  <c r="BW152" i="2" s="1"/>
  <c r="BW154" i="2" s="1"/>
  <c r="BW158" i="2" s="1"/>
  <c r="BW160" i="2" s="1"/>
  <c r="BW162" i="2" s="1"/>
  <c r="CH134" i="2"/>
  <c r="CI130" i="2"/>
  <c r="BL143" i="2"/>
  <c r="BM166" i="2" s="1"/>
  <c r="BL168" i="2"/>
  <c r="BX100" i="2"/>
  <c r="BY96" i="2"/>
  <c r="BY62" i="2"/>
  <c r="BX66" i="2"/>
  <c r="DI63" i="2"/>
  <c r="DI67" i="2" s="1"/>
  <c r="DH67" i="2"/>
  <c r="BL169" i="2" l="1"/>
  <c r="BL269" i="2"/>
  <c r="BW163" i="2"/>
  <c r="BK185" i="2"/>
  <c r="BK187" i="2" s="1"/>
  <c r="BM143" i="2"/>
  <c r="BN166" i="2" s="1"/>
  <c r="BM168" i="2"/>
  <c r="BX148" i="2"/>
  <c r="BX152" i="2" s="1"/>
  <c r="BX154" i="2" s="1"/>
  <c r="BX158" i="2" s="1"/>
  <c r="BX160" i="2" s="1"/>
  <c r="BX162" i="2" s="1"/>
  <c r="CI134" i="2"/>
  <c r="CJ130" i="2"/>
  <c r="BY100" i="2"/>
  <c r="BZ96" i="2"/>
  <c r="BZ62" i="2"/>
  <c r="BY66" i="2"/>
  <c r="BM169" i="2" l="1"/>
  <c r="BM269" i="2"/>
  <c r="BL185" i="2"/>
  <c r="BL187" i="2" s="1"/>
  <c r="BY148" i="2"/>
  <c r="BY152" i="2" s="1"/>
  <c r="BY154" i="2" s="1"/>
  <c r="BY158" i="2" s="1"/>
  <c r="BY160" i="2" s="1"/>
  <c r="BY162" i="2" s="1"/>
  <c r="CJ134" i="2"/>
  <c r="CK130" i="2"/>
  <c r="BX163" i="2"/>
  <c r="BZ100" i="2"/>
  <c r="CA96" i="2"/>
  <c r="BN143" i="2"/>
  <c r="BO166" i="2" s="1"/>
  <c r="BN168" i="2"/>
  <c r="CA62" i="2"/>
  <c r="BZ66" i="2"/>
  <c r="BN169" i="2" l="1"/>
  <c r="BN269" i="2"/>
  <c r="BM185" i="2"/>
  <c r="BM187" i="2" s="1"/>
  <c r="BO143" i="2"/>
  <c r="BP166" i="2" s="1"/>
  <c r="BO168" i="2"/>
  <c r="CA100" i="2"/>
  <c r="CB96" i="2"/>
  <c r="CK134" i="2"/>
  <c r="CL130" i="2"/>
  <c r="BZ148" i="2"/>
  <c r="BY163" i="2"/>
  <c r="CB62" i="2"/>
  <c r="CA66" i="2"/>
  <c r="BZ152" i="2" l="1"/>
  <c r="BZ154" i="2" s="1"/>
  <c r="BZ158" i="2" s="1"/>
  <c r="BO169" i="2"/>
  <c r="BO269" i="2"/>
  <c r="CA148" i="2"/>
  <c r="CA152" i="2" s="1"/>
  <c r="CA154" i="2" s="1"/>
  <c r="CA158" i="2" s="1"/>
  <c r="CA160" i="2" s="1"/>
  <c r="CA162" i="2" s="1"/>
  <c r="CL134" i="2"/>
  <c r="CM130" i="2"/>
  <c r="CB100" i="2"/>
  <c r="CC96" i="2"/>
  <c r="BP143" i="2"/>
  <c r="BQ166" i="2" s="1"/>
  <c r="BP168" i="2"/>
  <c r="CC62" i="2"/>
  <c r="CB66" i="2"/>
  <c r="BZ160" i="2" l="1"/>
  <c r="BZ162" i="2" s="1"/>
  <c r="BO185" i="2" s="1"/>
  <c r="BO187" i="2" s="1"/>
  <c r="BP169" i="2"/>
  <c r="BP269" i="2"/>
  <c r="CA163" i="2"/>
  <c r="CC100" i="2"/>
  <c r="CD96" i="2"/>
  <c r="CM134" i="2"/>
  <c r="CN130" i="2"/>
  <c r="CB148" i="2"/>
  <c r="BQ143" i="2"/>
  <c r="BR166" i="2" s="1"/>
  <c r="BQ168" i="2"/>
  <c r="CD62" i="2"/>
  <c r="CC66" i="2"/>
  <c r="CB152" i="2" l="1"/>
  <c r="CB154" i="2" s="1"/>
  <c r="CB158" i="2" s="1"/>
  <c r="BN185" i="2"/>
  <c r="BN187" i="2" s="1"/>
  <c r="BZ163" i="2"/>
  <c r="CC148" i="2"/>
  <c r="CC152" i="2" s="1"/>
  <c r="CC154" i="2" s="1"/>
  <c r="CC158" i="2" s="1"/>
  <c r="CC160" i="2" s="1"/>
  <c r="CC162" i="2" s="1"/>
  <c r="BQ169" i="2"/>
  <c r="BQ269" i="2"/>
  <c r="CN134" i="2"/>
  <c r="CO130" i="2"/>
  <c r="BR143" i="2"/>
  <c r="BS166" i="2" s="1"/>
  <c r="BR168" i="2"/>
  <c r="CD100" i="2"/>
  <c r="CE96" i="2"/>
  <c r="CE62" i="2"/>
  <c r="CD66" i="2"/>
  <c r="CB160" i="2" l="1"/>
  <c r="CB162" i="2" s="1"/>
  <c r="CC163" i="2"/>
  <c r="BR169" i="2"/>
  <c r="BR269" i="2"/>
  <c r="CE100" i="2"/>
  <c r="CF96" i="2"/>
  <c r="BS143" i="2"/>
  <c r="BT166" i="2" s="1"/>
  <c r="BS168" i="2"/>
  <c r="CD148" i="2"/>
  <c r="CO134" i="2"/>
  <c r="CP130" i="2"/>
  <c r="CF62" i="2"/>
  <c r="CE66" i="2"/>
  <c r="CD152" i="2" l="1"/>
  <c r="CD154" i="2" s="1"/>
  <c r="CD158" i="2" s="1"/>
  <c r="CB163" i="2"/>
  <c r="BP185" i="2"/>
  <c r="BP187" i="2" s="1"/>
  <c r="BQ185" i="2"/>
  <c r="BQ187" i="2" s="1"/>
  <c r="BS169" i="2"/>
  <c r="BS269" i="2"/>
  <c r="CE148" i="2"/>
  <c r="CE152" i="2" s="1"/>
  <c r="CE154" i="2" s="1"/>
  <c r="CE158" i="2" s="1"/>
  <c r="CE160" i="2" s="1"/>
  <c r="CE162" i="2" s="1"/>
  <c r="BT143" i="2"/>
  <c r="BU166" i="2" s="1"/>
  <c r="BT168" i="2"/>
  <c r="CP134" i="2"/>
  <c r="CQ130" i="2"/>
  <c r="CF100" i="2"/>
  <c r="CG96" i="2"/>
  <c r="CG62" i="2"/>
  <c r="CF66" i="2"/>
  <c r="CD160" i="2" l="1"/>
  <c r="CD162" i="2" s="1"/>
  <c r="BT169" i="2"/>
  <c r="BT269" i="2"/>
  <c r="CE163" i="2"/>
  <c r="CQ134" i="2"/>
  <c r="CR130" i="2"/>
  <c r="CG100" i="2"/>
  <c r="CH96" i="2"/>
  <c r="CF148" i="2"/>
  <c r="CF152" i="2" s="1"/>
  <c r="CF154" i="2" s="1"/>
  <c r="CF158" i="2" s="1"/>
  <c r="CF160" i="2" s="1"/>
  <c r="CF162" i="2" s="1"/>
  <c r="BU143" i="2"/>
  <c r="BV166" i="2" s="1"/>
  <c r="BU168" i="2"/>
  <c r="CH62" i="2"/>
  <c r="CG66" i="2"/>
  <c r="BR185" i="2" l="1"/>
  <c r="BR187" i="2" s="1"/>
  <c r="CD163" i="2"/>
  <c r="BS185" i="2"/>
  <c r="BS187" i="2" s="1"/>
  <c r="BU169" i="2"/>
  <c r="BU269" i="2"/>
  <c r="BT185" i="2"/>
  <c r="BT187" i="2" s="1"/>
  <c r="BV143" i="2"/>
  <c r="BW166" i="2" s="1"/>
  <c r="BV168" i="2"/>
  <c r="CF163" i="2"/>
  <c r="CR134" i="2"/>
  <c r="CS130" i="2"/>
  <c r="CH100" i="2"/>
  <c r="CI96" i="2"/>
  <c r="CG148" i="2"/>
  <c r="CG152" i="2" s="1"/>
  <c r="CG154" i="2" s="1"/>
  <c r="CG158" i="2" s="1"/>
  <c r="CG160" i="2" s="1"/>
  <c r="CG162" i="2" s="1"/>
  <c r="CI62" i="2"/>
  <c r="CH66" i="2"/>
  <c r="BV169" i="2" l="1"/>
  <c r="BV269" i="2"/>
  <c r="BU185" i="2"/>
  <c r="BU187" i="2" s="1"/>
  <c r="CS134" i="2"/>
  <c r="CT130" i="2"/>
  <c r="CH148" i="2"/>
  <c r="CH152" i="2" s="1"/>
  <c r="CH154" i="2" s="1"/>
  <c r="CH158" i="2" s="1"/>
  <c r="CH160" i="2" s="1"/>
  <c r="CH162" i="2" s="1"/>
  <c r="CI100" i="2"/>
  <c r="CJ96" i="2"/>
  <c r="CG163" i="2"/>
  <c r="BW143" i="2"/>
  <c r="BX166" i="2" s="1"/>
  <c r="BW168" i="2"/>
  <c r="CJ62" i="2"/>
  <c r="CI66" i="2"/>
  <c r="BW169" i="2" l="1"/>
  <c r="BW269" i="2"/>
  <c r="BV185" i="2"/>
  <c r="BV187" i="2" s="1"/>
  <c r="CI148" i="2"/>
  <c r="CI152" i="2" s="1"/>
  <c r="CI154" i="2" s="1"/>
  <c r="CI158" i="2" s="1"/>
  <c r="CI160" i="2" s="1"/>
  <c r="CI162" i="2" s="1"/>
  <c r="BX143" i="2"/>
  <c r="BY166" i="2" s="1"/>
  <c r="BX168" i="2"/>
  <c r="CJ100" i="2"/>
  <c r="CK96" i="2"/>
  <c r="CH163" i="2"/>
  <c r="CT134" i="2"/>
  <c r="CU130" i="2"/>
  <c r="CK62" i="2"/>
  <c r="CK66" i="2" s="1"/>
  <c r="CJ66" i="2"/>
  <c r="BX169" i="2" l="1"/>
  <c r="BX269" i="2"/>
  <c r="CI163" i="2"/>
  <c r="BW185" i="2"/>
  <c r="BW187" i="2" s="1"/>
  <c r="CJ148" i="2"/>
  <c r="CJ152" i="2" s="1"/>
  <c r="CJ154" i="2" s="1"/>
  <c r="CJ158" i="2" s="1"/>
  <c r="CJ160" i="2" s="1"/>
  <c r="CJ162" i="2" s="1"/>
  <c r="CK100" i="2"/>
  <c r="CK148" i="2" s="1"/>
  <c r="CK152" i="2" s="1"/>
  <c r="CK154" i="2" s="1"/>
  <c r="CK158" i="2" s="1"/>
  <c r="CK160" i="2" s="1"/>
  <c r="CK162" i="2" s="1"/>
  <c r="CL96" i="2"/>
  <c r="CU134" i="2"/>
  <c r="CV130" i="2"/>
  <c r="BY143" i="2"/>
  <c r="BZ166" i="2" s="1"/>
  <c r="BY168" i="2"/>
  <c r="BY169" i="2" l="1"/>
  <c r="BY269" i="2"/>
  <c r="CJ163" i="2"/>
  <c r="BX185" i="2"/>
  <c r="BX187" i="2" s="1"/>
  <c r="BY185" i="2"/>
  <c r="BY187" i="2" s="1"/>
  <c r="J31" i="1" s="1"/>
  <c r="J32" i="1" s="1"/>
  <c r="BZ143" i="2"/>
  <c r="BZ168" i="2"/>
  <c r="CK163" i="2"/>
  <c r="CV134" i="2"/>
  <c r="CW130" i="2"/>
  <c r="CL100" i="2"/>
  <c r="CL148" i="2" s="1"/>
  <c r="CM96" i="2"/>
  <c r="CL152" i="2" l="1"/>
  <c r="CL154" i="2" s="1"/>
  <c r="CL158" i="2" s="1"/>
  <c r="BZ169" i="2"/>
  <c r="CA166" i="2"/>
  <c r="BZ198" i="2"/>
  <c r="J48" i="1"/>
  <c r="BA191" i="2" s="1"/>
  <c r="J39" i="1"/>
  <c r="BA190" i="2" s="1"/>
  <c r="BA192" i="2" s="1"/>
  <c r="CM100" i="2"/>
  <c r="CM148" i="2" s="1"/>
  <c r="CM152" i="2" s="1"/>
  <c r="CM154" i="2" s="1"/>
  <c r="CM158" i="2" s="1"/>
  <c r="CM160" i="2" s="1"/>
  <c r="CM162" i="2" s="1"/>
  <c r="CN96" i="2"/>
  <c r="CW134" i="2"/>
  <c r="CX130" i="2"/>
  <c r="CA143" i="2"/>
  <c r="CB166" i="2" s="1"/>
  <c r="CA168" i="2" l="1"/>
  <c r="CA169" i="2" s="1"/>
  <c r="CL160" i="2"/>
  <c r="CL162" i="2" s="1"/>
  <c r="CA185" i="2" s="1"/>
  <c r="CA187" i="2" s="1"/>
  <c r="CA269" i="2"/>
  <c r="BA193" i="2"/>
  <c r="BA216" i="2" s="1"/>
  <c r="BA214" i="2"/>
  <c r="BA180" i="2"/>
  <c r="DH173" i="2"/>
  <c r="CV173" i="2"/>
  <c r="CJ173" i="2"/>
  <c r="BX173" i="2"/>
  <c r="BL173" i="2"/>
  <c r="DF171" i="2"/>
  <c r="CT171" i="2"/>
  <c r="CH171" i="2"/>
  <c r="BV171" i="2"/>
  <c r="BJ171" i="2"/>
  <c r="DG173" i="2"/>
  <c r="CU173" i="2"/>
  <c r="CI173" i="2"/>
  <c r="BW173" i="2"/>
  <c r="BK173" i="2"/>
  <c r="DE171" i="2"/>
  <c r="CS171" i="2"/>
  <c r="CG171" i="2"/>
  <c r="BU171" i="2"/>
  <c r="BI171" i="2"/>
  <c r="DF173" i="2"/>
  <c r="CT173" i="2"/>
  <c r="CH173" i="2"/>
  <c r="BV173" i="2"/>
  <c r="BJ173" i="2"/>
  <c r="DD171" i="2"/>
  <c r="CR171" i="2"/>
  <c r="CF171" i="2"/>
  <c r="BT171" i="2"/>
  <c r="BH171" i="2"/>
  <c r="DE173" i="2"/>
  <c r="CS173" i="2"/>
  <c r="CG173" i="2"/>
  <c r="BU173" i="2"/>
  <c r="BI173" i="2"/>
  <c r="DC171" i="2"/>
  <c r="CQ171" i="2"/>
  <c r="CE171" i="2"/>
  <c r="BS171" i="2"/>
  <c r="BG171" i="2"/>
  <c r="DD173" i="2"/>
  <c r="CR173" i="2"/>
  <c r="CF173" i="2"/>
  <c r="BT173" i="2"/>
  <c r="BH173" i="2"/>
  <c r="DB171" i="2"/>
  <c r="CP171" i="2"/>
  <c r="CD171" i="2"/>
  <c r="BR171" i="2"/>
  <c r="BF171" i="2"/>
  <c r="DC173" i="2"/>
  <c r="CQ173" i="2"/>
  <c r="CE173" i="2"/>
  <c r="BS173" i="2"/>
  <c r="BG173" i="2"/>
  <c r="DA171" i="2"/>
  <c r="CO171" i="2"/>
  <c r="CC171" i="2"/>
  <c r="BQ171" i="2"/>
  <c r="BE171" i="2"/>
  <c r="DB173" i="2"/>
  <c r="CP173" i="2"/>
  <c r="CD173" i="2"/>
  <c r="BR173" i="2"/>
  <c r="BF173" i="2"/>
  <c r="CZ171" i="2"/>
  <c r="CN171" i="2"/>
  <c r="CB171" i="2"/>
  <c r="BP171" i="2"/>
  <c r="BD171" i="2"/>
  <c r="DA173" i="2"/>
  <c r="CO173" i="2"/>
  <c r="CC173" i="2"/>
  <c r="BQ173" i="2"/>
  <c r="BE173" i="2"/>
  <c r="CY171" i="2"/>
  <c r="CM171" i="2"/>
  <c r="CA171" i="2"/>
  <c r="BO171" i="2"/>
  <c r="BC171" i="2"/>
  <c r="CZ173" i="2"/>
  <c r="CN173" i="2"/>
  <c r="CB173" i="2"/>
  <c r="BP173" i="2"/>
  <c r="BD173" i="2"/>
  <c r="CX171" i="2"/>
  <c r="CL171" i="2"/>
  <c r="BZ171" i="2"/>
  <c r="BN171" i="2"/>
  <c r="BB171" i="2"/>
  <c r="CY173" i="2"/>
  <c r="CM173" i="2"/>
  <c r="CA173" i="2"/>
  <c r="BO173" i="2"/>
  <c r="BC173" i="2"/>
  <c r="DI171" i="2"/>
  <c r="CW171" i="2"/>
  <c r="CK171" i="2"/>
  <c r="BY171" i="2"/>
  <c r="BM171" i="2"/>
  <c r="CX173" i="2"/>
  <c r="CL173" i="2"/>
  <c r="BZ173" i="2"/>
  <c r="BN173" i="2"/>
  <c r="BB173" i="2"/>
  <c r="DH171" i="2"/>
  <c r="CV171" i="2"/>
  <c r="CJ171" i="2"/>
  <c r="BX171" i="2"/>
  <c r="BL171" i="2"/>
  <c r="DI173" i="2"/>
  <c r="CW173" i="2"/>
  <c r="CK173" i="2"/>
  <c r="BY173" i="2"/>
  <c r="BM173" i="2"/>
  <c r="DG171" i="2"/>
  <c r="CU171" i="2"/>
  <c r="CI171" i="2"/>
  <c r="BW171" i="2"/>
  <c r="BK171" i="2"/>
  <c r="CX134" i="2"/>
  <c r="CX148" i="2" s="1"/>
  <c r="CY130" i="2"/>
  <c r="CB143" i="2"/>
  <c r="CC166" i="2" s="1"/>
  <c r="CB168" i="2"/>
  <c r="CM163" i="2"/>
  <c r="CN100" i="2"/>
  <c r="CN148" i="2" s="1"/>
  <c r="CN152" i="2" s="1"/>
  <c r="CN154" i="2" s="1"/>
  <c r="CN158" i="2" s="1"/>
  <c r="CN160" i="2" s="1"/>
  <c r="CN162" i="2" s="1"/>
  <c r="CO96" i="2"/>
  <c r="N146" i="1" l="1"/>
  <c r="M146" i="1"/>
  <c r="K144" i="1"/>
  <c r="F144" i="1"/>
  <c r="G144" i="1"/>
  <c r="H144" i="1"/>
  <c r="I144" i="1"/>
  <c r="J146" i="1"/>
  <c r="K146" i="1"/>
  <c r="L146" i="1"/>
  <c r="J144" i="1"/>
  <c r="L144" i="1"/>
  <c r="BZ185" i="2"/>
  <c r="BZ187" i="2" s="1"/>
  <c r="BZ196" i="2" s="1"/>
  <c r="CL163" i="2"/>
  <c r="F146" i="1"/>
  <c r="G146" i="1"/>
  <c r="H146" i="1"/>
  <c r="I146" i="1"/>
  <c r="M144" i="1"/>
  <c r="N144" i="1"/>
  <c r="CX152" i="2"/>
  <c r="CX154" i="2" s="1"/>
  <c r="CX158" i="2" s="1"/>
  <c r="CB169" i="2"/>
  <c r="CB269" i="2"/>
  <c r="BA220" i="2"/>
  <c r="I168" i="1" s="1"/>
  <c r="BB172" i="2"/>
  <c r="BB177" i="2"/>
  <c r="CB185" i="2"/>
  <c r="CB187" i="2" s="1"/>
  <c r="BA179" i="2"/>
  <c r="CO100" i="2"/>
  <c r="CO148" i="2" s="1"/>
  <c r="CO152" i="2" s="1"/>
  <c r="CO154" i="2" s="1"/>
  <c r="CO158" i="2" s="1"/>
  <c r="CO160" i="2" s="1"/>
  <c r="CO162" i="2" s="1"/>
  <c r="CP96" i="2"/>
  <c r="CN163" i="2"/>
  <c r="CC143" i="2"/>
  <c r="CD166" i="2" s="1"/>
  <c r="CC168" i="2"/>
  <c r="CY134" i="2"/>
  <c r="CY148" i="2" s="1"/>
  <c r="CY152" i="2" s="1"/>
  <c r="CY154" i="2" s="1"/>
  <c r="CY158" i="2" s="1"/>
  <c r="CY160" i="2" s="1"/>
  <c r="CY162" i="2" s="1"/>
  <c r="CZ130" i="2"/>
  <c r="BZ197" i="2" l="1"/>
  <c r="BZ269" i="2" s="1"/>
  <c r="CX160" i="2"/>
  <c r="CX162" i="2" s="1"/>
  <c r="CX163" i="2" s="1"/>
  <c r="BB180" i="2"/>
  <c r="I153" i="1" s="1"/>
  <c r="CC169" i="2"/>
  <c r="CC269" i="2"/>
  <c r="BB175" i="2"/>
  <c r="BB195" i="2" s="1"/>
  <c r="BB215" i="2"/>
  <c r="BB220" i="2" s="1"/>
  <c r="CC185" i="2"/>
  <c r="CC187" i="2" s="1"/>
  <c r="BB179" i="2"/>
  <c r="I152" i="1" s="1"/>
  <c r="BA181" i="2"/>
  <c r="BC177" i="2"/>
  <c r="BC180" i="2" s="1"/>
  <c r="CD143" i="2"/>
  <c r="CE166" i="2" s="1"/>
  <c r="CD168" i="2"/>
  <c r="CZ134" i="2"/>
  <c r="CZ148" i="2" s="1"/>
  <c r="DA130" i="2"/>
  <c r="CY163" i="2"/>
  <c r="CP100" i="2"/>
  <c r="CP148" i="2" s="1"/>
  <c r="CQ96" i="2"/>
  <c r="CO163" i="2"/>
  <c r="CP152" i="2" l="1"/>
  <c r="CP154" i="2" s="1"/>
  <c r="CP158" i="2" s="1"/>
  <c r="CZ152" i="2"/>
  <c r="CZ154" i="2" s="1"/>
  <c r="CZ158" i="2" s="1"/>
  <c r="BC172" i="2"/>
  <c r="I154" i="1"/>
  <c r="CD169" i="2"/>
  <c r="CD269" i="2"/>
  <c r="BC175" i="2"/>
  <c r="BC195" i="2" s="1"/>
  <c r="BC215" i="2"/>
  <c r="BC220" i="2" s="1"/>
  <c r="BD172" i="2"/>
  <c r="BD177" i="2"/>
  <c r="BB181" i="2"/>
  <c r="BC179" i="2"/>
  <c r="DA134" i="2"/>
  <c r="DA148" i="2" s="1"/>
  <c r="DA152" i="2" s="1"/>
  <c r="DA154" i="2" s="1"/>
  <c r="DA158" i="2" s="1"/>
  <c r="DA160" i="2" s="1"/>
  <c r="DA162" i="2" s="1"/>
  <c r="DB130" i="2"/>
  <c r="CQ100" i="2"/>
  <c r="CQ148" i="2" s="1"/>
  <c r="CQ152" i="2" s="1"/>
  <c r="CQ154" i="2" s="1"/>
  <c r="CQ158" i="2" s="1"/>
  <c r="CQ160" i="2" s="1"/>
  <c r="CQ162" i="2" s="1"/>
  <c r="CR96" i="2"/>
  <c r="CE143" i="2"/>
  <c r="CF166" i="2" s="1"/>
  <c r="CE168" i="2"/>
  <c r="CZ160" i="2" l="1"/>
  <c r="CZ162" i="2" s="1"/>
  <c r="CZ163" i="2" s="1"/>
  <c r="BD180" i="2"/>
  <c r="BE177" i="2" s="1"/>
  <c r="CP160" i="2"/>
  <c r="CP162" i="2" s="1"/>
  <c r="CE169" i="2"/>
  <c r="CE269" i="2"/>
  <c r="BD175" i="2"/>
  <c r="BD195" i="2" s="1"/>
  <c r="BD215" i="2"/>
  <c r="BD220" i="2" s="1"/>
  <c r="BE172" i="2"/>
  <c r="BD179" i="2"/>
  <c r="BC181" i="2"/>
  <c r="CR100" i="2"/>
  <c r="CR148" i="2" s="1"/>
  <c r="CR152" i="2" s="1"/>
  <c r="CR154" i="2" s="1"/>
  <c r="CR158" i="2" s="1"/>
  <c r="CR160" i="2" s="1"/>
  <c r="CR162" i="2" s="1"/>
  <c r="CS96" i="2"/>
  <c r="CQ163" i="2"/>
  <c r="DA163" i="2"/>
  <c r="DB134" i="2"/>
  <c r="DB148" i="2" s="1"/>
  <c r="DC130" i="2"/>
  <c r="CF143" i="2"/>
  <c r="CG166" i="2" s="1"/>
  <c r="CF168" i="2"/>
  <c r="BE180" i="2" l="1"/>
  <c r="DB152" i="2"/>
  <c r="DB154" i="2" s="1"/>
  <c r="DB158" i="2" s="1"/>
  <c r="CP163" i="2"/>
  <c r="CD185" i="2"/>
  <c r="CD187" i="2" s="1"/>
  <c r="CE185" i="2"/>
  <c r="CE187" i="2" s="1"/>
  <c r="CF169" i="2"/>
  <c r="CF269" i="2"/>
  <c r="BE175" i="2"/>
  <c r="BE195" i="2" s="1"/>
  <c r="BE215" i="2"/>
  <c r="BE220" i="2" s="1"/>
  <c r="BF172" i="2"/>
  <c r="BF177" i="2"/>
  <c r="BF180" i="2" s="1"/>
  <c r="BE179" i="2"/>
  <c r="BD181" i="2"/>
  <c r="CF185" i="2"/>
  <c r="CF187" i="2" s="1"/>
  <c r="DC134" i="2"/>
  <c r="DC148" i="2" s="1"/>
  <c r="DC152" i="2" s="1"/>
  <c r="DC154" i="2" s="1"/>
  <c r="DC158" i="2" s="1"/>
  <c r="DC160" i="2" s="1"/>
  <c r="DC162" i="2" s="1"/>
  <c r="DD130" i="2"/>
  <c r="CS100" i="2"/>
  <c r="CS148" i="2" s="1"/>
  <c r="CS152" i="2" s="1"/>
  <c r="CS154" i="2" s="1"/>
  <c r="CS158" i="2" s="1"/>
  <c r="CT96" i="2"/>
  <c r="CG143" i="2"/>
  <c r="CH166" i="2" s="1"/>
  <c r="CG168" i="2"/>
  <c r="CR163" i="2"/>
  <c r="DB160" i="2" l="1"/>
  <c r="DB162" i="2" s="1"/>
  <c r="DB163" i="2" s="1"/>
  <c r="CS160" i="2"/>
  <c r="CS162" i="2" s="1"/>
  <c r="CG185" i="2" s="1"/>
  <c r="CG187" i="2" s="1"/>
  <c r="CG169" i="2"/>
  <c r="CG269" i="2"/>
  <c r="BF175" i="2"/>
  <c r="BF195" i="2" s="1"/>
  <c r="BF215" i="2"/>
  <c r="BF220" i="2" s="1"/>
  <c r="BG172" i="2"/>
  <c r="BG177" i="2"/>
  <c r="BE181" i="2"/>
  <c r="BF179" i="2"/>
  <c r="CH143" i="2"/>
  <c r="CH168" i="2"/>
  <c r="CT100" i="2"/>
  <c r="CT148" i="2" s="1"/>
  <c r="CT152" i="2" s="1"/>
  <c r="CT154" i="2" s="1"/>
  <c r="CT158" i="2" s="1"/>
  <c r="CT160" i="2" s="1"/>
  <c r="CT162" i="2" s="1"/>
  <c r="CU96" i="2"/>
  <c r="DD134" i="2"/>
  <c r="DD148" i="2" s="1"/>
  <c r="DE130" i="2"/>
  <c r="DC163" i="2"/>
  <c r="CS163" i="2" l="1"/>
  <c r="DD152" i="2"/>
  <c r="DD154" i="2" s="1"/>
  <c r="DD158" i="2" s="1"/>
  <c r="BG180" i="2"/>
  <c r="CH169" i="2"/>
  <c r="CI166" i="2"/>
  <c r="CH198" i="2"/>
  <c r="BG175" i="2"/>
  <c r="BG195" i="2" s="1"/>
  <c r="BG215" i="2"/>
  <c r="BG220" i="2" s="1"/>
  <c r="BH177" i="2"/>
  <c r="BH180" i="2" s="1"/>
  <c r="BH172" i="2"/>
  <c r="CH185" i="2"/>
  <c r="CH187" i="2" s="1"/>
  <c r="CH196" i="2" s="1"/>
  <c r="CH197" i="2" s="1"/>
  <c r="BG179" i="2"/>
  <c r="BF181" i="2"/>
  <c r="DE134" i="2"/>
  <c r="DE148" i="2" s="1"/>
  <c r="DE152" i="2" s="1"/>
  <c r="DE154" i="2" s="1"/>
  <c r="DE158" i="2" s="1"/>
  <c r="DE160" i="2" s="1"/>
  <c r="DE162" i="2" s="1"/>
  <c r="DF130" i="2"/>
  <c r="CT163" i="2"/>
  <c r="CU100" i="2"/>
  <c r="CU148" i="2" s="1"/>
  <c r="CU152" i="2" s="1"/>
  <c r="CU154" i="2" s="1"/>
  <c r="CU158" i="2" s="1"/>
  <c r="CU160" i="2" s="1"/>
  <c r="CU162" i="2" s="1"/>
  <c r="CV96" i="2"/>
  <c r="CI143" i="2"/>
  <c r="CJ166" i="2" s="1"/>
  <c r="CI168" i="2"/>
  <c r="CI169" i="2" s="1"/>
  <c r="DD160" i="2" l="1"/>
  <c r="DD162" i="2" s="1"/>
  <c r="DD163" i="2" s="1"/>
  <c r="CH269" i="2"/>
  <c r="BH175" i="2"/>
  <c r="BH195" i="2" s="1"/>
  <c r="BH215" i="2"/>
  <c r="BH220" i="2" s="1"/>
  <c r="BI172" i="2"/>
  <c r="BI177" i="2"/>
  <c r="BI180" i="2" s="1"/>
  <c r="BG181" i="2"/>
  <c r="BH179" i="2"/>
  <c r="CI185" i="2"/>
  <c r="CI187" i="2" s="1"/>
  <c r="CV100" i="2"/>
  <c r="CV148" i="2" s="1"/>
  <c r="CV152" i="2" s="1"/>
  <c r="CV154" i="2" s="1"/>
  <c r="CV158" i="2" s="1"/>
  <c r="CV160" i="2" s="1"/>
  <c r="CV162" i="2" s="1"/>
  <c r="CW96" i="2"/>
  <c r="CW100" i="2" s="1"/>
  <c r="CW148" i="2" s="1"/>
  <c r="CW152" i="2" s="1"/>
  <c r="CW154" i="2" s="1"/>
  <c r="CW158" i="2" s="1"/>
  <c r="CW160" i="2" s="1"/>
  <c r="CW162" i="2" s="1"/>
  <c r="CU163" i="2"/>
  <c r="DF134" i="2"/>
  <c r="DF148" i="2" s="1"/>
  <c r="DG130" i="2"/>
  <c r="CJ143" i="2"/>
  <c r="CK166" i="2" s="1"/>
  <c r="CJ168" i="2"/>
  <c r="CJ169" i="2" s="1"/>
  <c r="DE163" i="2"/>
  <c r="F174" i="1" l="1"/>
  <c r="G174" i="1"/>
  <c r="H174" i="1"/>
  <c r="I174" i="1"/>
  <c r="J174" i="1"/>
  <c r="K174" i="1"/>
  <c r="L174" i="1"/>
  <c r="DF152" i="2"/>
  <c r="DF154" i="2" s="1"/>
  <c r="DF158" i="2" s="1"/>
  <c r="E271" i="2"/>
  <c r="E176" i="1" s="1"/>
  <c r="E272" i="2"/>
  <c r="E177" i="1" s="1"/>
  <c r="E270" i="2"/>
  <c r="E175" i="1" s="1"/>
  <c r="BI175" i="2"/>
  <c r="BI195" i="2" s="1"/>
  <c r="BI215" i="2"/>
  <c r="BI220" i="2" s="1"/>
  <c r="BJ177" i="2"/>
  <c r="BJ180" i="2" s="1"/>
  <c r="BJ172" i="2"/>
  <c r="CK185" i="2"/>
  <c r="CK187" i="2" s="1"/>
  <c r="CK196" i="2" s="1"/>
  <c r="CK197" i="2" s="1"/>
  <c r="CM185" i="2"/>
  <c r="CM187" i="2" s="1"/>
  <c r="CL185" i="2"/>
  <c r="CL187" i="2" s="1"/>
  <c r="CO185" i="2"/>
  <c r="CO187" i="2" s="1"/>
  <c r="CJ185" i="2"/>
  <c r="CJ187" i="2" s="1"/>
  <c r="CN185" i="2"/>
  <c r="CN187" i="2" s="1"/>
  <c r="CR185" i="2"/>
  <c r="CR187" i="2" s="1"/>
  <c r="CP185" i="2"/>
  <c r="CP187" i="2" s="1"/>
  <c r="BI179" i="2"/>
  <c r="BH181" i="2"/>
  <c r="CQ185" i="2"/>
  <c r="CQ187" i="2" s="1"/>
  <c r="CS185" i="2"/>
  <c r="CS187" i="2" s="1"/>
  <c r="CK143" i="2"/>
  <c r="CK168" i="2"/>
  <c r="CK169" i="2" s="1"/>
  <c r="DG134" i="2"/>
  <c r="DG148" i="2" s="1"/>
  <c r="DG152" i="2" s="1"/>
  <c r="DG154" i="2" s="1"/>
  <c r="DG158" i="2" s="1"/>
  <c r="DG160" i="2" s="1"/>
  <c r="DG162" i="2" s="1"/>
  <c r="DH130" i="2"/>
  <c r="CW163" i="2"/>
  <c r="CV163" i="2"/>
  <c r="DF160" i="2" l="1"/>
  <c r="DF162" i="2" s="1"/>
  <c r="CU185" i="2" s="1"/>
  <c r="CU187" i="2" s="1"/>
  <c r="E273" i="2"/>
  <c r="E178" i="1" s="1"/>
  <c r="CL166" i="2"/>
  <c r="CK198" i="2"/>
  <c r="BJ175" i="2"/>
  <c r="BJ195" i="2" s="1"/>
  <c r="BJ215" i="2"/>
  <c r="BJ220" i="2" s="1"/>
  <c r="BJ179" i="2"/>
  <c r="BI181" i="2"/>
  <c r="BK172" i="2"/>
  <c r="BK177" i="2"/>
  <c r="BK180" i="2" s="1"/>
  <c r="DH134" i="2"/>
  <c r="DH148" i="2" s="1"/>
  <c r="DH152" i="2" s="1"/>
  <c r="DH154" i="2" s="1"/>
  <c r="DH158" i="2" s="1"/>
  <c r="DH160" i="2" s="1"/>
  <c r="DH162" i="2" s="1"/>
  <c r="CV185" i="2" s="1"/>
  <c r="CV187" i="2" s="1"/>
  <c r="DI130" i="2"/>
  <c r="DI134" i="2" s="1"/>
  <c r="DI148" i="2" s="1"/>
  <c r="DG163" i="2"/>
  <c r="CL168" i="2" l="1"/>
  <c r="CL169" i="2" s="1"/>
  <c r="DI152" i="2"/>
  <c r="DI154" i="2" s="1"/>
  <c r="DI158" i="2" s="1"/>
  <c r="F121" i="1"/>
  <c r="F125" i="1" s="1"/>
  <c r="F127" i="1" s="1"/>
  <c r="G121" i="1"/>
  <c r="G125" i="1" s="1"/>
  <c r="G127" i="1" s="1"/>
  <c r="H121" i="1"/>
  <c r="H125" i="1" s="1"/>
  <c r="H127" i="1" s="1"/>
  <c r="I121" i="1"/>
  <c r="I125" i="1" s="1"/>
  <c r="I127" i="1" s="1"/>
  <c r="J121" i="1"/>
  <c r="J125" i="1" s="1"/>
  <c r="J127" i="1" s="1"/>
  <c r="K121" i="1"/>
  <c r="K125" i="1" s="1"/>
  <c r="K127" i="1" s="1"/>
  <c r="L121" i="1"/>
  <c r="L125" i="1" s="1"/>
  <c r="L127" i="1" s="1"/>
  <c r="M121" i="1"/>
  <c r="M125" i="1" s="1"/>
  <c r="M127" i="1" s="1"/>
  <c r="N121" i="1"/>
  <c r="N125" i="1" s="1"/>
  <c r="N127" i="1" s="1"/>
  <c r="DF163" i="2"/>
  <c r="CT185" i="2"/>
  <c r="CT187" i="2" s="1"/>
  <c r="CL143" i="2"/>
  <c r="CM166" i="2" s="1"/>
  <c r="CM143" i="2" s="1"/>
  <c r="CN166" i="2" s="1"/>
  <c r="BK175" i="2"/>
  <c r="BK195" i="2" s="1"/>
  <c r="BK215" i="2"/>
  <c r="BK220" i="2" s="1"/>
  <c r="BL172" i="2"/>
  <c r="BL177" i="2"/>
  <c r="BL180" i="2" s="1"/>
  <c r="BK179" i="2"/>
  <c r="BJ181" i="2"/>
  <c r="DH163" i="2"/>
  <c r="DI160" i="2" l="1"/>
  <c r="DI162" i="2" s="1"/>
  <c r="F131" i="1"/>
  <c r="F133" i="1" s="1"/>
  <c r="F135" i="1" s="1"/>
  <c r="G131" i="1"/>
  <c r="G133" i="1" s="1"/>
  <c r="G135" i="1" s="1"/>
  <c r="H131" i="1"/>
  <c r="H133" i="1" s="1"/>
  <c r="H135" i="1" s="1"/>
  <c r="I131" i="1"/>
  <c r="I133" i="1" s="1"/>
  <c r="I135" i="1" s="1"/>
  <c r="J131" i="1"/>
  <c r="J133" i="1" s="1"/>
  <c r="J135" i="1" s="1"/>
  <c r="K131" i="1"/>
  <c r="K133" i="1" s="1"/>
  <c r="K135" i="1" s="1"/>
  <c r="L131" i="1"/>
  <c r="L133" i="1" s="1"/>
  <c r="L135" i="1" s="1"/>
  <c r="M131" i="1"/>
  <c r="M133" i="1" s="1"/>
  <c r="M135" i="1" s="1"/>
  <c r="N131" i="1"/>
  <c r="N133" i="1" s="1"/>
  <c r="N135" i="1" s="1"/>
  <c r="CM168" i="2"/>
  <c r="CM169" i="2" s="1"/>
  <c r="BL175" i="2"/>
  <c r="BL195" i="2" s="1"/>
  <c r="BL215" i="2"/>
  <c r="BL220" i="2" s="1"/>
  <c r="BM172" i="2"/>
  <c r="BM177" i="2"/>
  <c r="BM180" i="2" s="1"/>
  <c r="BK181" i="2"/>
  <c r="BL179" i="2"/>
  <c r="CN143" i="2"/>
  <c r="CO166" i="2" s="1"/>
  <c r="CN168" i="2"/>
  <c r="CN169" i="2" s="1"/>
  <c r="N157" i="1" l="1"/>
  <c r="N136" i="1"/>
  <c r="J157" i="1"/>
  <c r="J136" i="1"/>
  <c r="M157" i="1"/>
  <c r="M136" i="1"/>
  <c r="L157" i="1"/>
  <c r="L136" i="1"/>
  <c r="K157" i="1"/>
  <c r="K136" i="1"/>
  <c r="I136" i="1"/>
  <c r="G136" i="1"/>
  <c r="F136" i="1"/>
  <c r="H136" i="1"/>
  <c r="CW185" i="2"/>
  <c r="CW187" i="2" s="1"/>
  <c r="DI163" i="2"/>
  <c r="BM175" i="2"/>
  <c r="BM195" i="2" s="1"/>
  <c r="BM215" i="2"/>
  <c r="BM220" i="2" s="1"/>
  <c r="BN177" i="2"/>
  <c r="BN172" i="2"/>
  <c r="BL181" i="2"/>
  <c r="BM179" i="2"/>
  <c r="CO143" i="2"/>
  <c r="CP166" i="2" s="1"/>
  <c r="CO168" i="2"/>
  <c r="CO169" i="2" s="1"/>
  <c r="BN180" i="2" l="1"/>
  <c r="J153" i="1" s="1"/>
  <c r="BN175" i="2"/>
  <c r="BN195" i="2" s="1"/>
  <c r="BN215" i="2"/>
  <c r="BN220" i="2" s="1"/>
  <c r="BM181" i="2"/>
  <c r="BN179" i="2"/>
  <c r="J152" i="1" s="1"/>
  <c r="CP143" i="2"/>
  <c r="CQ166" i="2" s="1"/>
  <c r="CP168" i="2"/>
  <c r="CP169" i="2" s="1"/>
  <c r="BO172" i="2" l="1"/>
  <c r="BO215" i="2" s="1"/>
  <c r="BO220" i="2" s="1"/>
  <c r="BO177" i="2"/>
  <c r="BO180" i="2" s="1"/>
  <c r="BP172" i="2" s="1"/>
  <c r="J154" i="1"/>
  <c r="BO179" i="2"/>
  <c r="BN181" i="2"/>
  <c r="CQ143" i="2"/>
  <c r="CR166" i="2" s="1"/>
  <c r="CQ168" i="2"/>
  <c r="CQ169" i="2" s="1"/>
  <c r="BP177" i="2" l="1"/>
  <c r="BP180" i="2" s="1"/>
  <c r="BO175" i="2"/>
  <c r="BO195" i="2" s="1"/>
  <c r="BP175" i="2"/>
  <c r="BP195" i="2" s="1"/>
  <c r="BP215" i="2"/>
  <c r="BP220" i="2" s="1"/>
  <c r="BP179" i="2"/>
  <c r="BO181" i="2"/>
  <c r="BQ172" i="2"/>
  <c r="BQ177" i="2"/>
  <c r="BQ180" i="2" s="1"/>
  <c r="CR143" i="2"/>
  <c r="CS166" i="2" s="1"/>
  <c r="CR168" i="2"/>
  <c r="CR169" i="2" s="1"/>
  <c r="BQ175" i="2" l="1"/>
  <c r="BQ195" i="2" s="1"/>
  <c r="BQ215" i="2"/>
  <c r="BQ220" i="2" s="1"/>
  <c r="BR172" i="2"/>
  <c r="BR177" i="2"/>
  <c r="BR180" i="2" s="1"/>
  <c r="BQ179" i="2"/>
  <c r="BP181" i="2"/>
  <c r="CS143" i="2"/>
  <c r="CT166" i="2" s="1"/>
  <c r="CS168" i="2"/>
  <c r="CS169" i="2" s="1"/>
  <c r="BR175" i="2" l="1"/>
  <c r="BR195" i="2" s="1"/>
  <c r="BR215" i="2"/>
  <c r="BR220" i="2" s="1"/>
  <c r="BR179" i="2"/>
  <c r="BQ181" i="2"/>
  <c r="BS172" i="2"/>
  <c r="BS177" i="2"/>
  <c r="CT143" i="2"/>
  <c r="CU166" i="2" s="1"/>
  <c r="CT168" i="2"/>
  <c r="CT169" i="2" s="1"/>
  <c r="BS180" i="2" l="1"/>
  <c r="BS175" i="2"/>
  <c r="BS195" i="2" s="1"/>
  <c r="BS215" i="2"/>
  <c r="BS220" i="2" s="1"/>
  <c r="BT177" i="2"/>
  <c r="BT180" i="2" s="1"/>
  <c r="BT172" i="2"/>
  <c r="BS179" i="2"/>
  <c r="BR181" i="2"/>
  <c r="CU143" i="2"/>
  <c r="CV166" i="2" s="1"/>
  <c r="CU168" i="2"/>
  <c r="CU169" i="2" s="1"/>
  <c r="BT175" i="2" l="1"/>
  <c r="BT195" i="2" s="1"/>
  <c r="BT215" i="2"/>
  <c r="BT220" i="2" s="1"/>
  <c r="BU177" i="2"/>
  <c r="BU180" i="2" s="1"/>
  <c r="BU172" i="2"/>
  <c r="BT179" i="2"/>
  <c r="BS181" i="2"/>
  <c r="CV143" i="2"/>
  <c r="CW166" i="2" s="1"/>
  <c r="CV168" i="2"/>
  <c r="CV169" i="2" s="1"/>
  <c r="BU175" i="2" l="1"/>
  <c r="BU195" i="2" s="1"/>
  <c r="BU215" i="2"/>
  <c r="BU220" i="2" s="1"/>
  <c r="BU179" i="2"/>
  <c r="BT181" i="2"/>
  <c r="BV177" i="2"/>
  <c r="BV180" i="2" s="1"/>
  <c r="BV172" i="2"/>
  <c r="CW143" i="2"/>
  <c r="CX166" i="2" s="1"/>
  <c r="CW168" i="2"/>
  <c r="CW169" i="2" s="1"/>
  <c r="BV175" i="2" l="1"/>
  <c r="BV195" i="2" s="1"/>
  <c r="BV215" i="2"/>
  <c r="BV220" i="2" s="1"/>
  <c r="BW172" i="2"/>
  <c r="BW177" i="2"/>
  <c r="BW180" i="2" s="1"/>
  <c r="BV179" i="2"/>
  <c r="BU181" i="2"/>
  <c r="CX143" i="2"/>
  <c r="CY166" i="2" s="1"/>
  <c r="CX168" i="2"/>
  <c r="CX169" i="2" s="1"/>
  <c r="BW175" i="2" l="1"/>
  <c r="BW195" i="2" s="1"/>
  <c r="BW215" i="2"/>
  <c r="BW220" i="2" s="1"/>
  <c r="BW179" i="2"/>
  <c r="BV181" i="2"/>
  <c r="BX172" i="2"/>
  <c r="BX177" i="2"/>
  <c r="BX180" i="2" s="1"/>
  <c r="CY143" i="2"/>
  <c r="CZ166" i="2" s="1"/>
  <c r="CY168" i="2"/>
  <c r="CY169" i="2" s="1"/>
  <c r="BX175" i="2" l="1"/>
  <c r="BX195" i="2" s="1"/>
  <c r="BX215" i="2"/>
  <c r="BX220" i="2" s="1"/>
  <c r="BY172" i="2"/>
  <c r="BY177" i="2"/>
  <c r="BY180" i="2" s="1"/>
  <c r="BW181" i="2"/>
  <c r="BX179" i="2"/>
  <c r="CZ143" i="2"/>
  <c r="DA166" i="2" s="1"/>
  <c r="CZ168" i="2"/>
  <c r="CZ169" i="2" s="1"/>
  <c r="BY175" i="2" l="1"/>
  <c r="BY195" i="2" s="1"/>
  <c r="BY215" i="2"/>
  <c r="BY220" i="2" s="1"/>
  <c r="BZ172" i="2"/>
  <c r="BZ177" i="2"/>
  <c r="BX181" i="2"/>
  <c r="BY179" i="2"/>
  <c r="DA143" i="2"/>
  <c r="DB166" i="2" s="1"/>
  <c r="DA168" i="2"/>
  <c r="DA169" i="2" s="1"/>
  <c r="BZ180" i="2" l="1"/>
  <c r="K153" i="1" s="1"/>
  <c r="BZ175" i="2"/>
  <c r="BZ195" i="2" s="1"/>
  <c r="BZ215" i="2"/>
  <c r="BY181" i="2"/>
  <c r="BZ179" i="2"/>
  <c r="K152" i="1" s="1"/>
  <c r="DB143" i="2"/>
  <c r="DC166" i="2" s="1"/>
  <c r="DB168" i="2"/>
  <c r="DB169" i="2" s="1"/>
  <c r="BZ202" i="2" l="1"/>
  <c r="BZ218" i="2" s="1"/>
  <c r="K154" i="1"/>
  <c r="CA172" i="2"/>
  <c r="CA175" i="2" s="1"/>
  <c r="CA195" i="2" s="1"/>
  <c r="CA203" i="2" s="1"/>
  <c r="CA219" i="2" s="1"/>
  <c r="CA177" i="2"/>
  <c r="CA180" i="2" s="1"/>
  <c r="CB172" i="2" s="1"/>
  <c r="BZ200" i="2"/>
  <c r="BZ217" i="2" s="1"/>
  <c r="CA215" i="2"/>
  <c r="BZ199" i="2"/>
  <c r="BZ201" i="2"/>
  <c r="CA179" i="2"/>
  <c r="BZ181" i="2"/>
  <c r="DC143" i="2"/>
  <c r="DD166" i="2" s="1"/>
  <c r="DC168" i="2"/>
  <c r="DC169" i="2" s="1"/>
  <c r="CB177" i="2" l="1"/>
  <c r="CB180" i="2" s="1"/>
  <c r="CA220" i="2"/>
  <c r="CB175" i="2"/>
  <c r="CB195" i="2" s="1"/>
  <c r="CB203" i="2" s="1"/>
  <c r="CB219" i="2" s="1"/>
  <c r="CB215" i="2"/>
  <c r="CC172" i="2"/>
  <c r="CC177" i="2"/>
  <c r="CC180" i="2" s="1"/>
  <c r="CB179" i="2"/>
  <c r="CA181" i="2"/>
  <c r="DD143" i="2"/>
  <c r="DE166" i="2" s="1"/>
  <c r="DD168" i="2"/>
  <c r="DD169" i="2" s="1"/>
  <c r="CB220" i="2" l="1"/>
  <c r="CC175" i="2"/>
  <c r="CC195" i="2" s="1"/>
  <c r="CC215" i="2"/>
  <c r="CC220" i="2" s="1"/>
  <c r="CD172" i="2"/>
  <c r="CD177" i="2"/>
  <c r="CD180" i="2" s="1"/>
  <c r="CC179" i="2"/>
  <c r="CB181" i="2"/>
  <c r="DE143" i="2"/>
  <c r="DF166" i="2" s="1"/>
  <c r="DE168" i="2"/>
  <c r="DE169" i="2" s="1"/>
  <c r="CD175" i="2" l="1"/>
  <c r="CD195" i="2" s="1"/>
  <c r="CD203" i="2" s="1"/>
  <c r="CD219" i="2" s="1"/>
  <c r="CD215" i="2"/>
  <c r="CD179" i="2"/>
  <c r="CC181" i="2"/>
  <c r="CE177" i="2"/>
  <c r="CE172" i="2"/>
  <c r="DF143" i="2"/>
  <c r="DG166" i="2" s="1"/>
  <c r="DF168" i="2"/>
  <c r="DF169" i="2" s="1"/>
  <c r="CD220" i="2" l="1"/>
  <c r="CE180" i="2"/>
  <c r="CE175" i="2"/>
  <c r="CE195" i="2" s="1"/>
  <c r="CE203" i="2" s="1"/>
  <c r="CE219" i="2" s="1"/>
  <c r="CE215" i="2"/>
  <c r="CF172" i="2"/>
  <c r="CF177" i="2"/>
  <c r="CF180" i="2" s="1"/>
  <c r="CE179" i="2"/>
  <c r="CD181" i="2"/>
  <c r="DG143" i="2"/>
  <c r="DH166" i="2" s="1"/>
  <c r="DG168" i="2"/>
  <c r="DG169" i="2" s="1"/>
  <c r="CE220" i="2" l="1"/>
  <c r="CF175" i="2"/>
  <c r="CF195" i="2" s="1"/>
  <c r="CF215" i="2"/>
  <c r="CG177" i="2"/>
  <c r="CG180" i="2" s="1"/>
  <c r="CG172" i="2"/>
  <c r="CF179" i="2"/>
  <c r="CE181" i="2"/>
  <c r="DH143" i="2"/>
  <c r="DI166" i="2" s="1"/>
  <c r="DH168" i="2"/>
  <c r="DH169" i="2" s="1"/>
  <c r="F139" i="1" l="1"/>
  <c r="F141" i="1" s="1"/>
  <c r="G139" i="1"/>
  <c r="G141" i="1" s="1"/>
  <c r="H139" i="1"/>
  <c r="H141" i="1" s="1"/>
  <c r="I139" i="1"/>
  <c r="I141" i="1" s="1"/>
  <c r="J139" i="1"/>
  <c r="J141" i="1" s="1"/>
  <c r="K139" i="1"/>
  <c r="K141" i="1" s="1"/>
  <c r="L139" i="1"/>
  <c r="L141" i="1" s="1"/>
  <c r="M139" i="1"/>
  <c r="M141" i="1" s="1"/>
  <c r="N139" i="1"/>
  <c r="N141" i="1" s="1"/>
  <c r="CG175" i="2"/>
  <c r="CG195" i="2" s="1"/>
  <c r="CG203" i="2" s="1"/>
  <c r="CG219" i="2" s="1"/>
  <c r="CG215" i="2"/>
  <c r="CG179" i="2"/>
  <c r="CF181" i="2"/>
  <c r="CH172" i="2"/>
  <c r="CH177" i="2"/>
  <c r="CH180" i="2" s="1"/>
  <c r="DI143" i="2"/>
  <c r="DI168" i="2"/>
  <c r="DI169" i="2" s="1"/>
  <c r="N142" i="1" l="1"/>
  <c r="M142" i="1"/>
  <c r="L142" i="1"/>
  <c r="K142" i="1"/>
  <c r="J142" i="1"/>
  <c r="I142" i="1"/>
  <c r="H142" i="1"/>
  <c r="G142" i="1"/>
  <c r="F142" i="1"/>
  <c r="CH202" i="2"/>
  <c r="CH218" i="2" s="1"/>
  <c r="CH200" i="2"/>
  <c r="CH217" i="2" s="1"/>
  <c r="CG220" i="2"/>
  <c r="CH175" i="2"/>
  <c r="CH195" i="2" s="1"/>
  <c r="CH215" i="2"/>
  <c r="CI177" i="2"/>
  <c r="CI180" i="2" s="1"/>
  <c r="CI172" i="2"/>
  <c r="CH179" i="2"/>
  <c r="CG181" i="2"/>
  <c r="CH199" i="2" l="1"/>
  <c r="CH201" i="2"/>
  <c r="CH203" i="2" s="1"/>
  <c r="CH219" i="2" s="1"/>
  <c r="CH220" i="2" s="1"/>
  <c r="CI175" i="2"/>
  <c r="CI195" i="2" s="1"/>
  <c r="CI215" i="2"/>
  <c r="CI220" i="2" s="1"/>
  <c r="CI179" i="2"/>
  <c r="CH181" i="2"/>
  <c r="CJ177" i="2"/>
  <c r="CJ180" i="2" s="1"/>
  <c r="CJ172" i="2"/>
  <c r="CJ175" i="2" l="1"/>
  <c r="CJ195" i="2" s="1"/>
  <c r="CJ215" i="2"/>
  <c r="CJ220" i="2" s="1"/>
  <c r="CK177" i="2"/>
  <c r="CK180" i="2" s="1"/>
  <c r="CK172" i="2"/>
  <c r="CI181" i="2"/>
  <c r="CJ179" i="2"/>
  <c r="CK175" i="2" l="1"/>
  <c r="CK195" i="2" s="1"/>
  <c r="CK215" i="2"/>
  <c r="CK202" i="2"/>
  <c r="CK218" i="2" s="1"/>
  <c r="CK200" i="2"/>
  <c r="CK217" i="2" s="1"/>
  <c r="CJ181" i="2"/>
  <c r="CK179" i="2"/>
  <c r="CL177" i="2"/>
  <c r="CL172" i="2"/>
  <c r="CL175" i="2" l="1"/>
  <c r="CL180" i="2"/>
  <c r="L153" i="1" s="1"/>
  <c r="CK199" i="2"/>
  <c r="CK201" i="2"/>
  <c r="CK181" i="2"/>
  <c r="CL179" i="2"/>
  <c r="L152" i="1" s="1"/>
  <c r="L154" i="1" s="1"/>
  <c r="CM177" i="2"/>
  <c r="CM180" i="2" s="1"/>
  <c r="CM172" i="2"/>
  <c r="CM175" i="2" s="1"/>
  <c r="CN177" i="2" l="1"/>
  <c r="CN172" i="2"/>
  <c r="CM179" i="2"/>
  <c r="CL181" i="2"/>
  <c r="CN175" i="2" l="1"/>
  <c r="CN180" i="2"/>
  <c r="CN179" i="2"/>
  <c r="CM181" i="2"/>
  <c r="CO172" i="2"/>
  <c r="CO175" i="2" s="1"/>
  <c r="CO177" i="2"/>
  <c r="CO180" i="2" s="1"/>
  <c r="CP177" i="2" l="1"/>
  <c r="CP172" i="2"/>
  <c r="CO179" i="2"/>
  <c r="CN181" i="2"/>
  <c r="CP175" i="2" l="1"/>
  <c r="CP180" i="2"/>
  <c r="CP179" i="2"/>
  <c r="CO181" i="2"/>
  <c r="CQ172" i="2"/>
  <c r="CQ175" i="2" s="1"/>
  <c r="CQ177" i="2"/>
  <c r="CQ180" i="2" s="1"/>
  <c r="CR172" i="2" l="1"/>
  <c r="CR177" i="2"/>
  <c r="CQ179" i="2"/>
  <c r="CP181" i="2"/>
  <c r="CR180" i="2" l="1"/>
  <c r="CS177" i="2" s="1"/>
  <c r="CS180" i="2" s="1"/>
  <c r="CR175" i="2"/>
  <c r="CR179" i="2"/>
  <c r="CQ181" i="2"/>
  <c r="CS172" i="2"/>
  <c r="CS175" i="2" s="1"/>
  <c r="CT177" i="2" l="1"/>
  <c r="CT172" i="2"/>
  <c r="CS179" i="2"/>
  <c r="CR181" i="2"/>
  <c r="CT175" i="2" l="1"/>
  <c r="CT180" i="2"/>
  <c r="CT179" i="2"/>
  <c r="CS181" i="2"/>
  <c r="CU172" i="2"/>
  <c r="CU175" i="2" s="1"/>
  <c r="CU177" i="2"/>
  <c r="CU180" i="2" s="1"/>
  <c r="CV172" i="2" l="1"/>
  <c r="CV175" i="2" s="1"/>
  <c r="CV177" i="2"/>
  <c r="CV180" i="2" s="1"/>
  <c r="CU179" i="2"/>
  <c r="CT181" i="2"/>
  <c r="CU181" i="2" l="1"/>
  <c r="CV179" i="2"/>
  <c r="CW172" i="2"/>
  <c r="CW175" i="2" s="1"/>
  <c r="CW177" i="2"/>
  <c r="CW180" i="2" s="1"/>
  <c r="CX172" i="2" l="1"/>
  <c r="CX177" i="2"/>
  <c r="CV181" i="2"/>
  <c r="CW179" i="2"/>
  <c r="CX180" i="2" l="1"/>
  <c r="M153" i="1" s="1"/>
  <c r="CX175" i="2"/>
  <c r="CW181" i="2"/>
  <c r="CX179" i="2"/>
  <c r="M152" i="1" s="1"/>
  <c r="CY177" i="2" l="1"/>
  <c r="CY180" i="2" s="1"/>
  <c r="CZ172" i="2" s="1"/>
  <c r="CY172" i="2"/>
  <c r="CY175" i="2" s="1"/>
  <c r="M154" i="1"/>
  <c r="CY179" i="2"/>
  <c r="CX181" i="2"/>
  <c r="CZ177" i="2" l="1"/>
  <c r="CZ180" i="2" s="1"/>
  <c r="DA172" i="2" s="1"/>
  <c r="DA175" i="2" s="1"/>
  <c r="CZ175" i="2"/>
  <c r="CZ179" i="2"/>
  <c r="CY181" i="2"/>
  <c r="DA177" i="2" l="1"/>
  <c r="DA180" i="2" s="1"/>
  <c r="DB172" i="2" s="1"/>
  <c r="DA179" i="2"/>
  <c r="CZ181" i="2"/>
  <c r="DB177" i="2" l="1"/>
  <c r="DB180" i="2" s="1"/>
  <c r="DB175" i="2"/>
  <c r="DB179" i="2"/>
  <c r="DA181" i="2"/>
  <c r="DC172" i="2" l="1"/>
  <c r="DC175" i="2" s="1"/>
  <c r="DC177" i="2"/>
  <c r="DC180" i="2" s="1"/>
  <c r="DD172" i="2" s="1"/>
  <c r="DC179" i="2"/>
  <c r="DB181" i="2"/>
  <c r="DD177" i="2" l="1"/>
  <c r="DD180" i="2" s="1"/>
  <c r="DD175" i="2"/>
  <c r="DD179" i="2"/>
  <c r="DC181" i="2"/>
  <c r="DE177" i="2" l="1"/>
  <c r="DE180" i="2" s="1"/>
  <c r="DF177" i="2" s="1"/>
  <c r="DE172" i="2"/>
  <c r="DE175" i="2" s="1"/>
  <c r="DE179" i="2"/>
  <c r="DD181" i="2"/>
  <c r="DF172" i="2" l="1"/>
  <c r="DF175" i="2" s="1"/>
  <c r="DF180" i="2"/>
  <c r="DG172" i="2" s="1"/>
  <c r="DG175" i="2" s="1"/>
  <c r="DF179" i="2"/>
  <c r="DE181" i="2"/>
  <c r="DG177" i="2" l="1"/>
  <c r="DG180" i="2" s="1"/>
  <c r="DH172" i="2" s="1"/>
  <c r="DH175" i="2" s="1"/>
  <c r="DG179" i="2"/>
  <c r="DF181" i="2"/>
  <c r="DH177" i="2" l="1"/>
  <c r="DH180" i="2" s="1"/>
  <c r="DI172" i="2" s="1"/>
  <c r="DG181" i="2"/>
  <c r="DH179" i="2"/>
  <c r="DI177" i="2" l="1"/>
  <c r="DI180" i="2" s="1"/>
  <c r="N153" i="1" s="1"/>
  <c r="F150" i="1"/>
  <c r="G150" i="1"/>
  <c r="H150" i="1"/>
  <c r="I150" i="1"/>
  <c r="J150" i="1"/>
  <c r="K150" i="1"/>
  <c r="L150" i="1"/>
  <c r="M150" i="1"/>
  <c r="N150" i="1"/>
  <c r="DI175" i="2"/>
  <c r="F145" i="1"/>
  <c r="F148" i="1" s="1"/>
  <c r="G145" i="1"/>
  <c r="G148" i="1" s="1"/>
  <c r="H145" i="1"/>
  <c r="H148" i="1" s="1"/>
  <c r="I145" i="1"/>
  <c r="I148" i="1" s="1"/>
  <c r="J145" i="1"/>
  <c r="K145" i="1"/>
  <c r="L145" i="1"/>
  <c r="M145" i="1"/>
  <c r="N145" i="1"/>
  <c r="DH181" i="2"/>
  <c r="DI179" i="2"/>
  <c r="CF203" i="2"/>
  <c r="CF219" i="2" s="1"/>
  <c r="CF220" i="2" s="1"/>
  <c r="CK203" i="2"/>
  <c r="CK219" i="2" s="1"/>
  <c r="CK220" i="2" s="1"/>
  <c r="J66" i="1"/>
  <c r="E61" i="1" s="1"/>
  <c r="J168" i="1" l="1"/>
  <c r="K168" i="1"/>
  <c r="N159" i="1"/>
  <c r="N162" i="1"/>
  <c r="N163" i="1"/>
  <c r="N160" i="1"/>
  <c r="N148" i="1"/>
  <c r="DI181" i="2"/>
  <c r="N152" i="1"/>
  <c r="N154" i="1" s="1"/>
  <c r="L162" i="1"/>
  <c r="L159" i="1"/>
  <c r="L160" i="1"/>
  <c r="L163" i="1"/>
  <c r="L148" i="1"/>
  <c r="J162" i="1"/>
  <c r="J159" i="1"/>
  <c r="J163" i="1"/>
  <c r="J160" i="1"/>
  <c r="J148" i="1"/>
  <c r="M162" i="1"/>
  <c r="M159" i="1"/>
  <c r="M163" i="1"/>
  <c r="M148" i="1"/>
  <c r="M160" i="1"/>
  <c r="K162" i="1"/>
  <c r="K159" i="1"/>
  <c r="K163" i="1"/>
  <c r="K160" i="1"/>
  <c r="K148" i="1"/>
  <c r="E62" i="1"/>
  <c r="E63" i="1" l="1"/>
  <c r="E64" i="1" s="1"/>
  <c r="E22" i="2" l="1"/>
  <c r="F23" i="2"/>
  <c r="G23" i="2" s="1"/>
  <c r="G27" i="2" l="1"/>
  <c r="G28" i="2" s="1"/>
  <c r="G189" i="2"/>
  <c r="G204" i="2" s="1"/>
  <c r="H23" i="2"/>
  <c r="F24" i="2"/>
  <c r="G24" i="2" s="1"/>
  <c r="F189" i="2"/>
  <c r="F204" i="2" s="1"/>
  <c r="F27" i="2"/>
  <c r="H24" i="2" l="1"/>
  <c r="G232" i="2"/>
  <c r="G231" i="2"/>
  <c r="F232" i="2"/>
  <c r="F231" i="2"/>
  <c r="H27" i="2"/>
  <c r="H28" i="2" s="1"/>
  <c r="H189" i="2"/>
  <c r="H204" i="2" s="1"/>
  <c r="F28" i="2"/>
  <c r="I23" i="2"/>
  <c r="F31" i="2" l="1"/>
  <c r="G26" i="2" s="1"/>
  <c r="G29" i="2" s="1"/>
  <c r="G31" i="2" s="1"/>
  <c r="H26" i="2" s="1"/>
  <c r="G237" i="2"/>
  <c r="G233" i="2"/>
  <c r="G275" i="2" s="1"/>
  <c r="I24" i="2"/>
  <c r="J23" i="2"/>
  <c r="F237" i="2"/>
  <c r="F233" i="2"/>
  <c r="F275" i="2" s="1"/>
  <c r="I27" i="2"/>
  <c r="I28" i="2" s="1"/>
  <c r="I189" i="2"/>
  <c r="I204" i="2" s="1"/>
  <c r="H232" i="2"/>
  <c r="H231" i="2"/>
  <c r="H29" i="2" l="1"/>
  <c r="H31" i="2" s="1"/>
  <c r="I26" i="2" s="1"/>
  <c r="F239" i="2"/>
  <c r="F251" i="2" s="1"/>
  <c r="F249" i="2"/>
  <c r="H237" i="2"/>
  <c r="H233" i="2"/>
  <c r="H275" i="2" s="1"/>
  <c r="J24" i="2"/>
  <c r="G249" i="2"/>
  <c r="I232" i="2"/>
  <c r="I231" i="2"/>
  <c r="J27" i="2"/>
  <c r="J28" i="2" s="1"/>
  <c r="J189" i="2"/>
  <c r="J204" i="2" s="1"/>
  <c r="K23" i="2"/>
  <c r="F240" i="2" l="1"/>
  <c r="G236" i="2" s="1"/>
  <c r="G238" i="2" s="1"/>
  <c r="G239" i="2" s="1"/>
  <c r="G250" i="2"/>
  <c r="F250" i="2"/>
  <c r="K27" i="2"/>
  <c r="K28" i="2" s="1"/>
  <c r="K189" i="2"/>
  <c r="K204" i="2" s="1"/>
  <c r="H249" i="2"/>
  <c r="F242" i="2"/>
  <c r="I237" i="2"/>
  <c r="I233" i="2"/>
  <c r="I275" i="2" s="1"/>
  <c r="J232" i="2"/>
  <c r="J231" i="2"/>
  <c r="I29" i="2"/>
  <c r="I31" i="2" s="1"/>
  <c r="J26" i="2" s="1"/>
  <c r="L23" i="2"/>
  <c r="K24" i="2"/>
  <c r="J29" i="2" l="1"/>
  <c r="J31" i="2" s="1"/>
  <c r="K26" i="2" s="1"/>
  <c r="G251" i="2"/>
  <c r="G242" i="2"/>
  <c r="K231" i="2"/>
  <c r="K232" i="2"/>
  <c r="L24" i="2"/>
  <c r="L27" i="2"/>
  <c r="L28" i="2" s="1"/>
  <c r="L189" i="2"/>
  <c r="L204" i="2" s="1"/>
  <c r="M23" i="2"/>
  <c r="G240" i="2"/>
  <c r="H236" i="2" s="1"/>
  <c r="I249" i="2"/>
  <c r="J237" i="2"/>
  <c r="J233" i="2"/>
  <c r="J275" i="2" s="1"/>
  <c r="F245" i="2"/>
  <c r="F252" i="2" s="1"/>
  <c r="F243" i="2"/>
  <c r="H250" i="2"/>
  <c r="M24" i="2" l="1"/>
  <c r="F255" i="2"/>
  <c r="F253" i="2"/>
  <c r="G248" i="2" s="1"/>
  <c r="L231" i="2"/>
  <c r="L232" i="2"/>
  <c r="I250" i="2"/>
  <c r="K237" i="2"/>
  <c r="K233" i="2"/>
  <c r="K275" i="2" s="1"/>
  <c r="H238" i="2"/>
  <c r="J249" i="2"/>
  <c r="K29" i="2"/>
  <c r="K31" i="2" s="1"/>
  <c r="L26" i="2" s="1"/>
  <c r="G243" i="2"/>
  <c r="G245" i="2"/>
  <c r="M27" i="2"/>
  <c r="M28" i="2" s="1"/>
  <c r="M189" i="2"/>
  <c r="M204" i="2" s="1"/>
  <c r="N23" i="2"/>
  <c r="N24" i="2" s="1"/>
  <c r="M231" i="2" l="1"/>
  <c r="M232" i="2"/>
  <c r="F256" i="2"/>
  <c r="F258" i="2"/>
  <c r="H239" i="2"/>
  <c r="H240" i="2" s="1"/>
  <c r="I236" i="2" s="1"/>
  <c r="K249" i="2"/>
  <c r="J250" i="2"/>
  <c r="L237" i="2"/>
  <c r="L233" i="2"/>
  <c r="L275" i="2" s="1"/>
  <c r="L29" i="2"/>
  <c r="L31" i="2"/>
  <c r="M26" i="2" s="1"/>
  <c r="N27" i="2"/>
  <c r="N28" i="2" s="1"/>
  <c r="N189" i="2"/>
  <c r="N204" i="2" s="1"/>
  <c r="O23" i="2"/>
  <c r="G252" i="2"/>
  <c r="G255" i="2" s="1"/>
  <c r="O27" i="2" l="1"/>
  <c r="O28" i="2" s="1"/>
  <c r="O189" i="2"/>
  <c r="O204" i="2" s="1"/>
  <c r="P23" i="2"/>
  <c r="G253" i="2"/>
  <c r="H248" i="2" s="1"/>
  <c r="O24" i="2"/>
  <c r="P24" i="2" s="1"/>
  <c r="F263" i="2"/>
  <c r="F287" i="2" s="1"/>
  <c r="F302" i="2" s="1"/>
  <c r="F262" i="2"/>
  <c r="F281" i="2" s="1"/>
  <c r="F296" i="2" s="1"/>
  <c r="L249" i="2"/>
  <c r="M29" i="2"/>
  <c r="M31" i="2"/>
  <c r="N26" i="2" s="1"/>
  <c r="M237" i="2"/>
  <c r="M233" i="2"/>
  <c r="M275" i="2" s="1"/>
  <c r="G256" i="2"/>
  <c r="G258" i="2" s="1"/>
  <c r="I238" i="2"/>
  <c r="I239" i="2" s="1"/>
  <c r="K250" i="2"/>
  <c r="N231" i="2"/>
  <c r="N232" i="2"/>
  <c r="H251" i="2"/>
  <c r="H242" i="2"/>
  <c r="I251" i="2" l="1"/>
  <c r="I242" i="2"/>
  <c r="N237" i="2"/>
  <c r="N233" i="2"/>
  <c r="N275" i="2" s="1"/>
  <c r="I240" i="2"/>
  <c r="J236" i="2" s="1"/>
  <c r="N29" i="2"/>
  <c r="N31" i="2"/>
  <c r="O26" i="2" s="1"/>
  <c r="F265" i="2"/>
  <c r="L250" i="2"/>
  <c r="P27" i="2"/>
  <c r="P28" i="2" s="1"/>
  <c r="P189" i="2"/>
  <c r="P204" i="2" s="1"/>
  <c r="Q23" i="2"/>
  <c r="G262" i="2"/>
  <c r="G281" i="2" s="1"/>
  <c r="G296" i="2" s="1"/>
  <c r="G263" i="2"/>
  <c r="G287" i="2" s="1"/>
  <c r="G302" i="2" s="1"/>
  <c r="H243" i="2"/>
  <c r="H245" i="2"/>
  <c r="H252" i="2" s="1"/>
  <c r="M249" i="2"/>
  <c r="O232" i="2"/>
  <c r="O231" i="2"/>
  <c r="H255" i="2" l="1"/>
  <c r="H253" i="2"/>
  <c r="I248" i="2" s="1"/>
  <c r="Q27" i="2"/>
  <c r="Q28" i="2" s="1"/>
  <c r="Q189" i="2"/>
  <c r="Q204" i="2" s="1"/>
  <c r="R23" i="2"/>
  <c r="O237" i="2"/>
  <c r="O233" i="2"/>
  <c r="O275" i="2" s="1"/>
  <c r="G265" i="2"/>
  <c r="O29" i="2"/>
  <c r="O31" i="2" s="1"/>
  <c r="P26" i="2" s="1"/>
  <c r="P231" i="2"/>
  <c r="P232" i="2"/>
  <c r="J238" i="2"/>
  <c r="J239" i="2" s="1"/>
  <c r="N249" i="2"/>
  <c r="Q24" i="2"/>
  <c r="M250" i="2"/>
  <c r="I243" i="2"/>
  <c r="I245" i="2"/>
  <c r="J251" i="2" l="1"/>
  <c r="J242" i="2"/>
  <c r="J240" i="2"/>
  <c r="K236" i="2" s="1"/>
  <c r="P29" i="2"/>
  <c r="P31" i="2"/>
  <c r="Q26" i="2" s="1"/>
  <c r="Q232" i="2"/>
  <c r="Q231" i="2"/>
  <c r="R189" i="2"/>
  <c r="R204" i="2" s="1"/>
  <c r="R27" i="2"/>
  <c r="R28" i="2" s="1"/>
  <c r="S23" i="2"/>
  <c r="P233" i="2"/>
  <c r="P275" i="2" s="1"/>
  <c r="P237" i="2"/>
  <c r="I252" i="2"/>
  <c r="I255" i="2" s="1"/>
  <c r="R24" i="2"/>
  <c r="O249" i="2"/>
  <c r="N250" i="2"/>
  <c r="H256" i="2"/>
  <c r="H258" i="2" s="1"/>
  <c r="I253" i="2" l="1"/>
  <c r="J248" i="2" s="1"/>
  <c r="P249" i="2"/>
  <c r="S27" i="2"/>
  <c r="S28" i="2" s="1"/>
  <c r="S189" i="2"/>
  <c r="S204" i="2" s="1"/>
  <c r="T23" i="2"/>
  <c r="K238" i="2"/>
  <c r="K239" i="2" s="1"/>
  <c r="Q233" i="2"/>
  <c r="Q275" i="2" s="1"/>
  <c r="Q237" i="2"/>
  <c r="Q29" i="2"/>
  <c r="Q31" i="2" s="1"/>
  <c r="R26" i="2" s="1"/>
  <c r="J243" i="2"/>
  <c r="J245" i="2"/>
  <c r="H262" i="2"/>
  <c r="H281" i="2" s="1"/>
  <c r="H296" i="2" s="1"/>
  <c r="H263" i="2"/>
  <c r="R231" i="2"/>
  <c r="R232" i="2"/>
  <c r="O250" i="2"/>
  <c r="S24" i="2"/>
  <c r="I256" i="2"/>
  <c r="I258" i="2"/>
  <c r="J252" i="2" l="1"/>
  <c r="J255" i="2" s="1"/>
  <c r="H265" i="2"/>
  <c r="R29" i="2"/>
  <c r="R31" i="2"/>
  <c r="S26" i="2" s="1"/>
  <c r="K251" i="2"/>
  <c r="K242" i="2"/>
  <c r="Q249" i="2"/>
  <c r="H287" i="2"/>
  <c r="H302" i="2" s="1"/>
  <c r="I262" i="2"/>
  <c r="I281" i="2" s="1"/>
  <c r="I296" i="2" s="1"/>
  <c r="I263" i="2"/>
  <c r="T189" i="2"/>
  <c r="T204" i="2" s="1"/>
  <c r="T27" i="2"/>
  <c r="T28" i="2" s="1"/>
  <c r="U23" i="2"/>
  <c r="S231" i="2"/>
  <c r="S232" i="2"/>
  <c r="R237" i="2"/>
  <c r="R233" i="2"/>
  <c r="R275" i="2" s="1"/>
  <c r="K240" i="2"/>
  <c r="L236" i="2" s="1"/>
  <c r="T24" i="2"/>
  <c r="P250" i="2"/>
  <c r="I265" i="2" l="1"/>
  <c r="J253" i="2"/>
  <c r="K248" i="2" s="1"/>
  <c r="I287" i="2"/>
  <c r="I302" i="2" s="1"/>
  <c r="Q250" i="2"/>
  <c r="R249" i="2"/>
  <c r="S237" i="2"/>
  <c r="S233" i="2"/>
  <c r="S275" i="2" s="1"/>
  <c r="K243" i="2"/>
  <c r="K245" i="2"/>
  <c r="K252" i="2" s="1"/>
  <c r="S29" i="2"/>
  <c r="S31" i="2" s="1"/>
  <c r="T26" i="2" s="1"/>
  <c r="U24" i="2"/>
  <c r="U27" i="2"/>
  <c r="U28" i="2" s="1"/>
  <c r="U189" i="2"/>
  <c r="U204" i="2" s="1"/>
  <c r="V23" i="2"/>
  <c r="T231" i="2"/>
  <c r="T232" i="2"/>
  <c r="L238" i="2"/>
  <c r="J256" i="2"/>
  <c r="J258" i="2" s="1"/>
  <c r="K255" i="2" l="1"/>
  <c r="K253" i="2"/>
  <c r="L248" i="2" s="1"/>
  <c r="T29" i="2"/>
  <c r="T31" i="2"/>
  <c r="U26" i="2" s="1"/>
  <c r="S249" i="2"/>
  <c r="L239" i="2"/>
  <c r="U231" i="2"/>
  <c r="U232" i="2"/>
  <c r="R250" i="2"/>
  <c r="T237" i="2"/>
  <c r="T233" i="2"/>
  <c r="T275" i="2" s="1"/>
  <c r="J262" i="2"/>
  <c r="J281" i="2" s="1"/>
  <c r="J296" i="2" s="1"/>
  <c r="J263" i="2"/>
  <c r="J287" i="2" s="1"/>
  <c r="J302" i="2" s="1"/>
  <c r="V27" i="2"/>
  <c r="V28" i="2" s="1"/>
  <c r="V189" i="2"/>
  <c r="V204" i="2" s="1"/>
  <c r="W23" i="2"/>
  <c r="V24" i="2"/>
  <c r="J265" i="2" l="1"/>
  <c r="W27" i="2"/>
  <c r="W28" i="2" s="1"/>
  <c r="W189" i="2"/>
  <c r="W204" i="2" s="1"/>
  <c r="X23" i="2"/>
  <c r="W24" i="2"/>
  <c r="L251" i="2"/>
  <c r="L242" i="2"/>
  <c r="S250" i="2"/>
  <c r="L240" i="2"/>
  <c r="M236" i="2" s="1"/>
  <c r="U29" i="2"/>
  <c r="U31" i="2" s="1"/>
  <c r="V26" i="2" s="1"/>
  <c r="T249" i="2"/>
  <c r="U237" i="2"/>
  <c r="U233" i="2"/>
  <c r="U275" i="2" s="1"/>
  <c r="V231" i="2"/>
  <c r="V232" i="2"/>
  <c r="K256" i="2"/>
  <c r="K258" i="2" s="1"/>
  <c r="X24" i="2" l="1"/>
  <c r="V29" i="2"/>
  <c r="V31" i="2"/>
  <c r="W26" i="2" s="1"/>
  <c r="M238" i="2"/>
  <c r="L243" i="2"/>
  <c r="L245" i="2"/>
  <c r="L252" i="2" s="1"/>
  <c r="X27" i="2"/>
  <c r="X28" i="2" s="1"/>
  <c r="X189" i="2"/>
  <c r="X204" i="2" s="1"/>
  <c r="Y23" i="2"/>
  <c r="Y24" i="2" s="1"/>
  <c r="V237" i="2"/>
  <c r="V233" i="2"/>
  <c r="V275" i="2" s="1"/>
  <c r="U249" i="2"/>
  <c r="T250" i="2"/>
  <c r="K262" i="2"/>
  <c r="K281" i="2" s="1"/>
  <c r="K296" i="2" s="1"/>
  <c r="K263" i="2"/>
  <c r="K287" i="2"/>
  <c r="K302" i="2" s="1"/>
  <c r="W231" i="2"/>
  <c r="W232" i="2"/>
  <c r="K265" i="2" l="1"/>
  <c r="L255" i="2"/>
  <c r="L253" i="2"/>
  <c r="M248" i="2" s="1"/>
  <c r="X231" i="2"/>
  <c r="X232" i="2"/>
  <c r="M239" i="2"/>
  <c r="V249" i="2"/>
  <c r="W29" i="2"/>
  <c r="W31" i="2" s="1"/>
  <c r="X26" i="2" s="1"/>
  <c r="W237" i="2"/>
  <c r="W233" i="2"/>
  <c r="W275" i="2" s="1"/>
  <c r="U250" i="2"/>
  <c r="Y27" i="2"/>
  <c r="Y28" i="2" s="1"/>
  <c r="Y189" i="2"/>
  <c r="Y204" i="2" s="1"/>
  <c r="Z23" i="2"/>
  <c r="Z24" i="2" s="1"/>
  <c r="Y231" i="2" l="1"/>
  <c r="Y232" i="2"/>
  <c r="V250" i="2"/>
  <c r="X29" i="2"/>
  <c r="X31" i="2" s="1"/>
  <c r="Y26" i="2" s="1"/>
  <c r="M251" i="2"/>
  <c r="M242" i="2"/>
  <c r="Z27" i="2"/>
  <c r="Z28" i="2" s="1"/>
  <c r="Z189" i="2"/>
  <c r="Z204" i="2" s="1"/>
  <c r="AA23" i="2"/>
  <c r="X233" i="2"/>
  <c r="X275" i="2" s="1"/>
  <c r="X237" i="2"/>
  <c r="M240" i="2"/>
  <c r="N236" i="2" s="1"/>
  <c r="W249" i="2"/>
  <c r="L256" i="2"/>
  <c r="AA27" i="2" l="1"/>
  <c r="AA28" i="2" s="1"/>
  <c r="AA189" i="2"/>
  <c r="AA204" i="2" s="1"/>
  <c r="AB23" i="2"/>
  <c r="Y29" i="2"/>
  <c r="Y31" i="2"/>
  <c r="Z26" i="2" s="1"/>
  <c r="Z231" i="2"/>
  <c r="Z232" i="2"/>
  <c r="L258" i="2"/>
  <c r="Y233" i="2"/>
  <c r="Y275" i="2" s="1"/>
  <c r="Y237" i="2"/>
  <c r="M243" i="2"/>
  <c r="M245" i="2"/>
  <c r="M252" i="2" s="1"/>
  <c r="W250" i="2"/>
  <c r="N238" i="2"/>
  <c r="N239" i="2" s="1"/>
  <c r="X249" i="2"/>
  <c r="AA24" i="2"/>
  <c r="AB24" i="2" l="1"/>
  <c r="M255" i="2"/>
  <c r="M253" i="2"/>
  <c r="N248" i="2" s="1"/>
  <c r="N251" i="2"/>
  <c r="N242" i="2"/>
  <c r="X250" i="2"/>
  <c r="Z237" i="2"/>
  <c r="Z233" i="2"/>
  <c r="Z275" i="2" s="1"/>
  <c r="N240" i="2"/>
  <c r="O236" i="2" s="1"/>
  <c r="L262" i="2"/>
  <c r="L281" i="2" s="1"/>
  <c r="L296" i="2" s="1"/>
  <c r="L263" i="2"/>
  <c r="L287" i="2" s="1"/>
  <c r="L302" i="2" s="1"/>
  <c r="Z29" i="2"/>
  <c r="Z31" i="2" s="1"/>
  <c r="AA26" i="2" s="1"/>
  <c r="AB27" i="2"/>
  <c r="AB28" i="2" s="1"/>
  <c r="AB189" i="2"/>
  <c r="AB204" i="2" s="1"/>
  <c r="AC23" i="2"/>
  <c r="AC24" i="2" s="1"/>
  <c r="AA231" i="2"/>
  <c r="AA232" i="2"/>
  <c r="Y249" i="2"/>
  <c r="Y250" i="2" l="1"/>
  <c r="Z249" i="2"/>
  <c r="AA233" i="2"/>
  <c r="AA275" i="2" s="1"/>
  <c r="AA237" i="2"/>
  <c r="N243" i="2"/>
  <c r="N245" i="2"/>
  <c r="N252" i="2" s="1"/>
  <c r="O238" i="2"/>
  <c r="O239" i="2" s="1"/>
  <c r="AC27" i="2"/>
  <c r="AC28" i="2" s="1"/>
  <c r="AC189" i="2"/>
  <c r="AC204" i="2" s="1"/>
  <c r="AD23" i="2"/>
  <c r="AB231" i="2"/>
  <c r="AB232" i="2"/>
  <c r="AA29" i="2"/>
  <c r="AA31" i="2"/>
  <c r="AB26" i="2" s="1"/>
  <c r="L265" i="2"/>
  <c r="M256" i="2"/>
  <c r="O240" i="2" l="1"/>
  <c r="P236" i="2" s="1"/>
  <c r="P238" i="2" s="1"/>
  <c r="P239" i="2" s="1"/>
  <c r="N255" i="2"/>
  <c r="N253" i="2"/>
  <c r="O248" i="2" s="1"/>
  <c r="AA249" i="2"/>
  <c r="AB29" i="2"/>
  <c r="AB31" i="2"/>
  <c r="AC26" i="2" s="1"/>
  <c r="AB233" i="2"/>
  <c r="AB275" i="2" s="1"/>
  <c r="AB237" i="2"/>
  <c r="AD27" i="2"/>
  <c r="AD28" i="2" s="1"/>
  <c r="AD189" i="2"/>
  <c r="AD204" i="2" s="1"/>
  <c r="AE23" i="2"/>
  <c r="AC232" i="2"/>
  <c r="AC231" i="2"/>
  <c r="Z250" i="2"/>
  <c r="O251" i="2"/>
  <c r="O242" i="2"/>
  <c r="M258" i="2"/>
  <c r="AD24" i="2"/>
  <c r="AE24" i="2" l="1"/>
  <c r="P240" i="2"/>
  <c r="Q236" i="2" s="1"/>
  <c r="Q238" i="2" s="1"/>
  <c r="Q239" i="2" s="1"/>
  <c r="N256" i="2"/>
  <c r="N258" i="2" s="1"/>
  <c r="M262" i="2"/>
  <c r="M281" i="2" s="1"/>
  <c r="M296" i="2" s="1"/>
  <c r="M263" i="2"/>
  <c r="M287" i="2" s="1"/>
  <c r="M302" i="2" s="1"/>
  <c r="AA250" i="2"/>
  <c r="P251" i="2"/>
  <c r="P242" i="2"/>
  <c r="AB249" i="2"/>
  <c r="AC29" i="2"/>
  <c r="AC31" i="2" s="1"/>
  <c r="AD26" i="2" s="1"/>
  <c r="O243" i="2"/>
  <c r="O245" i="2"/>
  <c r="O252" i="2" s="1"/>
  <c r="AC233" i="2"/>
  <c r="AC275" i="2" s="1"/>
  <c r="AC237" i="2"/>
  <c r="AE27" i="2"/>
  <c r="AE28" i="2" s="1"/>
  <c r="AE189" i="2"/>
  <c r="AE204" i="2" s="1"/>
  <c r="AF23" i="2"/>
  <c r="AD232" i="2"/>
  <c r="AD231" i="2"/>
  <c r="M265" i="2" l="1"/>
  <c r="Q240" i="2"/>
  <c r="R236" i="2" s="1"/>
  <c r="R238" i="2" s="1"/>
  <c r="AD29" i="2"/>
  <c r="AD31" i="2"/>
  <c r="AE26" i="2" s="1"/>
  <c r="N262" i="2"/>
  <c r="N281" i="2" s="1"/>
  <c r="N296" i="2" s="1"/>
  <c r="N263" i="2"/>
  <c r="N265" i="2" s="1"/>
  <c r="O255" i="2"/>
  <c r="O253" i="2"/>
  <c r="P248" i="2" s="1"/>
  <c r="AF27" i="2"/>
  <c r="AF28" i="2" s="1"/>
  <c r="AF189" i="2"/>
  <c r="AF204" i="2" s="1"/>
  <c r="AG23" i="2"/>
  <c r="AF24" i="2"/>
  <c r="AD237" i="2"/>
  <c r="AD233" i="2"/>
  <c r="AD275" i="2" s="1"/>
  <c r="AB250" i="2"/>
  <c r="Q251" i="2"/>
  <c r="Q242" i="2"/>
  <c r="P243" i="2"/>
  <c r="P245" i="2"/>
  <c r="AE232" i="2"/>
  <c r="AE231" i="2"/>
  <c r="AC249" i="2"/>
  <c r="N287" i="2" l="1"/>
  <c r="N302" i="2" s="1"/>
  <c r="AG24" i="2"/>
  <c r="P252" i="2"/>
  <c r="P255" i="2" s="1"/>
  <c r="AE237" i="2"/>
  <c r="AE233" i="2"/>
  <c r="AE275" i="2" s="1"/>
  <c r="AF232" i="2"/>
  <c r="AF231" i="2"/>
  <c r="Q243" i="2"/>
  <c r="Q245" i="2"/>
  <c r="AC250" i="2"/>
  <c r="AE29" i="2"/>
  <c r="AE31" i="2" s="1"/>
  <c r="AF26" i="2" s="1"/>
  <c r="R239" i="2"/>
  <c r="O256" i="2"/>
  <c r="O258" i="2" s="1"/>
  <c r="AD249" i="2"/>
  <c r="AG27" i="2"/>
  <c r="AG28" i="2" s="1"/>
  <c r="AG189" i="2"/>
  <c r="AG204" i="2" s="1"/>
  <c r="AH23" i="2"/>
  <c r="AH24" i="2" s="1"/>
  <c r="AF29" i="2" l="1"/>
  <c r="AF31" i="2"/>
  <c r="AG26" i="2" s="1"/>
  <c r="AD250" i="2"/>
  <c r="O262" i="2"/>
  <c r="O281" i="2" s="1"/>
  <c r="O296" i="2" s="1"/>
  <c r="O263" i="2"/>
  <c r="O287" i="2" s="1"/>
  <c r="O302" i="2" s="1"/>
  <c r="P253" i="2"/>
  <c r="Q248" i="2" s="1"/>
  <c r="AG231" i="2"/>
  <c r="AG232" i="2"/>
  <c r="AF237" i="2"/>
  <c r="AF233" i="2"/>
  <c r="AF275" i="2" s="1"/>
  <c r="R251" i="2"/>
  <c r="R242" i="2"/>
  <c r="AE249" i="2"/>
  <c r="P256" i="2"/>
  <c r="P258" i="2"/>
  <c r="AH27" i="2"/>
  <c r="AH28" i="2" s="1"/>
  <c r="AH189" i="2"/>
  <c r="AH204" i="2" s="1"/>
  <c r="AI23" i="2"/>
  <c r="AI24" i="2" s="1"/>
  <c r="R240" i="2"/>
  <c r="S236" i="2" s="1"/>
  <c r="O265" i="2" l="1"/>
  <c r="AG237" i="2"/>
  <c r="AG233" i="2"/>
  <c r="AG275" i="2" s="1"/>
  <c r="P262" i="2"/>
  <c r="P281" i="2" s="1"/>
  <c r="P296" i="2" s="1"/>
  <c r="P263" i="2"/>
  <c r="P287" i="2" s="1"/>
  <c r="P302" i="2" s="1"/>
  <c r="AE250" i="2"/>
  <c r="AH231" i="2"/>
  <c r="AH232" i="2"/>
  <c r="AF249" i="2"/>
  <c r="S238" i="2"/>
  <c r="S239" i="2" s="1"/>
  <c r="S240" i="2" s="1"/>
  <c r="T236" i="2" s="1"/>
  <c r="AG29" i="2"/>
  <c r="AG31" i="2" s="1"/>
  <c r="AH26" i="2" s="1"/>
  <c r="Q252" i="2"/>
  <c r="Q255" i="2" s="1"/>
  <c r="R243" i="2"/>
  <c r="R245" i="2"/>
  <c r="AI27" i="2"/>
  <c r="AI28" i="2" s="1"/>
  <c r="AI189" i="2"/>
  <c r="AI204" i="2" s="1"/>
  <c r="AJ23" i="2"/>
  <c r="AJ24" i="2" s="1"/>
  <c r="P265" i="2" l="1"/>
  <c r="T238" i="2"/>
  <c r="T239" i="2" s="1"/>
  <c r="AH29" i="2"/>
  <c r="AH31" i="2"/>
  <c r="AI26" i="2" s="1"/>
  <c r="AH237" i="2"/>
  <c r="AH233" i="2"/>
  <c r="AH275" i="2" s="1"/>
  <c r="AK24" i="2"/>
  <c r="S251" i="2"/>
  <c r="S242" i="2"/>
  <c r="AF250" i="2"/>
  <c r="Q253" i="2"/>
  <c r="R248" i="2" s="1"/>
  <c r="AJ27" i="2"/>
  <c r="AJ28" i="2" s="1"/>
  <c r="AJ189" i="2"/>
  <c r="AJ204" i="2" s="1"/>
  <c r="AK23" i="2"/>
  <c r="Q256" i="2"/>
  <c r="Q258" i="2"/>
  <c r="AI231" i="2"/>
  <c r="AI232" i="2"/>
  <c r="AG249" i="2"/>
  <c r="T251" i="2" l="1"/>
  <c r="T242" i="2"/>
  <c r="T240" i="2"/>
  <c r="U236" i="2" s="1"/>
  <c r="Q262" i="2"/>
  <c r="Q281" i="2" s="1"/>
  <c r="Q296" i="2" s="1"/>
  <c r="Q263" i="2"/>
  <c r="S243" i="2"/>
  <c r="S245" i="2"/>
  <c r="Q287" i="2"/>
  <c r="Q302" i="2" s="1"/>
  <c r="AH249" i="2"/>
  <c r="AJ231" i="2"/>
  <c r="AJ232" i="2"/>
  <c r="R252" i="2"/>
  <c r="R255" i="2" s="1"/>
  <c r="AG250" i="2"/>
  <c r="AI237" i="2"/>
  <c r="AI233" i="2"/>
  <c r="AI275" i="2" s="1"/>
  <c r="AK27" i="2"/>
  <c r="AK28" i="2" s="1"/>
  <c r="AK189" i="2"/>
  <c r="AK204" i="2" s="1"/>
  <c r="AL23" i="2"/>
  <c r="AI29" i="2"/>
  <c r="AI31" i="2"/>
  <c r="AJ26" i="2" s="1"/>
  <c r="Q265" i="2" l="1"/>
  <c r="AL27" i="2"/>
  <c r="AL28" i="2" s="1"/>
  <c r="AL189" i="2"/>
  <c r="AL204" i="2" s="1"/>
  <c r="AM23" i="2"/>
  <c r="R256" i="2"/>
  <c r="T243" i="2"/>
  <c r="T245" i="2"/>
  <c r="AK231" i="2"/>
  <c r="AK232" i="2"/>
  <c r="AL24" i="2"/>
  <c r="AI249" i="2"/>
  <c r="R253" i="2"/>
  <c r="S248" i="2" s="1"/>
  <c r="U238" i="2"/>
  <c r="U239" i="2" s="1"/>
  <c r="AJ29" i="2"/>
  <c r="AJ31" i="2" s="1"/>
  <c r="AK26" i="2" s="1"/>
  <c r="AJ233" i="2"/>
  <c r="AJ275" i="2" s="1"/>
  <c r="AJ237" i="2"/>
  <c r="AH250" i="2"/>
  <c r="U251" i="2" l="1"/>
  <c r="U242" i="2"/>
  <c r="AK233" i="2"/>
  <c r="AK275" i="2" s="1"/>
  <c r="AK237" i="2"/>
  <c r="AJ249" i="2"/>
  <c r="U240" i="2"/>
  <c r="V236" i="2" s="1"/>
  <c r="AM27" i="2"/>
  <c r="AM28" i="2" s="1"/>
  <c r="AM189" i="2"/>
  <c r="AM204" i="2" s="1"/>
  <c r="AN23" i="2"/>
  <c r="S252" i="2"/>
  <c r="S255" i="2" s="1"/>
  <c r="AI250" i="2"/>
  <c r="AL231" i="2"/>
  <c r="AL232" i="2"/>
  <c r="AK29" i="2"/>
  <c r="AK31" i="2"/>
  <c r="AL26" i="2" s="1"/>
  <c r="R258" i="2"/>
  <c r="AM24" i="2"/>
  <c r="AN27" i="2" l="1"/>
  <c r="AN28" i="2" s="1"/>
  <c r="AN189" i="2"/>
  <c r="AN204" i="2" s="1"/>
  <c r="AO23" i="2"/>
  <c r="AL29" i="2"/>
  <c r="AL31" i="2" s="1"/>
  <c r="AM26" i="2" s="1"/>
  <c r="AJ250" i="2"/>
  <c r="S253" i="2"/>
  <c r="T248" i="2" s="1"/>
  <c r="R262" i="2"/>
  <c r="R281" i="2" s="1"/>
  <c r="R296" i="2" s="1"/>
  <c r="R263" i="2"/>
  <c r="R287" i="2" s="1"/>
  <c r="R302" i="2" s="1"/>
  <c r="AL237" i="2"/>
  <c r="AL233" i="2"/>
  <c r="AL275" i="2" s="1"/>
  <c r="S256" i="2"/>
  <c r="S258" i="2" s="1"/>
  <c r="AN24" i="2"/>
  <c r="AM231" i="2"/>
  <c r="AM232" i="2"/>
  <c r="V238" i="2"/>
  <c r="AK249" i="2"/>
  <c r="U243" i="2"/>
  <c r="U245" i="2"/>
  <c r="R265" i="2" l="1"/>
  <c r="AO24" i="2"/>
  <c r="AM29" i="2"/>
  <c r="AM31" i="2" s="1"/>
  <c r="AN26" i="2" s="1"/>
  <c r="T252" i="2"/>
  <c r="T255" i="2" s="1"/>
  <c r="AL249" i="2"/>
  <c r="V239" i="2"/>
  <c r="AO27" i="2"/>
  <c r="AO28" i="2" s="1"/>
  <c r="AO189" i="2"/>
  <c r="AO204" i="2" s="1"/>
  <c r="AP23" i="2"/>
  <c r="AK250" i="2"/>
  <c r="AN231" i="2"/>
  <c r="AN232" i="2"/>
  <c r="AM233" i="2"/>
  <c r="AM275" i="2" s="1"/>
  <c r="AM237" i="2"/>
  <c r="S262" i="2"/>
  <c r="S281" i="2" s="1"/>
  <c r="S296" i="2" s="1"/>
  <c r="S263" i="2"/>
  <c r="S287" i="2" s="1"/>
  <c r="S302" i="2" s="1"/>
  <c r="AO232" i="2" l="1"/>
  <c r="AO231" i="2"/>
  <c r="T256" i="2"/>
  <c r="T258" i="2" s="1"/>
  <c r="AP27" i="2"/>
  <c r="AP28" i="2" s="1"/>
  <c r="AP189" i="2"/>
  <c r="AP204" i="2" s="1"/>
  <c r="AQ23" i="2"/>
  <c r="S265" i="2"/>
  <c r="AM249" i="2"/>
  <c r="T253" i="2"/>
  <c r="U248" i="2" s="1"/>
  <c r="V251" i="2"/>
  <c r="V242" i="2"/>
  <c r="AL250" i="2"/>
  <c r="AN233" i="2"/>
  <c r="AN275" i="2" s="1"/>
  <c r="AN237" i="2"/>
  <c r="AN29" i="2"/>
  <c r="AN31" i="2"/>
  <c r="AO26" i="2" s="1"/>
  <c r="AP24" i="2"/>
  <c r="V240" i="2"/>
  <c r="W236" i="2" s="1"/>
  <c r="AQ27" i="2" l="1"/>
  <c r="AQ28" i="2" s="1"/>
  <c r="AQ189" i="2"/>
  <c r="AQ204" i="2" s="1"/>
  <c r="AR23" i="2"/>
  <c r="W238" i="2"/>
  <c r="W239" i="2" s="1"/>
  <c r="AO29" i="2"/>
  <c r="AO31" i="2"/>
  <c r="AP26" i="2" s="1"/>
  <c r="AP232" i="2"/>
  <c r="AP231" i="2"/>
  <c r="AN249" i="2"/>
  <c r="T262" i="2"/>
  <c r="T281" i="2" s="1"/>
  <c r="T296" i="2" s="1"/>
  <c r="T263" i="2"/>
  <c r="AO233" i="2"/>
  <c r="AO275" i="2" s="1"/>
  <c r="AO237" i="2"/>
  <c r="U252" i="2"/>
  <c r="U255" i="2" s="1"/>
  <c r="AM250" i="2"/>
  <c r="AQ24" i="2"/>
  <c r="AR24" i="2" s="1"/>
  <c r="V243" i="2"/>
  <c r="V245" i="2"/>
  <c r="T265" i="2" l="1"/>
  <c r="T287" i="2"/>
  <c r="T302" i="2" s="1"/>
  <c r="W251" i="2"/>
  <c r="W242" i="2"/>
  <c r="W240" i="2"/>
  <c r="X236" i="2" s="1"/>
  <c r="U256" i="2"/>
  <c r="U258" i="2" s="1"/>
  <c r="AR27" i="2"/>
  <c r="AR28" i="2" s="1"/>
  <c r="AR189" i="2"/>
  <c r="AR204" i="2" s="1"/>
  <c r="AS23" i="2"/>
  <c r="AN250" i="2"/>
  <c r="AP29" i="2"/>
  <c r="AP31" i="2" s="1"/>
  <c r="AQ26" i="2" s="1"/>
  <c r="U253" i="2"/>
  <c r="V248" i="2" s="1"/>
  <c r="AO249" i="2"/>
  <c r="AQ232" i="2"/>
  <c r="AQ231" i="2"/>
  <c r="AP237" i="2"/>
  <c r="AP233" i="2"/>
  <c r="AP275" i="2" s="1"/>
  <c r="U262" i="2" l="1"/>
  <c r="U281" i="2" s="1"/>
  <c r="U296" i="2" s="1"/>
  <c r="U263" i="2"/>
  <c r="U287" i="2" s="1"/>
  <c r="U302" i="2" s="1"/>
  <c r="AR232" i="2"/>
  <c r="AR231" i="2"/>
  <c r="AS27" i="2"/>
  <c r="AS28" i="2" s="1"/>
  <c r="AS189" i="2"/>
  <c r="AS204" i="2" s="1"/>
  <c r="AT23" i="2"/>
  <c r="V252" i="2"/>
  <c r="V255" i="2" s="1"/>
  <c r="AS24" i="2"/>
  <c r="AQ29" i="2"/>
  <c r="AQ31" i="2" s="1"/>
  <c r="AR26" i="2" s="1"/>
  <c r="AP249" i="2"/>
  <c r="AQ237" i="2"/>
  <c r="AQ233" i="2"/>
  <c r="AQ275" i="2" s="1"/>
  <c r="AO250" i="2"/>
  <c r="X238" i="2"/>
  <c r="X239" i="2" s="1"/>
  <c r="W243" i="2"/>
  <c r="AT24" i="2" l="1"/>
  <c r="X251" i="2"/>
  <c r="X242" i="2"/>
  <c r="AT27" i="2"/>
  <c r="AT28" i="2" s="1"/>
  <c r="AT189" i="2"/>
  <c r="AT204" i="2" s="1"/>
  <c r="AU23" i="2"/>
  <c r="AR29" i="2"/>
  <c r="AR31" i="2"/>
  <c r="AS26" i="2" s="1"/>
  <c r="V256" i="2"/>
  <c r="V258" i="2" s="1"/>
  <c r="AS232" i="2"/>
  <c r="AS231" i="2"/>
  <c r="X240" i="2"/>
  <c r="Y236" i="2" s="1"/>
  <c r="V253" i="2"/>
  <c r="W248" i="2" s="1"/>
  <c r="AR237" i="2"/>
  <c r="AR233" i="2"/>
  <c r="AR275" i="2" s="1"/>
  <c r="AQ249" i="2"/>
  <c r="AP250" i="2"/>
  <c r="W245" i="2"/>
  <c r="U265" i="2"/>
  <c r="V262" i="2" l="1"/>
  <c r="V281" i="2" s="1"/>
  <c r="V296" i="2" s="1"/>
  <c r="V263" i="2"/>
  <c r="AU27" i="2"/>
  <c r="AU28" i="2" s="1"/>
  <c r="AU189" i="2"/>
  <c r="AU204" i="2" s="1"/>
  <c r="AV23" i="2"/>
  <c r="AU24" i="2"/>
  <c r="AQ250" i="2"/>
  <c r="AS29" i="2"/>
  <c r="AS31" i="2" s="1"/>
  <c r="AT26" i="2" s="1"/>
  <c r="AT232" i="2"/>
  <c r="AT231" i="2"/>
  <c r="W252" i="2"/>
  <c r="W255" i="2" s="1"/>
  <c r="Y238" i="2"/>
  <c r="X243" i="2"/>
  <c r="X245" i="2" s="1"/>
  <c r="V287" i="2"/>
  <c r="V302" i="2" s="1"/>
  <c r="AR249" i="2"/>
  <c r="AS237" i="2"/>
  <c r="AS233" i="2"/>
  <c r="AS275" i="2" s="1"/>
  <c r="AT29" i="2" l="1"/>
  <c r="AT31" i="2"/>
  <c r="AU26" i="2" s="1"/>
  <c r="AT237" i="2"/>
  <c r="AT233" i="2"/>
  <c r="AT275" i="2" s="1"/>
  <c r="AV24" i="2"/>
  <c r="AV27" i="2"/>
  <c r="AV28" i="2" s="1"/>
  <c r="AV189" i="2"/>
  <c r="AV204" i="2" s="1"/>
  <c r="AW23" i="2"/>
  <c r="Y239" i="2"/>
  <c r="AS249" i="2"/>
  <c r="AR250" i="2"/>
  <c r="AU231" i="2"/>
  <c r="AU232" i="2"/>
  <c r="W256" i="2"/>
  <c r="W258" i="2" s="1"/>
  <c r="W253" i="2"/>
  <c r="X248" i="2" s="1"/>
  <c r="V265" i="2"/>
  <c r="AV231" i="2" l="1"/>
  <c r="AV232" i="2"/>
  <c r="AS250" i="2"/>
  <c r="Y251" i="2"/>
  <c r="Y242" i="2"/>
  <c r="X252" i="2"/>
  <c r="X255" i="2" s="1"/>
  <c r="W262" i="2"/>
  <c r="W281" i="2" s="1"/>
  <c r="W296" i="2" s="1"/>
  <c r="W263" i="2"/>
  <c r="W287" i="2" s="1"/>
  <c r="W302" i="2" s="1"/>
  <c r="AW27" i="2"/>
  <c r="AW28" i="2" s="1"/>
  <c r="AW189" i="2"/>
  <c r="AW204" i="2" s="1"/>
  <c r="AX23" i="2"/>
  <c r="AU237" i="2"/>
  <c r="AU233" i="2"/>
  <c r="AU275" i="2" s="1"/>
  <c r="AT249" i="2"/>
  <c r="AW24" i="2"/>
  <c r="AU29" i="2"/>
  <c r="AU31" i="2"/>
  <c r="AV26" i="2" s="1"/>
  <c r="Y240" i="2"/>
  <c r="Z236" i="2" s="1"/>
  <c r="AX24" i="2" l="1"/>
  <c r="X253" i="2"/>
  <c r="Y248" i="2" s="1"/>
  <c r="Z238" i="2"/>
  <c r="Z239" i="2" s="1"/>
  <c r="AT250" i="2"/>
  <c r="AU249" i="2"/>
  <c r="AV29" i="2"/>
  <c r="AV31" i="2" s="1"/>
  <c r="AW26" i="2" s="1"/>
  <c r="W265" i="2"/>
  <c r="Y243" i="2"/>
  <c r="Y245" i="2" s="1"/>
  <c r="X256" i="2"/>
  <c r="X258" i="2" s="1"/>
  <c r="AX27" i="2"/>
  <c r="AX28" i="2" s="1"/>
  <c r="AX189" i="2"/>
  <c r="AX204" i="2" s="1"/>
  <c r="AY23" i="2"/>
  <c r="AW231" i="2"/>
  <c r="AW232" i="2"/>
  <c r="AV233" i="2"/>
  <c r="AV275" i="2" s="1"/>
  <c r="AV237" i="2"/>
  <c r="Z251" i="2" l="1"/>
  <c r="Z242" i="2"/>
  <c r="AW29" i="2"/>
  <c r="AW31" i="2"/>
  <c r="AX26" i="2" s="1"/>
  <c r="AY27" i="2"/>
  <c r="AY28" i="2" s="1"/>
  <c r="AY189" i="2"/>
  <c r="AY204" i="2" s="1"/>
  <c r="AZ23" i="2"/>
  <c r="AU250" i="2"/>
  <c r="AY24" i="2"/>
  <c r="AW233" i="2"/>
  <c r="AW275" i="2" s="1"/>
  <c r="AW237" i="2"/>
  <c r="AX232" i="2"/>
  <c r="AX231" i="2"/>
  <c r="X262" i="2"/>
  <c r="X281" i="2" s="1"/>
  <c r="X296" i="2" s="1"/>
  <c r="X263" i="2"/>
  <c r="X287" i="2" s="1"/>
  <c r="X302" i="2" s="1"/>
  <c r="Z240" i="2"/>
  <c r="AA236" i="2" s="1"/>
  <c r="AV249" i="2"/>
  <c r="Y252" i="2"/>
  <c r="Y255" i="2" s="1"/>
  <c r="Y253" i="2" l="1"/>
  <c r="Z248" i="2" s="1"/>
  <c r="AW249" i="2"/>
  <c r="AZ24" i="2"/>
  <c r="Y256" i="2"/>
  <c r="Y258" i="2" s="1"/>
  <c r="AV250" i="2"/>
  <c r="AA238" i="2"/>
  <c r="AA239" i="2" s="1"/>
  <c r="AY231" i="2"/>
  <c r="AY232" i="2"/>
  <c r="AX29" i="2"/>
  <c r="AX31" i="2" s="1"/>
  <c r="AY26" i="2" s="1"/>
  <c r="Z243" i="2"/>
  <c r="Z245" i="2" s="1"/>
  <c r="Z252" i="2" s="1"/>
  <c r="AZ27" i="2"/>
  <c r="AZ28" i="2" s="1"/>
  <c r="AZ189" i="2"/>
  <c r="AZ204" i="2" s="1"/>
  <c r="BA23" i="2"/>
  <c r="X265" i="2"/>
  <c r="AX237" i="2"/>
  <c r="AX233" i="2"/>
  <c r="AX275" i="2" s="1"/>
  <c r="AY29" i="2" l="1"/>
  <c r="AY31" i="2"/>
  <c r="AZ26" i="2" s="1"/>
  <c r="Z255" i="2"/>
  <c r="Z253" i="2"/>
  <c r="AA248" i="2" s="1"/>
  <c r="AA251" i="2"/>
  <c r="AA242" i="2"/>
  <c r="AA240" i="2"/>
  <c r="AB236" i="2" s="1"/>
  <c r="Y263" i="2"/>
  <c r="Y287" i="2" s="1"/>
  <c r="Y302" i="2" s="1"/>
  <c r="Y262" i="2"/>
  <c r="Y281" i="2" s="1"/>
  <c r="Y296" i="2" s="1"/>
  <c r="BA27" i="2"/>
  <c r="BA28" i="2" s="1"/>
  <c r="BA189" i="2"/>
  <c r="BB23" i="2"/>
  <c r="AZ231" i="2"/>
  <c r="AZ232" i="2"/>
  <c r="AY233" i="2"/>
  <c r="AY275" i="2" s="1"/>
  <c r="AY237" i="2"/>
  <c r="BA24" i="2"/>
  <c r="AW250" i="2"/>
  <c r="AX249" i="2"/>
  <c r="BB24" i="2" l="1"/>
  <c r="AB238" i="2"/>
  <c r="Z256" i="2"/>
  <c r="Z258" i="2" s="1"/>
  <c r="AY249" i="2"/>
  <c r="AZ237" i="2"/>
  <c r="AZ233" i="2"/>
  <c r="AZ275" i="2" s="1"/>
  <c r="AZ29" i="2"/>
  <c r="AZ31" i="2"/>
  <c r="BA26" i="2" s="1"/>
  <c r="AX250" i="2"/>
  <c r="Y265" i="2"/>
  <c r="AA243" i="2"/>
  <c r="AA245" i="2" s="1"/>
  <c r="AA252" i="2" s="1"/>
  <c r="AA255" i="2" s="1"/>
  <c r="BB189" i="2"/>
  <c r="BB204" i="2" s="1"/>
  <c r="BB27" i="2"/>
  <c r="BB28" i="2" s="1"/>
  <c r="BC23" i="2"/>
  <c r="BC24" i="2" s="1"/>
  <c r="AA256" i="2" l="1"/>
  <c r="AA258" i="2" s="1"/>
  <c r="AY250" i="2"/>
  <c r="AA253" i="2"/>
  <c r="AB248" i="2" s="1"/>
  <c r="Z263" i="2"/>
  <c r="Z262" i="2"/>
  <c r="Z281" i="2" s="1"/>
  <c r="Z296" i="2" s="1"/>
  <c r="Z287" i="2"/>
  <c r="Z302" i="2" s="1"/>
  <c r="AB239" i="2"/>
  <c r="BB232" i="2"/>
  <c r="BB231" i="2"/>
  <c r="BA29" i="2"/>
  <c r="BA30" i="2"/>
  <c r="BA194" i="2" s="1"/>
  <c r="BA204" i="2" s="1"/>
  <c r="BC27" i="2"/>
  <c r="BC28" i="2" s="1"/>
  <c r="BC189" i="2"/>
  <c r="BC204" i="2" s="1"/>
  <c r="BD23" i="2"/>
  <c r="AZ249" i="2"/>
  <c r="BD189" i="2" l="1"/>
  <c r="BD204" i="2" s="1"/>
  <c r="BD27" i="2"/>
  <c r="BD28" i="2" s="1"/>
  <c r="BE23" i="2"/>
  <c r="AB251" i="2"/>
  <c r="AB242" i="2"/>
  <c r="AZ250" i="2"/>
  <c r="Z265" i="2"/>
  <c r="BA232" i="2"/>
  <c r="BA231" i="2"/>
  <c r="BD24" i="2"/>
  <c r="BE24" i="2" s="1"/>
  <c r="BB237" i="2"/>
  <c r="BB233" i="2"/>
  <c r="BB275" i="2" s="1"/>
  <c r="BC232" i="2"/>
  <c r="BC231" i="2"/>
  <c r="BA31" i="2"/>
  <c r="BB26" i="2" s="1"/>
  <c r="AA262" i="2"/>
  <c r="AA281" i="2" s="1"/>
  <c r="AA296" i="2" s="1"/>
  <c r="AA263" i="2"/>
  <c r="AA287" i="2" s="1"/>
  <c r="AA302" i="2" s="1"/>
  <c r="AB240" i="2"/>
  <c r="AC236" i="2" s="1"/>
  <c r="AA265" i="2" l="1"/>
  <c r="BB249" i="2"/>
  <c r="AC238" i="2"/>
  <c r="BE27" i="2"/>
  <c r="BE28" i="2" s="1"/>
  <c r="BE189" i="2"/>
  <c r="BE204" i="2" s="1"/>
  <c r="BF23" i="2"/>
  <c r="BF24" i="2" s="1"/>
  <c r="BA233" i="2"/>
  <c r="BA275" i="2" s="1"/>
  <c r="BA237" i="2"/>
  <c r="AB243" i="2"/>
  <c r="AB245" i="2" s="1"/>
  <c r="AB252" i="2" s="1"/>
  <c r="BB29" i="2"/>
  <c r="BB31" i="2" s="1"/>
  <c r="BC26" i="2" s="1"/>
  <c r="BC237" i="2"/>
  <c r="BC233" i="2"/>
  <c r="BC275" i="2" s="1"/>
  <c r="BD232" i="2"/>
  <c r="BD231" i="2"/>
  <c r="AB255" i="2" l="1"/>
  <c r="AB253" i="2"/>
  <c r="AC248" i="2" s="1"/>
  <c r="BF27" i="2"/>
  <c r="BF28" i="2" s="1"/>
  <c r="BF189" i="2"/>
  <c r="BF204" i="2" s="1"/>
  <c r="BG23" i="2"/>
  <c r="BE232" i="2"/>
  <c r="BE231" i="2"/>
  <c r="BC249" i="2"/>
  <c r="BD237" i="2"/>
  <c r="BD233" i="2"/>
  <c r="BD275" i="2" s="1"/>
  <c r="BC29" i="2"/>
  <c r="BC31" i="2" s="1"/>
  <c r="BD26" i="2" s="1"/>
  <c r="BB250" i="2"/>
  <c r="BA249" i="2"/>
  <c r="AC239" i="2"/>
  <c r="BD29" i="2" l="1"/>
  <c r="BD31" i="2"/>
  <c r="BE26" i="2" s="1"/>
  <c r="BD249" i="2"/>
  <c r="AC251" i="2"/>
  <c r="AC242" i="2"/>
  <c r="BA250" i="2"/>
  <c r="BG27" i="2"/>
  <c r="BG28" i="2" s="1"/>
  <c r="BG189" i="2"/>
  <c r="BG204" i="2" s="1"/>
  <c r="BH23" i="2"/>
  <c r="BC250" i="2"/>
  <c r="BE237" i="2"/>
  <c r="BE233" i="2"/>
  <c r="BE275" i="2" s="1"/>
  <c r="AC240" i="2"/>
  <c r="AD236" i="2" s="1"/>
  <c r="BF232" i="2"/>
  <c r="BF231" i="2"/>
  <c r="AB256" i="2"/>
  <c r="AB258" i="2" s="1"/>
  <c r="BG24" i="2"/>
  <c r="BH27" i="2" l="1"/>
  <c r="BH28" i="2" s="1"/>
  <c r="BH189" i="2"/>
  <c r="BH204" i="2" s="1"/>
  <c r="BI23" i="2"/>
  <c r="BF237" i="2"/>
  <c r="BF233" i="2"/>
  <c r="BF275" i="2" s="1"/>
  <c r="BG231" i="2"/>
  <c r="BG232" i="2"/>
  <c r="BH24" i="2"/>
  <c r="AB262" i="2"/>
  <c r="AB281" i="2" s="1"/>
  <c r="AB296" i="2" s="1"/>
  <c r="AB263" i="2"/>
  <c r="AD238" i="2"/>
  <c r="BE29" i="2"/>
  <c r="BE31" i="2" s="1"/>
  <c r="BF26" i="2" s="1"/>
  <c r="AC243" i="2"/>
  <c r="BD250" i="2"/>
  <c r="BE249" i="2"/>
  <c r="AB265" i="2" l="1"/>
  <c r="BI24" i="2"/>
  <c r="AB287" i="2"/>
  <c r="AB302" i="2" s="1"/>
  <c r="BF29" i="2"/>
  <c r="BF31" i="2"/>
  <c r="BG26" i="2" s="1"/>
  <c r="BG237" i="2"/>
  <c r="BG233" i="2"/>
  <c r="BG275" i="2" s="1"/>
  <c r="BI27" i="2"/>
  <c r="BI28" i="2" s="1"/>
  <c r="BI189" i="2"/>
  <c r="BI204" i="2" s="1"/>
  <c r="BJ23" i="2"/>
  <c r="BJ24" i="2" s="1"/>
  <c r="BE250" i="2"/>
  <c r="AD239" i="2"/>
  <c r="BH231" i="2"/>
  <c r="BH232" i="2"/>
  <c r="AC245" i="2"/>
  <c r="AC252" i="2" s="1"/>
  <c r="BF249" i="2"/>
  <c r="BI231" i="2" l="1"/>
  <c r="BI232" i="2"/>
  <c r="BJ27" i="2"/>
  <c r="BJ28" i="2" s="1"/>
  <c r="BJ189" i="2"/>
  <c r="BJ204" i="2" s="1"/>
  <c r="BK23" i="2"/>
  <c r="BF250" i="2"/>
  <c r="BH233" i="2"/>
  <c r="BH275" i="2" s="1"/>
  <c r="BH237" i="2"/>
  <c r="AC255" i="2"/>
  <c r="AC253" i="2"/>
  <c r="AD248" i="2" s="1"/>
  <c r="BG249" i="2"/>
  <c r="BG29" i="2"/>
  <c r="BG31" i="2" s="1"/>
  <c r="BH26" i="2" s="1"/>
  <c r="AD251" i="2"/>
  <c r="AD242" i="2"/>
  <c r="AD240" i="2"/>
  <c r="AE236" i="2" s="1"/>
  <c r="AE238" i="2" l="1"/>
  <c r="AD243" i="2"/>
  <c r="BJ232" i="2"/>
  <c r="BJ231" i="2"/>
  <c r="AC256" i="2"/>
  <c r="BK27" i="2"/>
  <c r="BK28" i="2" s="1"/>
  <c r="BK189" i="2"/>
  <c r="BK204" i="2" s="1"/>
  <c r="BL23" i="2"/>
  <c r="BH29" i="2"/>
  <c r="BH31" i="2"/>
  <c r="BI26" i="2" s="1"/>
  <c r="BI233" i="2"/>
  <c r="BI275" i="2" s="1"/>
  <c r="BI237" i="2"/>
  <c r="BH249" i="2"/>
  <c r="BG250" i="2"/>
  <c r="BK24" i="2"/>
  <c r="BJ237" i="2" l="1"/>
  <c r="BJ233" i="2"/>
  <c r="BJ275" i="2" s="1"/>
  <c r="BL27" i="2"/>
  <c r="BL28" i="2" s="1"/>
  <c r="BL189" i="2"/>
  <c r="BL204" i="2" s="1"/>
  <c r="BM23" i="2"/>
  <c r="AE239" i="2"/>
  <c r="BK232" i="2"/>
  <c r="BK231" i="2"/>
  <c r="AC258" i="2"/>
  <c r="BH250" i="2"/>
  <c r="BI249" i="2"/>
  <c r="BI29" i="2"/>
  <c r="BI31" i="2" s="1"/>
  <c r="BJ26" i="2" s="1"/>
  <c r="AD245" i="2"/>
  <c r="AD252" i="2" s="1"/>
  <c r="BL24" i="2"/>
  <c r="AE251" i="2" l="1"/>
  <c r="AE242" i="2"/>
  <c r="BM24" i="2"/>
  <c r="BM27" i="2"/>
  <c r="BM28" i="2" s="1"/>
  <c r="BM189" i="2"/>
  <c r="BM204" i="2" s="1"/>
  <c r="BN23" i="2"/>
  <c r="BJ29" i="2"/>
  <c r="BJ31" i="2" s="1"/>
  <c r="BK26" i="2" s="1"/>
  <c r="AC262" i="2"/>
  <c r="AC281" i="2" s="1"/>
  <c r="AC296" i="2" s="1"/>
  <c r="AC263" i="2"/>
  <c r="AC287" i="2" s="1"/>
  <c r="AC302" i="2" s="1"/>
  <c r="AD255" i="2"/>
  <c r="AD253" i="2"/>
  <c r="AE248" i="2" s="1"/>
  <c r="BL231" i="2"/>
  <c r="BL232" i="2"/>
  <c r="BI250" i="2"/>
  <c r="BK237" i="2"/>
  <c r="BK233" i="2"/>
  <c r="BK275" i="2" s="1"/>
  <c r="BJ249" i="2"/>
  <c r="AE240" i="2"/>
  <c r="AF236" i="2" s="1"/>
  <c r="AC265" i="2" l="1"/>
  <c r="BN189" i="2"/>
  <c r="BN204" i="2" s="1"/>
  <c r="BN27" i="2"/>
  <c r="BN28" i="2" s="1"/>
  <c r="BO23" i="2"/>
  <c r="AD256" i="2"/>
  <c r="AD258" i="2"/>
  <c r="BJ250" i="2"/>
  <c r="AE243" i="2"/>
  <c r="AF238" i="2"/>
  <c r="AF239" i="2" s="1"/>
  <c r="BK29" i="2"/>
  <c r="BK31" i="2"/>
  <c r="BL26" i="2" s="1"/>
  <c r="BK249" i="2"/>
  <c r="BM231" i="2"/>
  <c r="BM232" i="2"/>
  <c r="BN24" i="2"/>
  <c r="BL237" i="2"/>
  <c r="BL233" i="2"/>
  <c r="BL275" i="2" s="1"/>
  <c r="BO24" i="2" l="1"/>
  <c r="AF251" i="2"/>
  <c r="AF242" i="2"/>
  <c r="BM233" i="2"/>
  <c r="BM275" i="2" s="1"/>
  <c r="BM237" i="2"/>
  <c r="BL29" i="2"/>
  <c r="BL31" i="2"/>
  <c r="BM26" i="2" s="1"/>
  <c r="BL249" i="2"/>
  <c r="AE245" i="2"/>
  <c r="AE252" i="2" s="1"/>
  <c r="BK250" i="2"/>
  <c r="AD263" i="2"/>
  <c r="AD287" i="2" s="1"/>
  <c r="AD302" i="2" s="1"/>
  <c r="AD262" i="2"/>
  <c r="AD281" i="2" s="1"/>
  <c r="AD296" i="2" s="1"/>
  <c r="BO27" i="2"/>
  <c r="BO28" i="2" s="1"/>
  <c r="BO189" i="2"/>
  <c r="BO204" i="2" s="1"/>
  <c r="BP23" i="2"/>
  <c r="AF240" i="2"/>
  <c r="AG236" i="2" s="1"/>
  <c r="BN231" i="2"/>
  <c r="BN232" i="2"/>
  <c r="BP189" i="2" l="1"/>
  <c r="BP204" i="2" s="1"/>
  <c r="BP27" i="2"/>
  <c r="BP28" i="2" s="1"/>
  <c r="BQ23" i="2"/>
  <c r="BN237" i="2"/>
  <c r="BN233" i="2"/>
  <c r="BN275" i="2" s="1"/>
  <c r="AG238" i="2"/>
  <c r="AG239" i="2" s="1"/>
  <c r="BO231" i="2"/>
  <c r="BO232" i="2"/>
  <c r="BP24" i="2"/>
  <c r="BQ24" i="2" s="1"/>
  <c r="AF243" i="2"/>
  <c r="AE255" i="2"/>
  <c r="AE253" i="2"/>
  <c r="AF248" i="2" s="1"/>
  <c r="BL250" i="2"/>
  <c r="BM29" i="2"/>
  <c r="BM31" i="2"/>
  <c r="BN26" i="2" s="1"/>
  <c r="BM249" i="2"/>
  <c r="AD265" i="2"/>
  <c r="AG251" i="2" l="1"/>
  <c r="AG242" i="2"/>
  <c r="BO237" i="2"/>
  <c r="BO233" i="2"/>
  <c r="BO275" i="2" s="1"/>
  <c r="BM250" i="2"/>
  <c r="AG240" i="2"/>
  <c r="AH236" i="2" s="1"/>
  <c r="AE256" i="2"/>
  <c r="AE258" i="2" s="1"/>
  <c r="BN29" i="2"/>
  <c r="BN31" i="2" s="1"/>
  <c r="BO26" i="2" s="1"/>
  <c r="BN249" i="2"/>
  <c r="BQ27" i="2"/>
  <c r="BQ28" i="2" s="1"/>
  <c r="BQ189" i="2"/>
  <c r="BQ204" i="2" s="1"/>
  <c r="BR23" i="2"/>
  <c r="AF245" i="2"/>
  <c r="AF252" i="2" s="1"/>
  <c r="BP231" i="2"/>
  <c r="BP232" i="2"/>
  <c r="AF255" i="2" l="1"/>
  <c r="AF253" i="2"/>
  <c r="AG248" i="2" s="1"/>
  <c r="AE263" i="2"/>
  <c r="AE287" i="2" s="1"/>
  <c r="AE302" i="2" s="1"/>
  <c r="AE262" i="2"/>
  <c r="AE281" i="2" s="1"/>
  <c r="AE296" i="2" s="1"/>
  <c r="AE265" i="2"/>
  <c r="BR27" i="2"/>
  <c r="BR28" i="2" s="1"/>
  <c r="BR189" i="2"/>
  <c r="BR204" i="2" s="1"/>
  <c r="BS23" i="2"/>
  <c r="BP237" i="2"/>
  <c r="BP233" i="2"/>
  <c r="BP275" i="2" s="1"/>
  <c r="AG243" i="2"/>
  <c r="AG245" i="2" s="1"/>
  <c r="AH238" i="2"/>
  <c r="AH239" i="2" s="1"/>
  <c r="BQ231" i="2"/>
  <c r="BQ232" i="2"/>
  <c r="BN250" i="2"/>
  <c r="BO249" i="2"/>
  <c r="BO29" i="2"/>
  <c r="BO31" i="2" s="1"/>
  <c r="BP26" i="2" s="1"/>
  <c r="BR24" i="2"/>
  <c r="AH251" i="2" l="1"/>
  <c r="AH242" i="2"/>
  <c r="BS27" i="2"/>
  <c r="BS28" i="2" s="1"/>
  <c r="BS189" i="2"/>
  <c r="BS204" i="2" s="1"/>
  <c r="BT23" i="2"/>
  <c r="BR231" i="2"/>
  <c r="BR232" i="2"/>
  <c r="BP29" i="2"/>
  <c r="BP31" i="2"/>
  <c r="BQ26" i="2" s="1"/>
  <c r="BO250" i="2"/>
  <c r="AG252" i="2"/>
  <c r="AG255" i="2" s="1"/>
  <c r="BP249" i="2"/>
  <c r="BQ237" i="2"/>
  <c r="BQ233" i="2"/>
  <c r="BQ275" i="2" s="1"/>
  <c r="AH240" i="2"/>
  <c r="AI236" i="2" s="1"/>
  <c r="BS24" i="2"/>
  <c r="AF256" i="2"/>
  <c r="AF258" i="2" s="1"/>
  <c r="BT24" i="2" l="1"/>
  <c r="BQ29" i="2"/>
  <c r="BQ31" i="2" s="1"/>
  <c r="BR26" i="2" s="1"/>
  <c r="AI238" i="2"/>
  <c r="BT27" i="2"/>
  <c r="BT28" i="2" s="1"/>
  <c r="BT189" i="2"/>
  <c r="BT204" i="2" s="1"/>
  <c r="BU23" i="2"/>
  <c r="BQ249" i="2"/>
  <c r="BR237" i="2"/>
  <c r="BR233" i="2"/>
  <c r="BR275" i="2" s="1"/>
  <c r="BS231" i="2"/>
  <c r="BS232" i="2"/>
  <c r="BP250" i="2"/>
  <c r="AH243" i="2"/>
  <c r="AH245" i="2" s="1"/>
  <c r="AF262" i="2"/>
  <c r="AF281" i="2" s="1"/>
  <c r="AF296" i="2" s="1"/>
  <c r="AF263" i="2"/>
  <c r="AF287" i="2" s="1"/>
  <c r="AF302" i="2" s="1"/>
  <c r="AG256" i="2"/>
  <c r="AG258" i="2" s="1"/>
  <c r="AG253" i="2"/>
  <c r="AH248" i="2" s="1"/>
  <c r="AF265" i="2" l="1"/>
  <c r="BR29" i="2"/>
  <c r="BR31" i="2"/>
  <c r="BS26" i="2" s="1"/>
  <c r="BQ250" i="2"/>
  <c r="BT231" i="2"/>
  <c r="BT232" i="2"/>
  <c r="BU27" i="2"/>
  <c r="BU28" i="2" s="1"/>
  <c r="BU189" i="2"/>
  <c r="BU204" i="2" s="1"/>
  <c r="BV23" i="2"/>
  <c r="AI239" i="2"/>
  <c r="AH252" i="2"/>
  <c r="AH255" i="2" s="1"/>
  <c r="BS237" i="2"/>
  <c r="BS233" i="2"/>
  <c r="BS275" i="2" s="1"/>
  <c r="BU24" i="2"/>
  <c r="AG262" i="2"/>
  <c r="AG281" i="2" s="1"/>
  <c r="AG296" i="2" s="1"/>
  <c r="AG263" i="2"/>
  <c r="AG265" i="2" s="1"/>
  <c r="BR249" i="2"/>
  <c r="AG287" i="2" l="1"/>
  <c r="AG302" i="2" s="1"/>
  <c r="AH253" i="2"/>
  <c r="AI248" i="2" s="1"/>
  <c r="BV27" i="2"/>
  <c r="BV28" i="2" s="1"/>
  <c r="BV189" i="2"/>
  <c r="BV204" i="2" s="1"/>
  <c r="BW23" i="2"/>
  <c r="AI251" i="2"/>
  <c r="AI242" i="2"/>
  <c r="BU231" i="2"/>
  <c r="BU232" i="2"/>
  <c r="BS29" i="2"/>
  <c r="BS31" i="2"/>
  <c r="BT26" i="2" s="1"/>
  <c r="BR250" i="2"/>
  <c r="BV24" i="2"/>
  <c r="BW24" i="2" s="1"/>
  <c r="BS249" i="2"/>
  <c r="BT233" i="2"/>
  <c r="BT275" i="2" s="1"/>
  <c r="BT237" i="2"/>
  <c r="AH256" i="2"/>
  <c r="AH258" i="2" s="1"/>
  <c r="AI240" i="2"/>
  <c r="AJ236" i="2" s="1"/>
  <c r="AH262" i="2" l="1"/>
  <c r="AH281" i="2" s="1"/>
  <c r="AH296" i="2" s="1"/>
  <c r="AH263" i="2"/>
  <c r="BW27" i="2"/>
  <c r="BW28" i="2" s="1"/>
  <c r="BW189" i="2"/>
  <c r="BW204" i="2" s="1"/>
  <c r="BX23" i="2"/>
  <c r="BX24" i="2" s="1"/>
  <c r="BT29" i="2"/>
  <c r="BT31" i="2" s="1"/>
  <c r="BU26" i="2" s="1"/>
  <c r="BU233" i="2"/>
  <c r="BU275" i="2" s="1"/>
  <c r="BU237" i="2"/>
  <c r="BV232" i="2"/>
  <c r="BV231" i="2"/>
  <c r="AJ238" i="2"/>
  <c r="AJ239" i="2" s="1"/>
  <c r="BT249" i="2"/>
  <c r="AI243" i="2"/>
  <c r="AI245" i="2" s="1"/>
  <c r="AI252" i="2" s="1"/>
  <c r="BS250" i="2"/>
  <c r="AH265" i="2" l="1"/>
  <c r="AH287" i="2"/>
  <c r="AH302" i="2" s="1"/>
  <c r="AJ251" i="2"/>
  <c r="AJ242" i="2"/>
  <c r="AI255" i="2"/>
  <c r="AI253" i="2"/>
  <c r="AJ248" i="2" s="1"/>
  <c r="BU29" i="2"/>
  <c r="BU31" i="2" s="1"/>
  <c r="BV26" i="2" s="1"/>
  <c r="BU249" i="2"/>
  <c r="BW231" i="2"/>
  <c r="BW232" i="2"/>
  <c r="AJ240" i="2"/>
  <c r="AK236" i="2" s="1"/>
  <c r="BV237" i="2"/>
  <c r="BV233" i="2"/>
  <c r="BV275" i="2" s="1"/>
  <c r="BX27" i="2"/>
  <c r="BX28" i="2" s="1"/>
  <c r="BX189" i="2"/>
  <c r="BX204" i="2" s="1"/>
  <c r="BY23" i="2"/>
  <c r="BT250" i="2"/>
  <c r="BY27" i="2" l="1"/>
  <c r="BY28" i="2" s="1"/>
  <c r="BY189" i="2"/>
  <c r="BY204" i="2" s="1"/>
  <c r="BZ23" i="2"/>
  <c r="BV29" i="2"/>
  <c r="BV31" i="2"/>
  <c r="BW26" i="2" s="1"/>
  <c r="BW233" i="2"/>
  <c r="BW275" i="2" s="1"/>
  <c r="BW237" i="2"/>
  <c r="BU250" i="2"/>
  <c r="BX231" i="2"/>
  <c r="BX232" i="2"/>
  <c r="AI256" i="2"/>
  <c r="AI258" i="2" s="1"/>
  <c r="AJ243" i="2"/>
  <c r="AJ245" i="2" s="1"/>
  <c r="AJ252" i="2" s="1"/>
  <c r="BV249" i="2"/>
  <c r="AK238" i="2"/>
  <c r="AK239" i="2" s="1"/>
  <c r="BY24" i="2"/>
  <c r="AK251" i="2" l="1"/>
  <c r="AK242" i="2"/>
  <c r="AJ255" i="2"/>
  <c r="AJ253" i="2"/>
  <c r="AK248" i="2" s="1"/>
  <c r="BW249" i="2"/>
  <c r="BZ189" i="2"/>
  <c r="BZ27" i="2"/>
  <c r="BZ28" i="2" s="1"/>
  <c r="CA23" i="2"/>
  <c r="BX233" i="2"/>
  <c r="BX275" i="2" s="1"/>
  <c r="BX237" i="2"/>
  <c r="AI262" i="2"/>
  <c r="AI281" i="2" s="1"/>
  <c r="AI296" i="2" s="1"/>
  <c r="AI263" i="2"/>
  <c r="AI287" i="2" s="1"/>
  <c r="AI302" i="2" s="1"/>
  <c r="BY231" i="2"/>
  <c r="BY232" i="2"/>
  <c r="AK240" i="2"/>
  <c r="AL236" i="2" s="1"/>
  <c r="BV250" i="2"/>
  <c r="BW29" i="2"/>
  <c r="BW31" i="2"/>
  <c r="BX26" i="2" s="1"/>
  <c r="BZ24" i="2"/>
  <c r="CA24" i="2" l="1"/>
  <c r="BX249" i="2"/>
  <c r="BX29" i="2"/>
  <c r="BX31" i="2"/>
  <c r="BY26" i="2" s="1"/>
  <c r="AL238" i="2"/>
  <c r="BZ203" i="2"/>
  <c r="BZ219" i="2" s="1"/>
  <c r="BZ220" i="2" s="1"/>
  <c r="L168" i="1" s="1"/>
  <c r="BW250" i="2"/>
  <c r="BY233" i="2"/>
  <c r="BY275" i="2" s="1"/>
  <c r="BY237" i="2"/>
  <c r="AK243" i="2"/>
  <c r="AK245" i="2" s="1"/>
  <c r="AK252" i="2" s="1"/>
  <c r="CA27" i="2"/>
  <c r="CA28" i="2" s="1"/>
  <c r="CA189" i="2"/>
  <c r="CA204" i="2" s="1"/>
  <c r="CB23" i="2"/>
  <c r="AJ256" i="2"/>
  <c r="AI265" i="2"/>
  <c r="AK255" i="2" l="1"/>
  <c r="AK253" i="2"/>
  <c r="AL248" i="2" s="1"/>
  <c r="CB27" i="2"/>
  <c r="CB28" i="2" s="1"/>
  <c r="CB189" i="2"/>
  <c r="CB204" i="2" s="1"/>
  <c r="CC23" i="2"/>
  <c r="BZ204" i="2"/>
  <c r="CA231" i="2"/>
  <c r="CA232" i="2"/>
  <c r="E222" i="2"/>
  <c r="E169" i="1" s="1"/>
  <c r="E224" i="2"/>
  <c r="E170" i="1" s="1"/>
  <c r="E225" i="2"/>
  <c r="E171" i="1" s="1"/>
  <c r="CB24" i="2"/>
  <c r="AL239" i="2"/>
  <c r="AJ258" i="2"/>
  <c r="BY29" i="2"/>
  <c r="BY31" i="2"/>
  <c r="BZ26" i="2" s="1"/>
  <c r="BY249" i="2"/>
  <c r="BX250" i="2"/>
  <c r="C243" i="1" l="1"/>
  <c r="C219" i="1"/>
  <c r="BZ231" i="2"/>
  <c r="BZ232" i="2"/>
  <c r="CA237" i="2"/>
  <c r="CA233" i="2"/>
  <c r="CA275" i="2" s="1"/>
  <c r="BZ29" i="2"/>
  <c r="BZ31" i="2"/>
  <c r="CA26" i="2" s="1"/>
  <c r="CB231" i="2"/>
  <c r="CB232" i="2"/>
  <c r="E226" i="2"/>
  <c r="E172" i="1" s="1"/>
  <c r="CC27" i="2"/>
  <c r="CC28" i="2" s="1"/>
  <c r="CC189" i="2"/>
  <c r="CC204" i="2" s="1"/>
  <c r="CD23" i="2"/>
  <c r="AJ262" i="2"/>
  <c r="AJ281" i="2" s="1"/>
  <c r="AJ296" i="2" s="1"/>
  <c r="AJ263" i="2"/>
  <c r="AJ287" i="2" s="1"/>
  <c r="AJ302" i="2" s="1"/>
  <c r="AL251" i="2"/>
  <c r="AL242" i="2"/>
  <c r="BY250" i="2"/>
  <c r="AL240" i="2"/>
  <c r="AM236" i="2" s="1"/>
  <c r="CC24" i="2"/>
  <c r="AK256" i="2"/>
  <c r="AK258" i="2" s="1"/>
  <c r="CD27" i="2" l="1"/>
  <c r="CD28" i="2" s="1"/>
  <c r="CD189" i="2"/>
  <c r="CD204" i="2" s="1"/>
  <c r="CE23" i="2"/>
  <c r="CC231" i="2"/>
  <c r="CC232" i="2"/>
  <c r="CA29" i="2"/>
  <c r="CA31" i="2" s="1"/>
  <c r="CB26" i="2" s="1"/>
  <c r="CA249" i="2"/>
  <c r="CD24" i="2"/>
  <c r="CE24" i="2" s="1"/>
  <c r="AL243" i="2"/>
  <c r="AL245" i="2" s="1"/>
  <c r="AL252" i="2" s="1"/>
  <c r="AK262" i="2"/>
  <c r="AK281" i="2" s="1"/>
  <c r="AK296" i="2" s="1"/>
  <c r="AK263" i="2"/>
  <c r="AK287" i="2" s="1"/>
  <c r="AK302" i="2" s="1"/>
  <c r="AM238" i="2"/>
  <c r="AM239" i="2" s="1"/>
  <c r="AM240" i="2" s="1"/>
  <c r="AN236" i="2" s="1"/>
  <c r="CB237" i="2"/>
  <c r="CB233" i="2"/>
  <c r="CB275" i="2" s="1"/>
  <c r="AJ265" i="2"/>
  <c r="BZ237" i="2"/>
  <c r="BZ233" i="2"/>
  <c r="BZ275" i="2" s="1"/>
  <c r="CB29" i="2" l="1"/>
  <c r="CB31" i="2"/>
  <c r="CC26" i="2" s="1"/>
  <c r="AN238" i="2"/>
  <c r="BZ249" i="2"/>
  <c r="AL255" i="2"/>
  <c r="AL253" i="2"/>
  <c r="AM248" i="2" s="1"/>
  <c r="AM251" i="2"/>
  <c r="AM242" i="2"/>
  <c r="CE27" i="2"/>
  <c r="CE28" i="2" s="1"/>
  <c r="CE189" i="2"/>
  <c r="CE204" i="2" s="1"/>
  <c r="CF23" i="2"/>
  <c r="CF24" i="2" s="1"/>
  <c r="CA250" i="2"/>
  <c r="CC237" i="2"/>
  <c r="CC233" i="2"/>
  <c r="CC275" i="2" s="1"/>
  <c r="AK265" i="2"/>
  <c r="CD231" i="2"/>
  <c r="CD232" i="2"/>
  <c r="CB249" i="2"/>
  <c r="CD237" i="2" l="1"/>
  <c r="CD233" i="2"/>
  <c r="CD275" i="2" s="1"/>
  <c r="AL256" i="2"/>
  <c r="CC249" i="2"/>
  <c r="AN239" i="2"/>
  <c r="AM243" i="2"/>
  <c r="AM245" i="2"/>
  <c r="AM252" i="2" s="1"/>
  <c r="CE231" i="2"/>
  <c r="CE232" i="2"/>
  <c r="CC29" i="2"/>
  <c r="CC31" i="2" s="1"/>
  <c r="CD26" i="2" s="1"/>
  <c r="BZ250" i="2"/>
  <c r="CF27" i="2"/>
  <c r="CF28" i="2" s="1"/>
  <c r="CF189" i="2"/>
  <c r="CF204" i="2" s="1"/>
  <c r="CG23" i="2"/>
  <c r="CG24" i="2" s="1"/>
  <c r="CB250" i="2"/>
  <c r="CD29" i="2" l="1"/>
  <c r="CD31" i="2" s="1"/>
  <c r="CE26" i="2" s="1"/>
  <c r="AM255" i="2"/>
  <c r="AM253" i="2"/>
  <c r="AN248" i="2" s="1"/>
  <c r="CF231" i="2"/>
  <c r="CF232" i="2"/>
  <c r="AL258" i="2"/>
  <c r="CD249" i="2"/>
  <c r="CG27" i="2"/>
  <c r="CG28" i="2" s="1"/>
  <c r="CG189" i="2"/>
  <c r="CG204" i="2" s="1"/>
  <c r="CH23" i="2"/>
  <c r="AN251" i="2"/>
  <c r="AN242" i="2"/>
  <c r="CC250" i="2"/>
  <c r="CE237" i="2"/>
  <c r="CE233" i="2"/>
  <c r="CE275" i="2" s="1"/>
  <c r="AN240" i="2"/>
  <c r="AO236" i="2" s="1"/>
  <c r="CE29" i="2" l="1"/>
  <c r="CE31" i="2"/>
  <c r="CF26" i="2" s="1"/>
  <c r="AO238" i="2"/>
  <c r="CF233" i="2"/>
  <c r="CF275" i="2" s="1"/>
  <c r="CF237" i="2"/>
  <c r="AL262" i="2"/>
  <c r="AL281" i="2" s="1"/>
  <c r="AL296" i="2" s="1"/>
  <c r="AL263" i="2"/>
  <c r="AL287" i="2" s="1"/>
  <c r="AL302" i="2" s="1"/>
  <c r="CH27" i="2"/>
  <c r="CH28" i="2" s="1"/>
  <c r="CH189" i="2"/>
  <c r="CH204" i="2" s="1"/>
  <c r="CI23" i="2"/>
  <c r="CD250" i="2"/>
  <c r="CE249" i="2"/>
  <c r="AN243" i="2"/>
  <c r="AN245" i="2" s="1"/>
  <c r="AN252" i="2" s="1"/>
  <c r="CH24" i="2"/>
  <c r="AM256" i="2"/>
  <c r="CG231" i="2"/>
  <c r="CG232" i="2"/>
  <c r="CI24" i="2" l="1"/>
  <c r="AN255" i="2"/>
  <c r="AN253" i="2"/>
  <c r="AO248" i="2" s="1"/>
  <c r="AL265" i="2"/>
  <c r="CH231" i="2"/>
  <c r="CH232" i="2"/>
  <c r="AO239" i="2"/>
  <c r="CF249" i="2"/>
  <c r="CG233" i="2"/>
  <c r="CG275" i="2" s="1"/>
  <c r="CG237" i="2"/>
  <c r="CF29" i="2"/>
  <c r="CF31" i="2"/>
  <c r="CG26" i="2" s="1"/>
  <c r="CE250" i="2"/>
  <c r="AM258" i="2"/>
  <c r="CI27" i="2"/>
  <c r="CI28" i="2" s="1"/>
  <c r="CI189" i="2"/>
  <c r="CI204" i="2" s="1"/>
  <c r="CJ23" i="2"/>
  <c r="CJ24" i="2" s="1"/>
  <c r="AO251" i="2" l="1"/>
  <c r="AO242" i="2"/>
  <c r="CI231" i="2"/>
  <c r="CI232" i="2"/>
  <c r="AM262" i="2"/>
  <c r="AM281" i="2" s="1"/>
  <c r="AM296" i="2" s="1"/>
  <c r="AM263" i="2"/>
  <c r="AM287" i="2" s="1"/>
  <c r="AM302" i="2" s="1"/>
  <c r="CH237" i="2"/>
  <c r="CH233" i="2"/>
  <c r="CH275" i="2" s="1"/>
  <c r="CG29" i="2"/>
  <c r="CG31" i="2" s="1"/>
  <c r="CH26" i="2" s="1"/>
  <c r="AN256" i="2"/>
  <c r="AN258" i="2" s="1"/>
  <c r="CJ27" i="2"/>
  <c r="CJ28" i="2" s="1"/>
  <c r="CJ189" i="2"/>
  <c r="CJ204" i="2" s="1"/>
  <c r="CK23" i="2"/>
  <c r="CF250" i="2"/>
  <c r="CG249" i="2"/>
  <c r="AO240" i="2"/>
  <c r="AP236" i="2" s="1"/>
  <c r="CK27" i="2" l="1"/>
  <c r="CK28" i="2" s="1"/>
  <c r="CK189" i="2"/>
  <c r="CK204" i="2" s="1"/>
  <c r="CL23" i="2"/>
  <c r="CJ231" i="2"/>
  <c r="CJ232" i="2"/>
  <c r="CI237" i="2"/>
  <c r="CI233" i="2"/>
  <c r="CI275" i="2" s="1"/>
  <c r="CG250" i="2"/>
  <c r="CH249" i="2"/>
  <c r="AM265" i="2"/>
  <c r="AN262" i="2"/>
  <c r="AN281" i="2" s="1"/>
  <c r="AN296" i="2" s="1"/>
  <c r="AN263" i="2"/>
  <c r="AN287" i="2" s="1"/>
  <c r="AN302" i="2" s="1"/>
  <c r="AO243" i="2"/>
  <c r="CH29" i="2"/>
  <c r="CH31" i="2"/>
  <c r="CI26" i="2" s="1"/>
  <c r="AP238" i="2"/>
  <c r="CK24" i="2"/>
  <c r="AN265" i="2" l="1"/>
  <c r="AP239" i="2"/>
  <c r="CJ237" i="2"/>
  <c r="CJ233" i="2"/>
  <c r="CJ275" i="2" s="1"/>
  <c r="CH250" i="2"/>
  <c r="CL189" i="2"/>
  <c r="CL204" i="2" s="1"/>
  <c r="CL27" i="2"/>
  <c r="CL28" i="2" s="1"/>
  <c r="CM23" i="2"/>
  <c r="CI29" i="2"/>
  <c r="CI31" i="2" s="1"/>
  <c r="CJ26" i="2" s="1"/>
  <c r="CI249" i="2"/>
  <c r="CK231" i="2"/>
  <c r="CK232" i="2"/>
  <c r="AO245" i="2"/>
  <c r="AO252" i="2" s="1"/>
  <c r="CL24" i="2"/>
  <c r="CM27" i="2" l="1"/>
  <c r="CM28" i="2" s="1"/>
  <c r="CM189" i="2"/>
  <c r="CM204" i="2" s="1"/>
  <c r="CN23" i="2"/>
  <c r="CJ29" i="2"/>
  <c r="CJ31" i="2"/>
  <c r="CK26" i="2" s="1"/>
  <c r="CL231" i="2"/>
  <c r="CL232" i="2"/>
  <c r="CM24" i="2"/>
  <c r="CN24" i="2" s="1"/>
  <c r="AO255" i="2"/>
  <c r="AO253" i="2"/>
  <c r="AP248" i="2" s="1"/>
  <c r="CK233" i="2"/>
  <c r="CK275" i="2" s="1"/>
  <c r="CK237" i="2"/>
  <c r="CJ249" i="2"/>
  <c r="CI250" i="2"/>
  <c r="AP251" i="2"/>
  <c r="AP242" i="2"/>
  <c r="AP240" i="2"/>
  <c r="AQ236" i="2" s="1"/>
  <c r="AO256" i="2" l="1"/>
  <c r="AO258" i="2" s="1"/>
  <c r="CL237" i="2"/>
  <c r="CL233" i="2"/>
  <c r="CL275" i="2" s="1"/>
  <c r="CN189" i="2"/>
  <c r="CN204" i="2" s="1"/>
  <c r="CN27" i="2"/>
  <c r="CN28" i="2" s="1"/>
  <c r="CO23" i="2"/>
  <c r="CO24" i="2" s="1"/>
  <c r="CK249" i="2"/>
  <c r="AQ238" i="2"/>
  <c r="AQ239" i="2" s="1"/>
  <c r="AP243" i="2"/>
  <c r="CK29" i="2"/>
  <c r="CK31" i="2"/>
  <c r="CL26" i="2" s="1"/>
  <c r="CM231" i="2"/>
  <c r="CM232" i="2"/>
  <c r="CJ250" i="2"/>
  <c r="AQ251" i="2" l="1"/>
  <c r="AQ242" i="2"/>
  <c r="CM237" i="2"/>
  <c r="CM233" i="2"/>
  <c r="CM275" i="2" s="1"/>
  <c r="CL29" i="2"/>
  <c r="CL31" i="2"/>
  <c r="CM26" i="2" s="1"/>
  <c r="CO27" i="2"/>
  <c r="CO28" i="2" s="1"/>
  <c r="CO189" i="2"/>
  <c r="CO204" i="2" s="1"/>
  <c r="CP23" i="2"/>
  <c r="AP245" i="2"/>
  <c r="AP252" i="2" s="1"/>
  <c r="CL249" i="2"/>
  <c r="AQ240" i="2"/>
  <c r="AR236" i="2" s="1"/>
  <c r="CK250" i="2"/>
  <c r="CN231" i="2"/>
  <c r="CN232" i="2"/>
  <c r="AO262" i="2"/>
  <c r="AO281" i="2" s="1"/>
  <c r="AO296" i="2" s="1"/>
  <c r="AO263" i="2"/>
  <c r="AO287" i="2"/>
  <c r="AO302" i="2" s="1"/>
  <c r="AO265" i="2" l="1"/>
  <c r="CO231" i="2"/>
  <c r="CO232" i="2"/>
  <c r="AP255" i="2"/>
  <c r="AP253" i="2"/>
  <c r="AQ248" i="2" s="1"/>
  <c r="CM29" i="2"/>
  <c r="CM31" i="2" s="1"/>
  <c r="CN26" i="2" s="1"/>
  <c r="AQ243" i="2"/>
  <c r="AQ245" i="2" s="1"/>
  <c r="CP27" i="2"/>
  <c r="CP28" i="2" s="1"/>
  <c r="CP189" i="2"/>
  <c r="CP204" i="2" s="1"/>
  <c r="CQ23" i="2"/>
  <c r="CN237" i="2"/>
  <c r="CN233" i="2"/>
  <c r="CN275" i="2" s="1"/>
  <c r="CM249" i="2"/>
  <c r="AR238" i="2"/>
  <c r="AR239" i="2" s="1"/>
  <c r="CP24" i="2"/>
  <c r="CL250" i="2"/>
  <c r="CN29" i="2" l="1"/>
  <c r="CN31" i="2" s="1"/>
  <c r="CO26" i="2" s="1"/>
  <c r="AR251" i="2"/>
  <c r="AR242" i="2"/>
  <c r="CQ27" i="2"/>
  <c r="CQ28" i="2" s="1"/>
  <c r="CQ189" i="2"/>
  <c r="CQ204" i="2" s="1"/>
  <c r="CR23" i="2"/>
  <c r="AP256" i="2"/>
  <c r="AP258" i="2" s="1"/>
  <c r="CP231" i="2"/>
  <c r="CP232" i="2"/>
  <c r="CQ24" i="2"/>
  <c r="AR240" i="2"/>
  <c r="AS236" i="2" s="1"/>
  <c r="AQ252" i="2"/>
  <c r="AQ255" i="2" s="1"/>
  <c r="CM250" i="2"/>
  <c r="CN249" i="2"/>
  <c r="CO237" i="2"/>
  <c r="CO233" i="2"/>
  <c r="CO275" i="2" s="1"/>
  <c r="AQ253" i="2" l="1"/>
  <c r="AR248" i="2" s="1"/>
  <c r="CO29" i="2"/>
  <c r="CO31" i="2" s="1"/>
  <c r="CP26" i="2" s="1"/>
  <c r="AP262" i="2"/>
  <c r="AP281" i="2" s="1"/>
  <c r="AP296" i="2" s="1"/>
  <c r="AP263" i="2"/>
  <c r="CO249" i="2"/>
  <c r="AP287" i="2"/>
  <c r="AP302" i="2" s="1"/>
  <c r="CN250" i="2"/>
  <c r="CQ231" i="2"/>
  <c r="CQ232" i="2"/>
  <c r="AQ256" i="2"/>
  <c r="AQ258" i="2" s="1"/>
  <c r="CP237" i="2"/>
  <c r="CP233" i="2"/>
  <c r="CP275" i="2" s="1"/>
  <c r="CR27" i="2"/>
  <c r="CR28" i="2" s="1"/>
  <c r="CR189" i="2"/>
  <c r="CR204" i="2" s="1"/>
  <c r="CS23" i="2"/>
  <c r="AR243" i="2"/>
  <c r="AR245" i="2"/>
  <c r="AS238" i="2"/>
  <c r="AS239" i="2" s="1"/>
  <c r="CR24" i="2"/>
  <c r="AP265" i="2" l="1"/>
  <c r="AR252" i="2"/>
  <c r="AR255" i="2" s="1"/>
  <c r="AS251" i="2"/>
  <c r="AS242" i="2"/>
  <c r="CP29" i="2"/>
  <c r="CP31" i="2"/>
  <c r="CQ26" i="2" s="1"/>
  <c r="CS27" i="2"/>
  <c r="CS28" i="2" s="1"/>
  <c r="CS189" i="2"/>
  <c r="CS204" i="2" s="1"/>
  <c r="CT23" i="2"/>
  <c r="CP249" i="2"/>
  <c r="CO250" i="2"/>
  <c r="AQ263" i="2"/>
  <c r="AQ262" i="2"/>
  <c r="AQ281" i="2" s="1"/>
  <c r="AQ296" i="2" s="1"/>
  <c r="CR231" i="2"/>
  <c r="CR232" i="2"/>
  <c r="CS24" i="2"/>
  <c r="AS240" i="2"/>
  <c r="AT236" i="2" s="1"/>
  <c r="CQ237" i="2"/>
  <c r="CQ233" i="2"/>
  <c r="CQ275" i="2" s="1"/>
  <c r="AQ265" i="2" l="1"/>
  <c r="AR253" i="2"/>
  <c r="AS248" i="2" s="1"/>
  <c r="AQ287" i="2"/>
  <c r="AQ302" i="2" s="1"/>
  <c r="CP250" i="2"/>
  <c r="AT238" i="2"/>
  <c r="AT239" i="2" s="1"/>
  <c r="CT24" i="2"/>
  <c r="CS231" i="2"/>
  <c r="CS232" i="2"/>
  <c r="CT27" i="2"/>
  <c r="CT28" i="2" s="1"/>
  <c r="CT189" i="2"/>
  <c r="CT204" i="2" s="1"/>
  <c r="CU23" i="2"/>
  <c r="CR233" i="2"/>
  <c r="CR275" i="2" s="1"/>
  <c r="CR237" i="2"/>
  <c r="CQ29" i="2"/>
  <c r="CQ31" i="2" s="1"/>
  <c r="CR26" i="2" s="1"/>
  <c r="CQ249" i="2"/>
  <c r="AS243" i="2"/>
  <c r="AS245" i="2"/>
  <c r="AS252" i="2" s="1"/>
  <c r="AR256" i="2"/>
  <c r="AR258" i="2" s="1"/>
  <c r="AS255" i="2" l="1"/>
  <c r="AS253" i="2"/>
  <c r="AT248" i="2" s="1"/>
  <c r="AT251" i="2"/>
  <c r="AT242" i="2"/>
  <c r="AT240" i="2"/>
  <c r="AU236" i="2" s="1"/>
  <c r="AR262" i="2"/>
  <c r="AR281" i="2" s="1"/>
  <c r="AR296" i="2" s="1"/>
  <c r="AR263" i="2"/>
  <c r="CU24" i="2"/>
  <c r="CV24" i="2" s="1"/>
  <c r="CR29" i="2"/>
  <c r="CR31" i="2" s="1"/>
  <c r="CS26" i="2" s="1"/>
  <c r="CU27" i="2"/>
  <c r="CU28" i="2" s="1"/>
  <c r="CU189" i="2"/>
  <c r="CU204" i="2" s="1"/>
  <c r="CV23" i="2"/>
  <c r="CT231" i="2"/>
  <c r="CT232" i="2"/>
  <c r="CS233" i="2"/>
  <c r="CS275" i="2" s="1"/>
  <c r="CS237" i="2"/>
  <c r="CQ250" i="2"/>
  <c r="CR249" i="2"/>
  <c r="AR265" i="2" l="1"/>
  <c r="AR287" i="2"/>
  <c r="AR302" i="2" s="1"/>
  <c r="CR250" i="2"/>
  <c r="CS249" i="2"/>
  <c r="CT237" i="2"/>
  <c r="CT233" i="2"/>
  <c r="CT275" i="2" s="1"/>
  <c r="AS256" i="2"/>
  <c r="AS258" i="2" s="1"/>
  <c r="CV27" i="2"/>
  <c r="CV28" i="2" s="1"/>
  <c r="CV189" i="2"/>
  <c r="CV204" i="2" s="1"/>
  <c r="CW23" i="2"/>
  <c r="CS29" i="2"/>
  <c r="CS31" i="2" s="1"/>
  <c r="CT26" i="2" s="1"/>
  <c r="AU238" i="2"/>
  <c r="AU239" i="2" s="1"/>
  <c r="AT243" i="2"/>
  <c r="AT245" i="2" s="1"/>
  <c r="AT252" i="2" s="1"/>
  <c r="CU231" i="2"/>
  <c r="CU232" i="2"/>
  <c r="AT255" i="2" l="1"/>
  <c r="AT256" i="2" s="1"/>
  <c r="AT258" i="2" s="1"/>
  <c r="AT253" i="2"/>
  <c r="AU248" i="2" s="1"/>
  <c r="AU251" i="2"/>
  <c r="AU242" i="2"/>
  <c r="CT29" i="2"/>
  <c r="CT31" i="2"/>
  <c r="CU26" i="2" s="1"/>
  <c r="AS263" i="2"/>
  <c r="AS287" i="2" s="1"/>
  <c r="AS302" i="2" s="1"/>
  <c r="AS262" i="2"/>
  <c r="AS281" i="2" s="1"/>
  <c r="AS296" i="2" s="1"/>
  <c r="CU233" i="2"/>
  <c r="CU275" i="2" s="1"/>
  <c r="CU237" i="2"/>
  <c r="AU240" i="2"/>
  <c r="AV236" i="2" s="1"/>
  <c r="CT249" i="2"/>
  <c r="CS250" i="2"/>
  <c r="CW27" i="2"/>
  <c r="CW28" i="2" s="1"/>
  <c r="CW189" i="2"/>
  <c r="CW204" i="2" s="1"/>
  <c r="CX23" i="2"/>
  <c r="CV231" i="2"/>
  <c r="CV232" i="2"/>
  <c r="CW24" i="2"/>
  <c r="AS265" i="2" l="1"/>
  <c r="AT262" i="2"/>
  <c r="AT281" i="2" s="1"/>
  <c r="AT296" i="2" s="1"/>
  <c r="AT263" i="2"/>
  <c r="CX27" i="2"/>
  <c r="CX28" i="2" s="1"/>
  <c r="CY23" i="2"/>
  <c r="CV233" i="2"/>
  <c r="CV275" i="2" s="1"/>
  <c r="CV237" i="2"/>
  <c r="CW231" i="2"/>
  <c r="CW232" i="2"/>
  <c r="E206" i="2"/>
  <c r="E208" i="2"/>
  <c r="E209" i="2"/>
  <c r="CU29" i="2"/>
  <c r="CU31" i="2" s="1"/>
  <c r="CV26" i="2" s="1"/>
  <c r="AV238" i="2"/>
  <c r="AV239" i="2" s="1"/>
  <c r="CU249" i="2"/>
  <c r="CT250" i="2"/>
  <c r="AT287" i="2"/>
  <c r="AT302" i="2" s="1"/>
  <c r="CX24" i="2"/>
  <c r="AU243" i="2"/>
  <c r="AT265" i="2" l="1"/>
  <c r="CY24" i="2"/>
  <c r="E210" i="2"/>
  <c r="AV251" i="2"/>
  <c r="AV242" i="2"/>
  <c r="AV240" i="2"/>
  <c r="AW236" i="2" s="1"/>
  <c r="CV249" i="2"/>
  <c r="CW233" i="2"/>
  <c r="CW275" i="2" s="1"/>
  <c r="CW237" i="2"/>
  <c r="CY27" i="2"/>
  <c r="CY28" i="2" s="1"/>
  <c r="CZ23" i="2"/>
  <c r="CU250" i="2"/>
  <c r="CV29" i="2"/>
  <c r="CV31" i="2" s="1"/>
  <c r="CW26" i="2" s="1"/>
  <c r="AU245" i="2"/>
  <c r="AU252" i="2" s="1"/>
  <c r="F180" i="1" l="1"/>
  <c r="G180" i="1"/>
  <c r="H180" i="1"/>
  <c r="I180" i="1"/>
  <c r="J180" i="1"/>
  <c r="K180" i="1"/>
  <c r="L180" i="1"/>
  <c r="M180" i="1"/>
  <c r="CZ27" i="2"/>
  <c r="CZ28" i="2" s="1"/>
  <c r="DA23" i="2"/>
  <c r="CW249" i="2"/>
  <c r="E276" i="2"/>
  <c r="E181" i="1" s="1"/>
  <c r="E278" i="2"/>
  <c r="E183" i="1" s="1"/>
  <c r="E277" i="2"/>
  <c r="E182" i="1" s="1"/>
  <c r="CW29" i="2"/>
  <c r="CW31" i="2"/>
  <c r="CX26" i="2" s="1"/>
  <c r="CZ24" i="2"/>
  <c r="DA24" i="2" s="1"/>
  <c r="CV250" i="2"/>
  <c r="AU255" i="2"/>
  <c r="AU253" i="2"/>
  <c r="AV248" i="2" s="1"/>
  <c r="AW238" i="2"/>
  <c r="AV243" i="2"/>
  <c r="AV245" i="2" s="1"/>
  <c r="E279" i="2" l="1"/>
  <c r="E184" i="1" s="1"/>
  <c r="CX29" i="2"/>
  <c r="CX31" i="2"/>
  <c r="CY26" i="2" s="1"/>
  <c r="AW239" i="2"/>
  <c r="CW250" i="2"/>
  <c r="DA27" i="2"/>
  <c r="DA28" i="2" s="1"/>
  <c r="DB23" i="2"/>
  <c r="AV252" i="2"/>
  <c r="AV255" i="2" s="1"/>
  <c r="AU256" i="2"/>
  <c r="AU258" i="2" s="1"/>
  <c r="AV256" i="2" l="1"/>
  <c r="DB27" i="2"/>
  <c r="DB28" i="2" s="1"/>
  <c r="DC23" i="2"/>
  <c r="AV253" i="2"/>
  <c r="AW248" i="2" s="1"/>
  <c r="AW251" i="2"/>
  <c r="AW242" i="2"/>
  <c r="DB24" i="2"/>
  <c r="CY29" i="2"/>
  <c r="CY31" i="2" s="1"/>
  <c r="CZ26" i="2" s="1"/>
  <c r="AU263" i="2"/>
  <c r="AU262" i="2"/>
  <c r="AU281" i="2" s="1"/>
  <c r="AU296" i="2" s="1"/>
  <c r="AW240" i="2"/>
  <c r="AX236" i="2" s="1"/>
  <c r="AU265" i="2" l="1"/>
  <c r="DC24" i="2"/>
  <c r="CZ29" i="2"/>
  <c r="CZ31" i="2" s="1"/>
  <c r="DA26" i="2" s="1"/>
  <c r="DC27" i="2"/>
  <c r="DC28" i="2" s="1"/>
  <c r="DD23" i="2"/>
  <c r="AW243" i="2"/>
  <c r="AX238" i="2"/>
  <c r="AU287" i="2"/>
  <c r="AU302" i="2" s="1"/>
  <c r="AV258" i="2"/>
  <c r="AX239" i="2" l="1"/>
  <c r="AX240" i="2" s="1"/>
  <c r="AY236" i="2" s="1"/>
  <c r="AY238" i="2" s="1"/>
  <c r="AY239" i="2" s="1"/>
  <c r="DD27" i="2"/>
  <c r="DD28" i="2" s="1"/>
  <c r="DE23" i="2"/>
  <c r="DD24" i="2"/>
  <c r="AW245" i="2"/>
  <c r="AW252" i="2" s="1"/>
  <c r="AV263" i="2"/>
  <c r="AV287" i="2" s="1"/>
  <c r="AV302" i="2" s="1"/>
  <c r="AV262" i="2"/>
  <c r="AV281" i="2" s="1"/>
  <c r="AV296" i="2" s="1"/>
  <c r="DA29" i="2"/>
  <c r="DA31" i="2" s="1"/>
  <c r="DB26" i="2" s="1"/>
  <c r="AX242" i="2" l="1"/>
  <c r="AX243" i="2" s="1"/>
  <c r="AX245" i="2" s="1"/>
  <c r="AX251" i="2"/>
  <c r="AV265" i="2"/>
  <c r="DB29" i="2"/>
  <c r="DB31" i="2"/>
  <c r="DC26" i="2" s="1"/>
  <c r="AY251" i="2"/>
  <c r="AY242" i="2"/>
  <c r="AY240" i="2"/>
  <c r="AZ236" i="2" s="1"/>
  <c r="AW255" i="2"/>
  <c r="AW253" i="2"/>
  <c r="AX248" i="2" s="1"/>
  <c r="DE24" i="2"/>
  <c r="DE27" i="2"/>
  <c r="DE28" i="2" s="1"/>
  <c r="DF23" i="2"/>
  <c r="DF24" i="2" l="1"/>
  <c r="AX252" i="2"/>
  <c r="AX255" i="2" s="1"/>
  <c r="AZ238" i="2"/>
  <c r="AZ239" i="2" s="1"/>
  <c r="AY243" i="2"/>
  <c r="AY245" i="2" s="1"/>
  <c r="DC29" i="2"/>
  <c r="DC31" i="2" s="1"/>
  <c r="DD26" i="2" s="1"/>
  <c r="AW256" i="2"/>
  <c r="DF27" i="2"/>
  <c r="DF28" i="2" s="1"/>
  <c r="DG23" i="2"/>
  <c r="AX253" i="2" l="1"/>
  <c r="AY248" i="2" s="1"/>
  <c r="AY252" i="2" s="1"/>
  <c r="AY255" i="2" s="1"/>
  <c r="DD29" i="2"/>
  <c r="DD31" i="2" s="1"/>
  <c r="DE26" i="2" s="1"/>
  <c r="AZ251" i="2"/>
  <c r="AZ242" i="2"/>
  <c r="AZ240" i="2"/>
  <c r="BA236" i="2" s="1"/>
  <c r="DG27" i="2"/>
  <c r="DG28" i="2" s="1"/>
  <c r="DH23" i="2"/>
  <c r="AX256" i="2"/>
  <c r="AW258" i="2"/>
  <c r="DG24" i="2"/>
  <c r="AY256" i="2" l="1"/>
  <c r="AY258" i="2"/>
  <c r="AX258" i="2"/>
  <c r="AW263" i="2"/>
  <c r="AW287" i="2" s="1"/>
  <c r="AW302" i="2" s="1"/>
  <c r="AW262" i="2"/>
  <c r="AW281" i="2" s="1"/>
  <c r="AW296" i="2" s="1"/>
  <c r="DH27" i="2"/>
  <c r="DH28" i="2" s="1"/>
  <c r="DI23" i="2"/>
  <c r="DI27" i="2" s="1"/>
  <c r="DI28" i="2" s="1"/>
  <c r="BA238" i="2"/>
  <c r="DH24" i="2"/>
  <c r="DE29" i="2"/>
  <c r="DE31" i="2"/>
  <c r="DF26" i="2" s="1"/>
  <c r="AZ245" i="2"/>
  <c r="AZ243" i="2"/>
  <c r="AY253" i="2"/>
  <c r="AZ248" i="2" s="1"/>
  <c r="BA239" i="2" l="1"/>
  <c r="AZ252" i="2"/>
  <c r="AZ255" i="2" s="1"/>
  <c r="AX263" i="2"/>
  <c r="AX287" i="2" s="1"/>
  <c r="AX302" i="2" s="1"/>
  <c r="AX262" i="2"/>
  <c r="AX281" i="2" s="1"/>
  <c r="AX296" i="2" s="1"/>
  <c r="AY262" i="2"/>
  <c r="AY281" i="2" s="1"/>
  <c r="AY296" i="2" s="1"/>
  <c r="AY263" i="2"/>
  <c r="AW265" i="2"/>
  <c r="DF29" i="2"/>
  <c r="DF31" i="2"/>
  <c r="DG26" i="2" s="1"/>
  <c r="DI24" i="2"/>
  <c r="AY265" i="2" l="1"/>
  <c r="AZ253" i="2"/>
  <c r="BA248" i="2" s="1"/>
  <c r="AX265" i="2"/>
  <c r="AY287" i="2"/>
  <c r="AY302" i="2" s="1"/>
  <c r="BA251" i="2"/>
  <c r="BA242" i="2"/>
  <c r="AZ256" i="2"/>
  <c r="AZ258" i="2" s="1"/>
  <c r="DG29" i="2"/>
  <c r="DG31" i="2" s="1"/>
  <c r="DH26" i="2" s="1"/>
  <c r="BA240" i="2"/>
  <c r="BB236" i="2" s="1"/>
  <c r="DH29" i="2" l="1"/>
  <c r="DH31" i="2"/>
  <c r="DI26" i="2" s="1"/>
  <c r="AZ262" i="2"/>
  <c r="AZ281" i="2" s="1"/>
  <c r="AZ296" i="2" s="1"/>
  <c r="AZ263" i="2"/>
  <c r="AZ287" i="2" s="1"/>
  <c r="AZ302" i="2" s="1"/>
  <c r="BB238" i="2"/>
  <c r="BA243" i="2"/>
  <c r="BA245" i="2" s="1"/>
  <c r="BA252" i="2" s="1"/>
  <c r="AZ265" i="2" l="1"/>
  <c r="BA255" i="2"/>
  <c r="BA253" i="2"/>
  <c r="BB248" i="2" s="1"/>
  <c r="BB239" i="2"/>
  <c r="DI29" i="2"/>
  <c r="K65" i="1" s="1"/>
  <c r="DI31" i="2"/>
  <c r="BB251" i="2" l="1"/>
  <c r="BB242" i="2"/>
  <c r="BB240" i="2"/>
  <c r="BC236" i="2" s="1"/>
  <c r="BA256" i="2"/>
  <c r="BC238" i="2" l="1"/>
  <c r="BC239" i="2" s="1"/>
  <c r="BA258" i="2"/>
  <c r="BB245" i="2"/>
  <c r="BB252" i="2" s="1"/>
  <c r="BB243" i="2"/>
  <c r="BB255" i="2" l="1"/>
  <c r="BB253" i="2"/>
  <c r="BC248" i="2" s="1"/>
  <c r="BC251" i="2"/>
  <c r="BC242" i="2"/>
  <c r="BA262" i="2"/>
  <c r="BA281" i="2" s="1"/>
  <c r="BA296" i="2" s="1"/>
  <c r="BA263" i="2"/>
  <c r="BA287" i="2" s="1"/>
  <c r="BA302" i="2" s="1"/>
  <c r="BC240" i="2"/>
  <c r="BD236" i="2" s="1"/>
  <c r="BD238" i="2" l="1"/>
  <c r="BD239" i="2" s="1"/>
  <c r="BA265" i="2"/>
  <c r="BC245" i="2"/>
  <c r="BC252" i="2" s="1"/>
  <c r="BC243" i="2"/>
  <c r="BB256" i="2"/>
  <c r="BB258" i="2" s="1"/>
  <c r="BC255" i="2" l="1"/>
  <c r="BC253" i="2"/>
  <c r="BD248" i="2" s="1"/>
  <c r="BD251" i="2"/>
  <c r="BD242" i="2"/>
  <c r="BB262" i="2"/>
  <c r="BB281" i="2" s="1"/>
  <c r="BB296" i="2" s="1"/>
  <c r="BB263" i="2"/>
  <c r="BD240" i="2"/>
  <c r="BE236" i="2" s="1"/>
  <c r="BB265" i="2" l="1"/>
  <c r="BB287" i="2"/>
  <c r="BB302" i="2" s="1"/>
  <c r="BE238" i="2"/>
  <c r="BE239" i="2" s="1"/>
  <c r="BD243" i="2"/>
  <c r="BD245" i="2"/>
  <c r="BD252" i="2" s="1"/>
  <c r="BC256" i="2"/>
  <c r="BC258" i="2" s="1"/>
  <c r="BD255" i="2" l="1"/>
  <c r="BD253" i="2"/>
  <c r="BE248" i="2" s="1"/>
  <c r="BE251" i="2"/>
  <c r="BE242" i="2"/>
  <c r="BE240" i="2"/>
  <c r="BF236" i="2" s="1"/>
  <c r="BC262" i="2"/>
  <c r="BC281" i="2" s="1"/>
  <c r="BC296" i="2" s="1"/>
  <c r="BC263" i="2"/>
  <c r="BC265" i="2" l="1"/>
  <c r="BC287" i="2"/>
  <c r="BC302" i="2" s="1"/>
  <c r="BF238" i="2"/>
  <c r="BF239" i="2" s="1"/>
  <c r="BE243" i="2"/>
  <c r="BE245" i="2"/>
  <c r="BE252" i="2" s="1"/>
  <c r="BD256" i="2"/>
  <c r="BD258" i="2" s="1"/>
  <c r="BE255" i="2" l="1"/>
  <c r="BE253" i="2"/>
  <c r="BF248" i="2" s="1"/>
  <c r="BF251" i="2"/>
  <c r="BF242" i="2"/>
  <c r="BF240" i="2"/>
  <c r="BG236" i="2" s="1"/>
  <c r="BD262" i="2"/>
  <c r="BD281" i="2" s="1"/>
  <c r="BD296" i="2" s="1"/>
  <c r="BD263" i="2"/>
  <c r="BD287" i="2" s="1"/>
  <c r="BD302" i="2" s="1"/>
  <c r="BG238" i="2" l="1"/>
  <c r="BG239" i="2" s="1"/>
  <c r="BD265" i="2"/>
  <c r="BF243" i="2"/>
  <c r="BF245" i="2"/>
  <c r="BF252" i="2" s="1"/>
  <c r="BE256" i="2"/>
  <c r="BE258" i="2" s="1"/>
  <c r="BF255" i="2" l="1"/>
  <c r="BF253" i="2"/>
  <c r="BG248" i="2" s="1"/>
  <c r="BG251" i="2"/>
  <c r="BG242" i="2"/>
  <c r="BG240" i="2"/>
  <c r="BH236" i="2" s="1"/>
  <c r="BE262" i="2"/>
  <c r="BE281" i="2" s="1"/>
  <c r="BE296" i="2" s="1"/>
  <c r="BE263" i="2"/>
  <c r="BE287" i="2" s="1"/>
  <c r="BE302" i="2" s="1"/>
  <c r="BH238" i="2" l="1"/>
  <c r="BH239" i="2" s="1"/>
  <c r="BE265" i="2"/>
  <c r="BG243" i="2"/>
  <c r="BG245" i="2"/>
  <c r="BG252" i="2" s="1"/>
  <c r="BF256" i="2"/>
  <c r="BF258" i="2" s="1"/>
  <c r="BG255" i="2" l="1"/>
  <c r="BG253" i="2"/>
  <c r="BH248" i="2" s="1"/>
  <c r="BH251" i="2"/>
  <c r="BH242" i="2"/>
  <c r="BH240" i="2"/>
  <c r="BI236" i="2" s="1"/>
  <c r="BF262" i="2"/>
  <c r="BF281" i="2" s="1"/>
  <c r="BF296" i="2" s="1"/>
  <c r="BF263" i="2"/>
  <c r="BF265" i="2" l="1"/>
  <c r="BF287" i="2"/>
  <c r="BF302" i="2" s="1"/>
  <c r="BI238" i="2"/>
  <c r="BI239" i="2" s="1"/>
  <c r="BH243" i="2"/>
  <c r="BH245" i="2"/>
  <c r="BH252" i="2"/>
  <c r="BH255" i="2" s="1"/>
  <c r="BG256" i="2"/>
  <c r="BG258" i="2" s="1"/>
  <c r="BI251" i="2" l="1"/>
  <c r="BI242" i="2"/>
  <c r="BI240" i="2"/>
  <c r="BJ236" i="2" s="1"/>
  <c r="BH256" i="2"/>
  <c r="BH258" i="2" s="1"/>
  <c r="BG263" i="2"/>
  <c r="BG287" i="2" s="1"/>
  <c r="BG302" i="2" s="1"/>
  <c r="BG262" i="2"/>
  <c r="BG281" i="2" s="1"/>
  <c r="BG296" i="2" s="1"/>
  <c r="BH253" i="2"/>
  <c r="BI248" i="2" s="1"/>
  <c r="BH263" i="2" l="1"/>
  <c r="BH287" i="2" s="1"/>
  <c r="BH302" i="2" s="1"/>
  <c r="BH262" i="2"/>
  <c r="BH281" i="2" s="1"/>
  <c r="BH296" i="2" s="1"/>
  <c r="BG265" i="2"/>
  <c r="BJ238" i="2"/>
  <c r="BI243" i="2"/>
  <c r="BI245" i="2"/>
  <c r="BI252" i="2" s="1"/>
  <c r="BH265" i="2" l="1"/>
  <c r="BI255" i="2"/>
  <c r="BI253" i="2"/>
  <c r="BJ248" i="2" s="1"/>
  <c r="BJ239" i="2"/>
  <c r="BJ251" i="2" l="1"/>
  <c r="BJ242" i="2"/>
  <c r="BJ240" i="2"/>
  <c r="BK236" i="2" s="1"/>
  <c r="BI256" i="2"/>
  <c r="BI258" i="2" l="1"/>
  <c r="BK238" i="2"/>
  <c r="BJ243" i="2"/>
  <c r="BJ245" i="2"/>
  <c r="BJ252" i="2" s="1"/>
  <c r="BJ255" i="2" l="1"/>
  <c r="BJ253" i="2"/>
  <c r="BK248" i="2" s="1"/>
  <c r="BI263" i="2"/>
  <c r="BI287" i="2" s="1"/>
  <c r="BI302" i="2" s="1"/>
  <c r="BI262" i="2"/>
  <c r="BI281" i="2" s="1"/>
  <c r="BI296" i="2" s="1"/>
  <c r="BK239" i="2"/>
  <c r="BK251" i="2" l="1"/>
  <c r="BK242" i="2"/>
  <c r="BI265" i="2"/>
  <c r="BK240" i="2"/>
  <c r="BL236" i="2" s="1"/>
  <c r="BJ256" i="2"/>
  <c r="BL238" i="2" l="1"/>
  <c r="BJ258" i="2"/>
  <c r="BK243" i="2"/>
  <c r="BK245" i="2" l="1"/>
  <c r="BK252" i="2" s="1"/>
  <c r="BJ263" i="2"/>
  <c r="BJ287" i="2" s="1"/>
  <c r="BJ302" i="2" s="1"/>
  <c r="BJ262" i="2"/>
  <c r="BJ281" i="2" s="1"/>
  <c r="BJ296" i="2" s="1"/>
  <c r="BL239" i="2"/>
  <c r="BL251" i="2" l="1"/>
  <c r="BL242" i="2"/>
  <c r="BJ265" i="2"/>
  <c r="BK255" i="2"/>
  <c r="BK253" i="2"/>
  <c r="BL248" i="2" s="1"/>
  <c r="BL240" i="2"/>
  <c r="BM236" i="2" s="1"/>
  <c r="BM238" i="2" l="1"/>
  <c r="BL245" i="2"/>
  <c r="BL252" i="2" s="1"/>
  <c r="BL243" i="2"/>
  <c r="BK256" i="2"/>
  <c r="BK258" i="2" s="1"/>
  <c r="BL255" i="2" l="1"/>
  <c r="BL253" i="2"/>
  <c r="BM248" i="2" s="1"/>
  <c r="BK262" i="2"/>
  <c r="BK281" i="2" s="1"/>
  <c r="BK296" i="2" s="1"/>
  <c r="BK263" i="2"/>
  <c r="BK287" i="2" s="1"/>
  <c r="BK302" i="2" s="1"/>
  <c r="BM239" i="2"/>
  <c r="BK265" i="2" l="1"/>
  <c r="BM251" i="2"/>
  <c r="BM242" i="2"/>
  <c r="BM240" i="2"/>
  <c r="BN236" i="2" s="1"/>
  <c r="BL256" i="2"/>
  <c r="BL258" i="2" s="1"/>
  <c r="BL262" i="2" l="1"/>
  <c r="BL281" i="2" s="1"/>
  <c r="BL296" i="2" s="1"/>
  <c r="BL263" i="2"/>
  <c r="BL287" i="2" s="1"/>
  <c r="BL302" i="2" s="1"/>
  <c r="BN238" i="2"/>
  <c r="BM243" i="2"/>
  <c r="BL265" i="2" l="1"/>
  <c r="BN239" i="2"/>
  <c r="BM245" i="2"/>
  <c r="BM252" i="2" s="1"/>
  <c r="BN251" i="2" l="1"/>
  <c r="BN242" i="2"/>
  <c r="BM255" i="2"/>
  <c r="BM253" i="2"/>
  <c r="BN248" i="2" s="1"/>
  <c r="BN240" i="2"/>
  <c r="BO236" i="2" s="1"/>
  <c r="BM256" i="2" l="1"/>
  <c r="BM258" i="2" s="1"/>
  <c r="BO238" i="2"/>
  <c r="BN243" i="2"/>
  <c r="BO239" i="2" l="1"/>
  <c r="BN245" i="2"/>
  <c r="BN252" i="2" s="1"/>
  <c r="BM262" i="2"/>
  <c r="BM281" i="2" s="1"/>
  <c r="BM296" i="2" s="1"/>
  <c r="BM263" i="2"/>
  <c r="BM265" i="2" l="1"/>
  <c r="BN255" i="2"/>
  <c r="BN253" i="2"/>
  <c r="BO248" i="2" s="1"/>
  <c r="BM287" i="2"/>
  <c r="BM302" i="2" s="1"/>
  <c r="BO251" i="2"/>
  <c r="BO242" i="2"/>
  <c r="BO240" i="2"/>
  <c r="BP236" i="2" s="1"/>
  <c r="BP238" i="2" l="1"/>
  <c r="BP239" i="2" s="1"/>
  <c r="BO243" i="2"/>
  <c r="BO245" i="2"/>
  <c r="BO252" i="2" s="1"/>
  <c r="BN256" i="2"/>
  <c r="BO255" i="2" l="1"/>
  <c r="BO253" i="2"/>
  <c r="BP248" i="2" s="1"/>
  <c r="BP251" i="2"/>
  <c r="BP242" i="2"/>
  <c r="BP240" i="2"/>
  <c r="BQ236" i="2" s="1"/>
  <c r="BN258" i="2"/>
  <c r="BN263" i="2" l="1"/>
  <c r="BN287" i="2" s="1"/>
  <c r="BN302" i="2" s="1"/>
  <c r="BN262" i="2"/>
  <c r="BN281" i="2" s="1"/>
  <c r="BN296" i="2" s="1"/>
  <c r="BQ238" i="2"/>
  <c r="BP243" i="2"/>
  <c r="BP245" i="2" s="1"/>
  <c r="BP252" i="2" s="1"/>
  <c r="BO256" i="2"/>
  <c r="BP255" i="2" l="1"/>
  <c r="BP253" i="2"/>
  <c r="BQ248" i="2" s="1"/>
  <c r="BQ239" i="2"/>
  <c r="BO258" i="2"/>
  <c r="BN265" i="2"/>
  <c r="BO263" i="2" l="1"/>
  <c r="BO287" i="2" s="1"/>
  <c r="BO302" i="2" s="1"/>
  <c r="BO262" i="2"/>
  <c r="BO281" i="2" s="1"/>
  <c r="BO296" i="2" s="1"/>
  <c r="BQ251" i="2"/>
  <c r="BQ242" i="2"/>
  <c r="BQ240" i="2"/>
  <c r="BR236" i="2" s="1"/>
  <c r="BP256" i="2"/>
  <c r="BP258" i="2" s="1"/>
  <c r="BR238" i="2" l="1"/>
  <c r="BR239" i="2" s="1"/>
  <c r="BP262" i="2"/>
  <c r="BP281" i="2" s="1"/>
  <c r="BP296" i="2" s="1"/>
  <c r="BP263" i="2"/>
  <c r="BP287" i="2" s="1"/>
  <c r="BP302" i="2" s="1"/>
  <c r="BQ243" i="2"/>
  <c r="BQ245" i="2" s="1"/>
  <c r="BQ252" i="2" s="1"/>
  <c r="BO265" i="2"/>
  <c r="BR251" i="2" l="1"/>
  <c r="BR242" i="2"/>
  <c r="BP265" i="2"/>
  <c r="BQ255" i="2"/>
  <c r="BQ253" i="2"/>
  <c r="BR248" i="2" s="1"/>
  <c r="BR240" i="2"/>
  <c r="BS236" i="2" s="1"/>
  <c r="BS238" i="2" l="1"/>
  <c r="BS239" i="2" s="1"/>
  <c r="BR243" i="2"/>
  <c r="BR245" i="2" s="1"/>
  <c r="BR252" i="2" s="1"/>
  <c r="BQ256" i="2"/>
  <c r="BQ258" i="2" s="1"/>
  <c r="BQ263" i="2" l="1"/>
  <c r="BQ262" i="2"/>
  <c r="BQ281" i="2" s="1"/>
  <c r="BQ296" i="2" s="1"/>
  <c r="BR255" i="2"/>
  <c r="BR253" i="2"/>
  <c r="BS248" i="2" s="1"/>
  <c r="BS251" i="2"/>
  <c r="BS242" i="2"/>
  <c r="BS240" i="2"/>
  <c r="BT236" i="2" s="1"/>
  <c r="BQ287" i="2"/>
  <c r="BQ302" i="2" s="1"/>
  <c r="BS243" i="2" l="1"/>
  <c r="BS245" i="2" s="1"/>
  <c r="BS252" i="2" s="1"/>
  <c r="BS255" i="2" s="1"/>
  <c r="BT238" i="2"/>
  <c r="BR256" i="2"/>
  <c r="BR258" i="2" s="1"/>
  <c r="BQ265" i="2"/>
  <c r="BR262" i="2" l="1"/>
  <c r="BR281" i="2" s="1"/>
  <c r="BR296" i="2" s="1"/>
  <c r="BR263" i="2"/>
  <c r="BR265" i="2" s="1"/>
  <c r="BS253" i="2"/>
  <c r="BT248" i="2" s="1"/>
  <c r="BT239" i="2"/>
  <c r="BS256" i="2"/>
  <c r="BS258" i="2" s="1"/>
  <c r="BR287" i="2"/>
  <c r="BR302" i="2" s="1"/>
  <c r="BS263" i="2" l="1"/>
  <c r="BS287" i="2" s="1"/>
  <c r="BS302" i="2" s="1"/>
  <c r="BS262" i="2"/>
  <c r="BS281" i="2" s="1"/>
  <c r="BS296" i="2" s="1"/>
  <c r="BT251" i="2"/>
  <c r="BT242" i="2"/>
  <c r="BT240" i="2"/>
  <c r="BU236" i="2" s="1"/>
  <c r="BS265" i="2" l="1"/>
  <c r="BU238" i="2"/>
  <c r="BU239" i="2" s="1"/>
  <c r="BT243" i="2"/>
  <c r="BT245" i="2"/>
  <c r="BT252" i="2" s="1"/>
  <c r="BU251" i="2" l="1"/>
  <c r="BU242" i="2"/>
  <c r="BU240" i="2"/>
  <c r="BV236" i="2" s="1"/>
  <c r="BT255" i="2"/>
  <c r="BT253" i="2"/>
  <c r="BU248" i="2" s="1"/>
  <c r="BV238" i="2" l="1"/>
  <c r="BV239" i="2" s="1"/>
  <c r="BT256" i="2"/>
  <c r="BU243" i="2"/>
  <c r="BU245" i="2"/>
  <c r="BU252" i="2" s="1"/>
  <c r="BU255" i="2" l="1"/>
  <c r="BU253" i="2"/>
  <c r="BV248" i="2" s="1"/>
  <c r="BV251" i="2"/>
  <c r="BV242" i="2"/>
  <c r="BV240" i="2"/>
  <c r="BW236" i="2" s="1"/>
  <c r="BT258" i="2"/>
  <c r="BT263" i="2" l="1"/>
  <c r="BT287" i="2" s="1"/>
  <c r="BT302" i="2" s="1"/>
  <c r="BT262" i="2"/>
  <c r="BT281" i="2" s="1"/>
  <c r="BT296" i="2" s="1"/>
  <c r="BW238" i="2"/>
  <c r="BW239" i="2" s="1"/>
  <c r="BV243" i="2"/>
  <c r="BV245" i="2" s="1"/>
  <c r="BV252" i="2" s="1"/>
  <c r="BU256" i="2"/>
  <c r="BT265" i="2" l="1"/>
  <c r="BV255" i="2"/>
  <c r="BV253" i="2"/>
  <c r="BW248" i="2" s="1"/>
  <c r="BW251" i="2"/>
  <c r="BW242" i="2"/>
  <c r="BW240" i="2"/>
  <c r="BX236" i="2" s="1"/>
  <c r="BU258" i="2"/>
  <c r="BU262" i="2" l="1"/>
  <c r="BU281" i="2" s="1"/>
  <c r="BU296" i="2" s="1"/>
  <c r="BU263" i="2"/>
  <c r="BU287" i="2" s="1"/>
  <c r="BU302" i="2" s="1"/>
  <c r="BX238" i="2"/>
  <c r="BX239" i="2" s="1"/>
  <c r="BW243" i="2"/>
  <c r="BW245" i="2" s="1"/>
  <c r="BW252" i="2" s="1"/>
  <c r="BV256" i="2"/>
  <c r="BU265" i="2" l="1"/>
  <c r="BW255" i="2"/>
  <c r="BW253" i="2"/>
  <c r="BX248" i="2" s="1"/>
  <c r="BX251" i="2"/>
  <c r="BX242" i="2"/>
  <c r="BX240" i="2"/>
  <c r="BY236" i="2" s="1"/>
  <c r="BV258" i="2"/>
  <c r="BY238" i="2" l="1"/>
  <c r="BY239" i="2" s="1"/>
  <c r="BV262" i="2"/>
  <c r="BV281" i="2" s="1"/>
  <c r="BV296" i="2" s="1"/>
  <c r="BV263" i="2"/>
  <c r="BV287" i="2" s="1"/>
  <c r="BV302" i="2" s="1"/>
  <c r="BX243" i="2"/>
  <c r="BX245" i="2" s="1"/>
  <c r="BX252" i="2" s="1"/>
  <c r="BW256" i="2"/>
  <c r="BV265" i="2" l="1"/>
  <c r="BX255" i="2"/>
  <c r="BX253" i="2"/>
  <c r="BY248" i="2" s="1"/>
  <c r="BY251" i="2"/>
  <c r="BY242" i="2"/>
  <c r="BY240" i="2"/>
  <c r="BZ236" i="2" s="1"/>
  <c r="BW258" i="2"/>
  <c r="BW262" i="2" l="1"/>
  <c r="BW281" i="2" s="1"/>
  <c r="BW296" i="2" s="1"/>
  <c r="BW263" i="2"/>
  <c r="BW287" i="2" s="1"/>
  <c r="BW302" i="2" s="1"/>
  <c r="BZ238" i="2"/>
  <c r="BZ239" i="2" s="1"/>
  <c r="BY243" i="2"/>
  <c r="BY245" i="2"/>
  <c r="BY252" i="2" s="1"/>
  <c r="BX256" i="2"/>
  <c r="BW265" i="2" l="1"/>
  <c r="BY255" i="2"/>
  <c r="BY253" i="2"/>
  <c r="BZ248" i="2" s="1"/>
  <c r="BZ251" i="2"/>
  <c r="BZ242" i="2"/>
  <c r="BZ240" i="2"/>
  <c r="CA236" i="2" s="1"/>
  <c r="BX258" i="2"/>
  <c r="BX262" i="2" l="1"/>
  <c r="BX281" i="2" s="1"/>
  <c r="BX296" i="2" s="1"/>
  <c r="BX263" i="2"/>
  <c r="BX287" i="2" s="1"/>
  <c r="BX302" i="2" s="1"/>
  <c r="CA238" i="2"/>
  <c r="CA239" i="2" s="1"/>
  <c r="BZ243" i="2"/>
  <c r="BZ245" i="2" s="1"/>
  <c r="BZ252" i="2" s="1"/>
  <c r="BY256" i="2"/>
  <c r="BX265" i="2" l="1"/>
  <c r="BZ255" i="2"/>
  <c r="BZ253" i="2"/>
  <c r="CA248" i="2" s="1"/>
  <c r="CA251" i="2"/>
  <c r="CA242" i="2"/>
  <c r="CA240" i="2"/>
  <c r="CB236" i="2" s="1"/>
  <c r="BY258" i="2"/>
  <c r="BY262" i="2" l="1"/>
  <c r="BY281" i="2" s="1"/>
  <c r="BY296" i="2" s="1"/>
  <c r="BY263" i="2"/>
  <c r="BY287" i="2" s="1"/>
  <c r="BY302" i="2" s="1"/>
  <c r="CB238" i="2"/>
  <c r="CB239" i="2" s="1"/>
  <c r="CA243" i="2"/>
  <c r="CA245" i="2"/>
  <c r="CA252" i="2" s="1"/>
  <c r="BZ256" i="2"/>
  <c r="BY265" i="2" l="1"/>
  <c r="CA255" i="2"/>
  <c r="CA253" i="2"/>
  <c r="CB248" i="2" s="1"/>
  <c r="CB251" i="2"/>
  <c r="CB242" i="2"/>
  <c r="CB240" i="2"/>
  <c r="CC236" i="2" s="1"/>
  <c r="BZ258" i="2"/>
  <c r="CC238" i="2" l="1"/>
  <c r="CC239" i="2" s="1"/>
  <c r="BZ262" i="2"/>
  <c r="BZ281" i="2" s="1"/>
  <c r="BZ296" i="2" s="1"/>
  <c r="BZ263" i="2"/>
  <c r="BZ287" i="2" s="1"/>
  <c r="BZ302" i="2" s="1"/>
  <c r="CB243" i="2"/>
  <c r="CB245" i="2" s="1"/>
  <c r="CB252" i="2" s="1"/>
  <c r="CA256" i="2"/>
  <c r="BZ265" i="2" l="1"/>
  <c r="CB255" i="2"/>
  <c r="CB253" i="2"/>
  <c r="CC248" i="2" s="1"/>
  <c r="CC251" i="2"/>
  <c r="CC242" i="2"/>
  <c r="CC240" i="2"/>
  <c r="CD236" i="2" s="1"/>
  <c r="CA258" i="2"/>
  <c r="CA262" i="2" l="1"/>
  <c r="CA281" i="2" s="1"/>
  <c r="CA296" i="2" s="1"/>
  <c r="CA263" i="2"/>
  <c r="CA287" i="2" s="1"/>
  <c r="CA302" i="2" s="1"/>
  <c r="CD238" i="2"/>
  <c r="CC243" i="2"/>
  <c r="CC245" i="2"/>
  <c r="CC252" i="2" s="1"/>
  <c r="CB256" i="2"/>
  <c r="CC255" i="2" l="1"/>
  <c r="CC253" i="2"/>
  <c r="CD248" i="2" s="1"/>
  <c r="CD239" i="2"/>
  <c r="CA265" i="2"/>
  <c r="CB258" i="2"/>
  <c r="CB262" i="2" l="1"/>
  <c r="CB281" i="2" s="1"/>
  <c r="CB296" i="2" s="1"/>
  <c r="CB263" i="2"/>
  <c r="CB287" i="2" s="1"/>
  <c r="CB302" i="2" s="1"/>
  <c r="CD251" i="2"/>
  <c r="CD242" i="2"/>
  <c r="CD240" i="2"/>
  <c r="CE236" i="2" s="1"/>
  <c r="CC256" i="2"/>
  <c r="CC258" i="2" s="1"/>
  <c r="CE238" i="2" l="1"/>
  <c r="CC262" i="2"/>
  <c r="CC281" i="2" s="1"/>
  <c r="CC296" i="2" s="1"/>
  <c r="CC263" i="2"/>
  <c r="CC287" i="2" s="1"/>
  <c r="CC302" i="2" s="1"/>
  <c r="CD243" i="2"/>
  <c r="CD245" i="2"/>
  <c r="CD252" i="2" s="1"/>
  <c r="CB265" i="2"/>
  <c r="CD255" i="2" l="1"/>
  <c r="CD253" i="2"/>
  <c r="CE248" i="2" s="1"/>
  <c r="CC265" i="2"/>
  <c r="CE239" i="2"/>
  <c r="CE251" i="2" l="1"/>
  <c r="CE242" i="2"/>
  <c r="CE240" i="2"/>
  <c r="CF236" i="2" s="1"/>
  <c r="CD256" i="2"/>
  <c r="CD258" i="2" s="1"/>
  <c r="CD262" i="2" l="1"/>
  <c r="CD281" i="2" s="1"/>
  <c r="CD296" i="2" s="1"/>
  <c r="CD263" i="2"/>
  <c r="CD287" i="2" s="1"/>
  <c r="CD302" i="2" s="1"/>
  <c r="CF238" i="2"/>
  <c r="CE243" i="2"/>
  <c r="CE245" i="2" s="1"/>
  <c r="CE252" i="2" s="1"/>
  <c r="CE255" i="2" l="1"/>
  <c r="CE253" i="2"/>
  <c r="CF248" i="2" s="1"/>
  <c r="CF239" i="2"/>
  <c r="CD265" i="2"/>
  <c r="CF251" i="2" l="1"/>
  <c r="CF242" i="2"/>
  <c r="CE256" i="2"/>
  <c r="CF240" i="2"/>
  <c r="CG236" i="2" s="1"/>
  <c r="CG238" i="2" l="1"/>
  <c r="CF243" i="2"/>
  <c r="CF245" i="2" s="1"/>
  <c r="CF252" i="2" s="1"/>
  <c r="CE258" i="2"/>
  <c r="CF255" i="2" l="1"/>
  <c r="CF253" i="2"/>
  <c r="CG248" i="2" s="1"/>
  <c r="CE262" i="2"/>
  <c r="CE281" i="2" s="1"/>
  <c r="CE296" i="2" s="1"/>
  <c r="CE263" i="2"/>
  <c r="CE287" i="2" s="1"/>
  <c r="CE302" i="2" s="1"/>
  <c r="CG239" i="2"/>
  <c r="CG251" i="2" l="1"/>
  <c r="CG242" i="2"/>
  <c r="CE265" i="2"/>
  <c r="CG240" i="2"/>
  <c r="CH236" i="2" s="1"/>
  <c r="CF256" i="2"/>
  <c r="CF258" i="2" s="1"/>
  <c r="CF262" i="2" l="1"/>
  <c r="CF281" i="2" s="1"/>
  <c r="CF296" i="2" s="1"/>
  <c r="CF263" i="2"/>
  <c r="CH238" i="2"/>
  <c r="CF287" i="2"/>
  <c r="CF302" i="2" s="1"/>
  <c r="CG243" i="2"/>
  <c r="CG245" i="2" s="1"/>
  <c r="CG252" i="2" s="1"/>
  <c r="CG255" i="2" l="1"/>
  <c r="CG253" i="2"/>
  <c r="CH248" i="2" s="1"/>
  <c r="CH239" i="2"/>
  <c r="CF265" i="2"/>
  <c r="CH251" i="2" l="1"/>
  <c r="CH242" i="2"/>
  <c r="CG256" i="2"/>
  <c r="CG258" i="2" s="1"/>
  <c r="CH240" i="2"/>
  <c r="CI236" i="2" s="1"/>
  <c r="CI238" i="2" l="1"/>
  <c r="CI239" i="2" s="1"/>
  <c r="CG263" i="2"/>
  <c r="CG287" i="2" s="1"/>
  <c r="CG302" i="2" s="1"/>
  <c r="CG262" i="2"/>
  <c r="CG281" i="2" s="1"/>
  <c r="CG296" i="2" s="1"/>
  <c r="CH243" i="2"/>
  <c r="CH245" i="2" s="1"/>
  <c r="CH252" i="2" s="1"/>
  <c r="CH255" i="2" l="1"/>
  <c r="CH253" i="2"/>
  <c r="CI248" i="2" s="1"/>
  <c r="CI251" i="2"/>
  <c r="CI242" i="2"/>
  <c r="CG265" i="2"/>
  <c r="CI240" i="2"/>
  <c r="CJ236" i="2" s="1"/>
  <c r="CJ238" i="2" l="1"/>
  <c r="CJ239" i="2" s="1"/>
  <c r="CI243" i="2"/>
  <c r="CI245" i="2" s="1"/>
  <c r="CI252" i="2" s="1"/>
  <c r="CH256" i="2"/>
  <c r="CH258" i="2" s="1"/>
  <c r="CI255" i="2" l="1"/>
  <c r="CI253" i="2"/>
  <c r="CJ248" i="2" s="1"/>
  <c r="CJ251" i="2"/>
  <c r="CJ242" i="2"/>
  <c r="CH263" i="2"/>
  <c r="CH262" i="2"/>
  <c r="CH281" i="2" s="1"/>
  <c r="CH296" i="2" s="1"/>
  <c r="CH287" i="2"/>
  <c r="CH302" i="2" s="1"/>
  <c r="CJ240" i="2"/>
  <c r="CK236" i="2" s="1"/>
  <c r="CK238" i="2" l="1"/>
  <c r="CK239" i="2" s="1"/>
  <c r="CH265" i="2"/>
  <c r="CJ243" i="2"/>
  <c r="CJ245" i="2" s="1"/>
  <c r="CJ252" i="2" s="1"/>
  <c r="CI256" i="2"/>
  <c r="CI258" i="2" s="1"/>
  <c r="CJ255" i="2" l="1"/>
  <c r="CJ253" i="2"/>
  <c r="CK248" i="2" s="1"/>
  <c r="CK251" i="2"/>
  <c r="CK242" i="2"/>
  <c r="CI262" i="2"/>
  <c r="CI281" i="2" s="1"/>
  <c r="CI296" i="2" s="1"/>
  <c r="CI263" i="2"/>
  <c r="CK240" i="2"/>
  <c r="CL236" i="2" s="1"/>
  <c r="CI265" i="2" l="1"/>
  <c r="CI287" i="2"/>
  <c r="CI302" i="2" s="1"/>
  <c r="CL238" i="2"/>
  <c r="CL239" i="2" s="1"/>
  <c r="CK243" i="2"/>
  <c r="CK245" i="2" s="1"/>
  <c r="CK252" i="2" s="1"/>
  <c r="CJ256" i="2"/>
  <c r="CJ258" i="2" s="1"/>
  <c r="CK255" i="2" l="1"/>
  <c r="CK253" i="2"/>
  <c r="CL248" i="2" s="1"/>
  <c r="CL251" i="2"/>
  <c r="CL242" i="2"/>
  <c r="CJ262" i="2"/>
  <c r="CJ281" i="2" s="1"/>
  <c r="CJ296" i="2" s="1"/>
  <c r="CJ263" i="2"/>
  <c r="CJ287" i="2" s="1"/>
  <c r="CJ302" i="2" s="1"/>
  <c r="CL240" i="2"/>
  <c r="CM236" i="2" s="1"/>
  <c r="CJ265" i="2" l="1"/>
  <c r="CM238" i="2"/>
  <c r="CM239" i="2" s="1"/>
  <c r="CL243" i="2"/>
  <c r="CL245" i="2" s="1"/>
  <c r="CL252" i="2" s="1"/>
  <c r="CK256" i="2"/>
  <c r="CK258" i="2" s="1"/>
  <c r="CL255" i="2" l="1"/>
  <c r="CL253" i="2"/>
  <c r="CM248" i="2" s="1"/>
  <c r="CM251" i="2"/>
  <c r="CM242" i="2"/>
  <c r="CM240" i="2"/>
  <c r="CN236" i="2" s="1"/>
  <c r="CK262" i="2"/>
  <c r="CK281" i="2" s="1"/>
  <c r="CK296" i="2" s="1"/>
  <c r="CK263" i="2"/>
  <c r="CK287" i="2" s="1"/>
  <c r="CK302" i="2" s="1"/>
  <c r="CK265" i="2" l="1"/>
  <c r="CN238" i="2"/>
  <c r="CN239" i="2" s="1"/>
  <c r="CM243" i="2"/>
  <c r="CM245" i="2" s="1"/>
  <c r="CM252" i="2" s="1"/>
  <c r="CL256" i="2"/>
  <c r="CL258" i="2" s="1"/>
  <c r="CM255" i="2" l="1"/>
  <c r="CM253" i="2"/>
  <c r="CN248" i="2" s="1"/>
  <c r="CN251" i="2"/>
  <c r="CN242" i="2"/>
  <c r="CL263" i="2"/>
  <c r="CL262" i="2"/>
  <c r="CL281" i="2" s="1"/>
  <c r="CL296" i="2" s="1"/>
  <c r="CN240" i="2"/>
  <c r="CO236" i="2" s="1"/>
  <c r="CL287" i="2"/>
  <c r="CL302" i="2" s="1"/>
  <c r="CL265" i="2" l="1"/>
  <c r="CO238" i="2"/>
  <c r="CO239" i="2" s="1"/>
  <c r="CN243" i="2"/>
  <c r="CN245" i="2" s="1"/>
  <c r="CN252" i="2" s="1"/>
  <c r="CM256" i="2"/>
  <c r="CM258" i="2" s="1"/>
  <c r="CN255" i="2" l="1"/>
  <c r="CN253" i="2"/>
  <c r="CO248" i="2" s="1"/>
  <c r="CO251" i="2"/>
  <c r="CO242" i="2"/>
  <c r="CO240" i="2"/>
  <c r="CP236" i="2" s="1"/>
  <c r="CM263" i="2"/>
  <c r="CM262" i="2"/>
  <c r="CM281" i="2" s="1"/>
  <c r="CM296" i="2" s="1"/>
  <c r="CM287" i="2"/>
  <c r="CM302" i="2" s="1"/>
  <c r="CM265" i="2" l="1"/>
  <c r="CP238" i="2"/>
  <c r="CP239" i="2" s="1"/>
  <c r="CO243" i="2"/>
  <c r="CO245" i="2" s="1"/>
  <c r="CO252" i="2" s="1"/>
  <c r="CN256" i="2"/>
  <c r="CN258" i="2" s="1"/>
  <c r="CO255" i="2" l="1"/>
  <c r="CO253" i="2"/>
  <c r="CP248" i="2" s="1"/>
  <c r="CP251" i="2"/>
  <c r="CP242" i="2"/>
  <c r="CN262" i="2"/>
  <c r="CN281" i="2" s="1"/>
  <c r="CN296" i="2" s="1"/>
  <c r="CN263" i="2"/>
  <c r="CN265" i="2" s="1"/>
  <c r="CP240" i="2"/>
  <c r="CQ236" i="2" s="1"/>
  <c r="CN287" i="2"/>
  <c r="CN302" i="2" s="1"/>
  <c r="CQ238" i="2" l="1"/>
  <c r="CQ239" i="2" s="1"/>
  <c r="CP243" i="2"/>
  <c r="CO256" i="2"/>
  <c r="CQ251" i="2" l="1"/>
  <c r="CQ242" i="2"/>
  <c r="CQ240" i="2"/>
  <c r="CR236" i="2" s="1"/>
  <c r="CO258" i="2"/>
  <c r="CP245" i="2"/>
  <c r="CP252" i="2" s="1"/>
  <c r="CO262" i="2" l="1"/>
  <c r="CO281" i="2" s="1"/>
  <c r="CO296" i="2" s="1"/>
  <c r="CO263" i="2"/>
  <c r="CO287" i="2" s="1"/>
  <c r="CO302" i="2" s="1"/>
  <c r="CP255" i="2"/>
  <c r="CP253" i="2"/>
  <c r="CQ248" i="2" s="1"/>
  <c r="CR238" i="2"/>
  <c r="CQ243" i="2"/>
  <c r="CQ245" i="2" s="1"/>
  <c r="CR239" i="2" l="1"/>
  <c r="CQ252" i="2"/>
  <c r="CQ255" i="2" s="1"/>
  <c r="CP256" i="2"/>
  <c r="CP258" i="2"/>
  <c r="CO265" i="2"/>
  <c r="CQ253" i="2" l="1"/>
  <c r="CR248" i="2" s="1"/>
  <c r="CP262" i="2"/>
  <c r="CP281" i="2" s="1"/>
  <c r="CP296" i="2" s="1"/>
  <c r="CP263" i="2"/>
  <c r="CQ256" i="2"/>
  <c r="CQ258" i="2" s="1"/>
  <c r="CR251" i="2"/>
  <c r="CR242" i="2"/>
  <c r="CR240" i="2"/>
  <c r="CS236" i="2" s="1"/>
  <c r="CP265" i="2" l="1"/>
  <c r="CP287" i="2"/>
  <c r="CP302" i="2" s="1"/>
  <c r="CS238" i="2"/>
  <c r="CS239" i="2" s="1"/>
  <c r="CQ262" i="2"/>
  <c r="CQ281" i="2" s="1"/>
  <c r="CQ296" i="2" s="1"/>
  <c r="CQ263" i="2"/>
  <c r="CR243" i="2"/>
  <c r="CR245" i="2" s="1"/>
  <c r="CR252" i="2" s="1"/>
  <c r="CQ265" i="2" l="1"/>
  <c r="CQ287" i="2"/>
  <c r="CQ302" i="2" s="1"/>
  <c r="CR255" i="2"/>
  <c r="CR253" i="2"/>
  <c r="CS248" i="2" s="1"/>
  <c r="CS251" i="2"/>
  <c r="CS242" i="2"/>
  <c r="CS240" i="2"/>
  <c r="CT236" i="2" s="1"/>
  <c r="CT238" i="2" l="1"/>
  <c r="CT239" i="2" s="1"/>
  <c r="CS243" i="2"/>
  <c r="CS245" i="2" s="1"/>
  <c r="CS252" i="2" s="1"/>
  <c r="CR256" i="2"/>
  <c r="CR258" i="2" s="1"/>
  <c r="CS255" i="2" l="1"/>
  <c r="CS253" i="2"/>
  <c r="CT248" i="2" s="1"/>
  <c r="CT251" i="2"/>
  <c r="CT242" i="2"/>
  <c r="CR262" i="2"/>
  <c r="CR281" i="2" s="1"/>
  <c r="CR296" i="2" s="1"/>
  <c r="CR263" i="2"/>
  <c r="CT240" i="2"/>
  <c r="CU236" i="2" s="1"/>
  <c r="CR265" i="2" l="1"/>
  <c r="CT243" i="2"/>
  <c r="CT245" i="2" s="1"/>
  <c r="CT252" i="2" s="1"/>
  <c r="CT255" i="2" s="1"/>
  <c r="CU238" i="2"/>
  <c r="CR287" i="2"/>
  <c r="CR302" i="2" s="1"/>
  <c r="CS256" i="2"/>
  <c r="CS258" i="2" s="1"/>
  <c r="CS262" i="2" l="1"/>
  <c r="CS281" i="2" s="1"/>
  <c r="CS296" i="2" s="1"/>
  <c r="CS263" i="2"/>
  <c r="CT253" i="2"/>
  <c r="CU248" i="2" s="1"/>
  <c r="CT256" i="2"/>
  <c r="CT258" i="2" s="1"/>
  <c r="CU239" i="2"/>
  <c r="CS287" i="2"/>
  <c r="CS302" i="2" s="1"/>
  <c r="CS265" i="2" l="1"/>
  <c r="CU251" i="2"/>
  <c r="CU242" i="2"/>
  <c r="CT262" i="2"/>
  <c r="CT281" i="2" s="1"/>
  <c r="CT296" i="2" s="1"/>
  <c r="CT263" i="2"/>
  <c r="CT287" i="2" s="1"/>
  <c r="CT302" i="2" s="1"/>
  <c r="CU240" i="2"/>
  <c r="CV236" i="2" s="1"/>
  <c r="CV238" i="2" l="1"/>
  <c r="CT265" i="2"/>
  <c r="CU243" i="2"/>
  <c r="CU245" i="2" s="1"/>
  <c r="CU252" i="2" s="1"/>
  <c r="CU255" i="2" l="1"/>
  <c r="CU253" i="2"/>
  <c r="CV248" i="2" s="1"/>
  <c r="CV239" i="2"/>
  <c r="CV251" i="2" l="1"/>
  <c r="CV242" i="2"/>
  <c r="CU256" i="2"/>
  <c r="CU258" i="2" s="1"/>
  <c r="CV240" i="2"/>
  <c r="CW236" i="2" s="1"/>
  <c r="CW238" i="2" l="1"/>
  <c r="CU262" i="2"/>
  <c r="CU281" i="2" s="1"/>
  <c r="CU296" i="2" s="1"/>
  <c r="CU263" i="2"/>
  <c r="CU287" i="2" s="1"/>
  <c r="CU302" i="2" s="1"/>
  <c r="CV243" i="2"/>
  <c r="CV245" i="2" s="1"/>
  <c r="CV252" i="2" s="1"/>
  <c r="CU265" i="2" l="1"/>
  <c r="CV255" i="2"/>
  <c r="CV253" i="2"/>
  <c r="CW248" i="2" s="1"/>
  <c r="CW239" i="2"/>
  <c r="CW251" i="2" l="1"/>
  <c r="CW242" i="2"/>
  <c r="CW240" i="2"/>
  <c r="CV256" i="2"/>
  <c r="CV258" i="2" s="1"/>
  <c r="CV262" i="2" l="1"/>
  <c r="CV281" i="2" s="1"/>
  <c r="CV296" i="2" s="1"/>
  <c r="CV263" i="2"/>
  <c r="CW243" i="2"/>
  <c r="CW245" i="2" s="1"/>
  <c r="CW252" i="2" s="1"/>
  <c r="CV265" i="2" l="1"/>
  <c r="CV287" i="2"/>
  <c r="CV302" i="2" s="1"/>
  <c r="CW255" i="2"/>
  <c r="CW253" i="2"/>
  <c r="CW256" i="2" l="1"/>
  <c r="CW258" i="2" s="1"/>
  <c r="CW262" i="2" l="1"/>
  <c r="CW281" i="2" s="1"/>
  <c r="CW296" i="2" s="1"/>
  <c r="CW263" i="2"/>
  <c r="CW265" i="2" l="1"/>
  <c r="CW287" i="2"/>
  <c r="CW302" i="2" s="1"/>
  <c r="F192" i="1"/>
  <c r="G192" i="1"/>
  <c r="H192" i="1"/>
  <c r="I192" i="1"/>
  <c r="J192" i="1"/>
  <c r="K192" i="1"/>
  <c r="L192" i="1"/>
  <c r="M192" i="1"/>
  <c r="F186" i="1"/>
  <c r="G186" i="1"/>
  <c r="H186" i="1"/>
  <c r="I186" i="1"/>
  <c r="J186" i="1"/>
  <c r="K186" i="1"/>
  <c r="L186" i="1"/>
  <c r="M186" i="1"/>
  <c r="E305" i="2"/>
  <c r="E195" i="1" s="1"/>
  <c r="E303" i="2"/>
  <c r="E193" i="1" s="1"/>
  <c r="E304" i="2"/>
  <c r="E194" i="1" s="1"/>
  <c r="E299" i="2"/>
  <c r="E189" i="1" s="1"/>
  <c r="E298" i="2"/>
  <c r="E188" i="1" s="1"/>
  <c r="E297" i="2"/>
  <c r="E187" i="1" s="1"/>
  <c r="E290" i="2"/>
  <c r="E288" i="2"/>
  <c r="E289" i="2"/>
  <c r="E284" i="2"/>
  <c r="E282" i="2"/>
  <c r="E283" i="2"/>
  <c r="C203" i="1" l="1"/>
  <c r="C227" i="1"/>
  <c r="C235" i="1"/>
  <c r="C211" i="1"/>
  <c r="E300" i="2"/>
  <c r="E190" i="1" s="1"/>
  <c r="E306" i="2"/>
  <c r="E196" i="1" s="1"/>
  <c r="E285" i="2"/>
  <c r="E29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BIWS</author>
  </authors>
  <commentList>
    <comment ref="J65" authorId="0" shapeId="0" xr:uid="{123BA4FC-FC17-4261-971B-2E8D7EE795F6}">
      <text>
        <r>
          <rPr>
            <b/>
            <sz val="9"/>
            <color indexed="81"/>
            <rFont val="Tahoma"/>
            <family val="2"/>
          </rPr>
          <t>BIWS:</t>
        </r>
        <r>
          <rPr>
            <sz val="9"/>
            <color indexed="81"/>
            <rFont val="Tahoma"/>
            <family val="2"/>
          </rPr>
          <t xml:space="preserve">
We must estimate this instead of calculating it the real way because the Lookback function won't work if the model has circular references.</t>
        </r>
      </text>
    </comment>
  </commentList>
</comments>
</file>

<file path=xl/sharedStrings.xml><?xml version="1.0" encoding="utf-8"?>
<sst xmlns="http://schemas.openxmlformats.org/spreadsheetml/2006/main" count="774" uniqueCount="283">
  <si>
    <t>Interest Only</t>
  </si>
  <si>
    <t>Sources of Funds:</t>
  </si>
  <si>
    <t>Construction Loan:</t>
  </si>
  <si>
    <t>Land Acquisition Costs:</t>
  </si>
  <si>
    <t>Investor Equity:</t>
  </si>
  <si>
    <t>Total Sources:</t>
  </si>
  <si>
    <t>Uses of Funds:</t>
  </si>
  <si>
    <t>Total Construction Costs:</t>
  </si>
  <si>
    <t>Development Overview:</t>
  </si>
  <si>
    <t>Prepayment Penalty:</t>
  </si>
  <si>
    <t>Maximum Equity Draw:</t>
  </si>
  <si>
    <t>Equity Draw:</t>
  </si>
  <si>
    <t>Monthly Interest Rate on Debt:</t>
  </si>
  <si>
    <t>Debt and Equity Draws:</t>
  </si>
  <si>
    <t>Potential Gross Revenue:</t>
  </si>
  <si>
    <t xml:space="preserve">  (-) General Vacancy:</t>
  </si>
  <si>
    <t>Operating Expenses:</t>
  </si>
  <si>
    <t>Total Operating Expenses:</t>
  </si>
  <si>
    <t>Net Operating Income (NOI):</t>
  </si>
  <si>
    <t>Maturity:</t>
  </si>
  <si>
    <t>Interest Rate - Annual:</t>
  </si>
  <si>
    <t>Issuance Fees:</t>
  </si>
  <si>
    <t>Refinancing Date:</t>
  </si>
  <si>
    <t>Interest Rate - Monthly:</t>
  </si>
  <si>
    <t>Returns to All Equity Investors:</t>
  </si>
  <si>
    <t>(-) Equity Draws:</t>
  </si>
  <si>
    <t>(-) Construction Loan Refinanced:</t>
  </si>
  <si>
    <t>Forward NOI:</t>
  </si>
  <si>
    <t>Implied Property Value:</t>
  </si>
  <si>
    <t>(+) Proceeds from Sale of Property:</t>
  </si>
  <si>
    <t>Total Cash Flows to Equity Investors:</t>
  </si>
  <si>
    <t>Internal Rate of Return (IRR):</t>
  </si>
  <si>
    <t>Units:</t>
  </si>
  <si>
    <t>Name</t>
  </si>
  <si>
    <t>Date</t>
  </si>
  <si>
    <t>Construction Start Date:</t>
  </si>
  <si>
    <t>Location:</t>
  </si>
  <si>
    <t>Property Type:</t>
  </si>
  <si>
    <t>Project Name:</t>
  </si>
  <si>
    <t>%</t>
  </si>
  <si>
    <t>Loan-to-Cost (LTC) Ratio:</t>
  </si>
  <si>
    <t>Developer Equity Contribution:</t>
  </si>
  <si>
    <t># Years</t>
  </si>
  <si>
    <t>Months in Year:</t>
  </si>
  <si>
    <t>#</t>
  </si>
  <si>
    <t>Renewal Probability:</t>
  </si>
  <si>
    <t># Months of Downtime for Non-Renewal:</t>
  </si>
  <si>
    <t>sq. ft.</t>
  </si>
  <si>
    <t>Lease Expiration Date:</t>
  </si>
  <si>
    <t>(+) Base Rental Income:</t>
  </si>
  <si>
    <t>(-) Absorption &amp; Turnover Vacancy:</t>
  </si>
  <si>
    <t>(-) Concessions &amp; Free Rent:</t>
  </si>
  <si>
    <t>(-) Tenant Improvements (TIs):</t>
  </si>
  <si>
    <t>(-) Leasing Commissions (LCs):</t>
  </si>
  <si>
    <t>(+) Expense Reimbursements:</t>
  </si>
  <si>
    <t xml:space="preserve">Numerical Year: </t>
  </si>
  <si>
    <t>Year</t>
  </si>
  <si>
    <t>Tenant #1 - Triple Net (NNN) Lease:</t>
  </si>
  <si>
    <t>Tenant #2 - Triple Net (NNN) Lease:</t>
  </si>
  <si>
    <t>Revenue:</t>
  </si>
  <si>
    <t>Property Pro-Forma:</t>
  </si>
  <si>
    <t>NOI Margin:</t>
  </si>
  <si>
    <t>(-) CapEx, TIs, and LCs:</t>
  </si>
  <si>
    <t>(+) Capital Costs Paid from Reserves:</t>
  </si>
  <si>
    <t>Adjusted Net Operating Income:</t>
  </si>
  <si>
    <t>Adjusted NOI Margin:</t>
  </si>
  <si>
    <t>Lease Start Date:</t>
  </si>
  <si>
    <t>Property Management Fees % EGI:</t>
  </si>
  <si>
    <t xml:space="preserve">  (-) Recoverable Expenses:</t>
  </si>
  <si>
    <t xml:space="preserve">  (-) Management Fee:</t>
  </si>
  <si>
    <t xml:space="preserve">  (-) CapEx, TI, and LC Reserves:</t>
  </si>
  <si>
    <t>Cash Flow to Equity Investors:</t>
  </si>
  <si>
    <t>Replacement Reserves:</t>
  </si>
  <si>
    <t>Debt Yield:</t>
  </si>
  <si>
    <t>x</t>
  </si>
  <si>
    <t>Debt Service Coverage Ratio (DSCR) - NOI:</t>
  </si>
  <si>
    <t>Debt Service Coverage Ratio (DSCR) - Adj. NOI:</t>
  </si>
  <si>
    <t>(+) Cash Flow to Equity Investors:</t>
  </si>
  <si>
    <t>(-) Selling Costs:</t>
  </si>
  <si>
    <t>Property Selling Costs:</t>
  </si>
  <si>
    <t>Construction, Financing, and Exit Assumptions:</t>
  </si>
  <si>
    <t>Total Returns to Equity:</t>
  </si>
  <si>
    <t>Invested Equity:</t>
  </si>
  <si>
    <t>Cash-on-Cash Multiple:</t>
  </si>
  <si>
    <t>Sources &amp; Uses of Funds:</t>
  </si>
  <si>
    <t>Developer Equity:</t>
  </si>
  <si>
    <t>(+) Land Acquisition Costs:</t>
  </si>
  <si>
    <t>Total Development Costs:</t>
  </si>
  <si>
    <t>Loan-to-Value (LTV) Ratio:</t>
  </si>
  <si>
    <t>Property Value @ Refinancing:</t>
  </si>
  <si>
    <t>Discount Rate:</t>
  </si>
  <si>
    <t>Beginning Debt Balance:</t>
  </si>
  <si>
    <t>Ending Debt Balance:</t>
  </si>
  <si>
    <t>Percentage of Land Acquisition Costs:</t>
  </si>
  <si>
    <t>Total Uses:</t>
  </si>
  <si>
    <t>Percentage of Replacement Reserves:</t>
  </si>
  <si>
    <t>(+) Replacement Reserves:</t>
  </si>
  <si>
    <t>Effective Gross Income (EGI):</t>
  </si>
  <si>
    <t>Office/Retail</t>
  </si>
  <si>
    <t>London, U.K.</t>
  </si>
  <si>
    <t>100 Bishopsgate</t>
  </si>
  <si>
    <t>Monthly Projections - Construction and Lease-Up Period</t>
  </si>
  <si>
    <t>Land Plot Size:</t>
  </si>
  <si>
    <t>Floor Area Ratio (FAR):</t>
  </si>
  <si>
    <t>Gross Square Metres of Property:</t>
  </si>
  <si>
    <t>(£ in GBP as Stated)</t>
  </si>
  <si>
    <t>£ / sq. m.</t>
  </si>
  <si>
    <t>£</t>
  </si>
  <si>
    <t>Rentable Square Metres:</t>
  </si>
  <si>
    <t>Rentable to Gross Area %:</t>
  </si>
  <si>
    <t>sq. m.</t>
  </si>
  <si>
    <t>Soft Costs per GSM:</t>
  </si>
  <si>
    <t>Total Soft Costs:</t>
  </si>
  <si>
    <t>Rent Roll:</t>
  </si>
  <si>
    <t>Hard Costs per GSM:</t>
  </si>
  <si>
    <t>Total Hard Costs:</t>
  </si>
  <si>
    <t>Percentage of Hard Costs:</t>
  </si>
  <si>
    <t>Percentage of Soft Costs:</t>
  </si>
  <si>
    <t>(+) Hard Costs:</t>
  </si>
  <si>
    <t>(+) Soft Costs:</t>
  </si>
  <si>
    <t>Hard Costs:</t>
  </si>
  <si>
    <t>Soft Costs:</t>
  </si>
  <si>
    <t>Construction Completion Date:</t>
  </si>
  <si>
    <t>Investor Equity Contribution:</t>
  </si>
  <si>
    <t>Initial Lease Term (Years):</t>
  </si>
  <si>
    <t>£ / sq. m. / Yr</t>
  </si>
  <si>
    <t>Expense Inflation:</t>
  </si>
  <si>
    <t>Expense Inflation Multiplier:</t>
  </si>
  <si>
    <t>(-) Property Management Fees:</t>
  </si>
  <si>
    <t>(-) CapEx, TI, and LC Reserves:</t>
  </si>
  <si>
    <t>(-) Recoverable Expenses:</t>
  </si>
  <si>
    <t>Baseline Rent per Square Metre per Year:</t>
  </si>
  <si>
    <t>(-) Senior Loan Principal Repayment:</t>
  </si>
  <si>
    <t>Tenant #3 - Gross Lease:</t>
  </si>
  <si>
    <t>Numerical Year #:</t>
  </si>
  <si>
    <t>(-) Cash Interest Expense on Senior Loan:</t>
  </si>
  <si>
    <t>(-) Cash Interest Expense on Mezzanine:</t>
  </si>
  <si>
    <t>Month #</t>
  </si>
  <si>
    <t>(+) Senior Loan Issued:</t>
  </si>
  <si>
    <t>(+) Mezzanine Issued:</t>
  </si>
  <si>
    <t>Permanent Loan Refinancing Assumptions:</t>
  </si>
  <si>
    <t>Loan Issuance Fees:</t>
  </si>
  <si>
    <t>Senior Loan Amount:</t>
  </si>
  <si>
    <t>Senior Loan:</t>
  </si>
  <si>
    <t>Mezzanine:</t>
  </si>
  <si>
    <t>Mezzanine Amount:</t>
  </si>
  <si>
    <t>Tenor (Years):</t>
  </si>
  <si>
    <t>Cash Interest Rate - Annual:</t>
  </si>
  <si>
    <t>PIK Interest Rate - Annual:</t>
  </si>
  <si>
    <t>N/A</t>
  </si>
  <si>
    <t>(-) Debt Principal Repayment:</t>
  </si>
  <si>
    <t>(+) Construction Loan Draw:</t>
  </si>
  <si>
    <t>Equity Percentage Upon Exit:</t>
  </si>
  <si>
    <t>Total Permanent Loans:</t>
  </si>
  <si>
    <t>(+) Ending Senior Loan Balance:</t>
  </si>
  <si>
    <t>(+) Ending Mezzanine Balance:</t>
  </si>
  <si>
    <t>PIK Interest on Mezzanine:</t>
  </si>
  <si>
    <t>Property Exit Date:</t>
  </si>
  <si>
    <t>Cash Interest Rate - Monthly:</t>
  </si>
  <si>
    <t>PIK Interest Rate - Monthly:</t>
  </si>
  <si>
    <t>Refinancing Month #:</t>
  </si>
  <si>
    <t>Cumulative Equity Drawn:</t>
  </si>
  <si>
    <t>Returns to Mezzanine Investors:</t>
  </si>
  <si>
    <t>(-) Equity Granted to Mezzanine Investors:</t>
  </si>
  <si>
    <t>(+) Capitalised Loan Fees:</t>
  </si>
  <si>
    <t>(+) Capitalised Interest:</t>
  </si>
  <si>
    <t>Cash Interest Coverage Ratio - NOI:</t>
  </si>
  <si>
    <t>Cash Interest Coverage Ratio - Adjusted NOI:</t>
  </si>
  <si>
    <t>(-) Repayment of Mezzanine:</t>
  </si>
  <si>
    <t>(-) Prepayment Penalty on Mezzanine:</t>
  </si>
  <si>
    <t>Total Cash Flows to Mezzanine Investors:</t>
  </si>
  <si>
    <t>(-) Mezzanine Issued:</t>
  </si>
  <si>
    <t>(+) Repayment of Mezzanine:</t>
  </si>
  <si>
    <t>(+) Prepayment Penalty on Mezzanine:</t>
  </si>
  <si>
    <t>(+) Equity Granted to Mezzanine Investors:</t>
  </si>
  <si>
    <t>(-) Repayment of Senior Loan:</t>
  </si>
  <si>
    <t>(-) Prepayment Penalty on Senior Loan:</t>
  </si>
  <si>
    <t>(+) Cash Interest Received:</t>
  </si>
  <si>
    <t>Invested Amount:</t>
  </si>
  <si>
    <t>Total Returns:</t>
  </si>
  <si>
    <t>Prime Office Yield:</t>
  </si>
  <si>
    <t>Applicable Yield:</t>
  </si>
  <si>
    <t>Construction Period:</t>
  </si>
  <si>
    <t>Operational Period:</t>
  </si>
  <si>
    <t>Operating Assumptions:</t>
  </si>
  <si>
    <t>Selected Prime Office Yield:</t>
  </si>
  <si>
    <t>Operating Scenario:</t>
  </si>
  <si>
    <t>Base</t>
  </si>
  <si>
    <t>Downside</t>
  </si>
  <si>
    <t>Upside</t>
  </si>
  <si>
    <t>Initial Annual Expenses &amp; Taxes per RSM:</t>
  </si>
  <si>
    <t>Initial Annual Replacement Reserves per RSM:</t>
  </si>
  <si>
    <t>Prime Office Expense Growth Rate - City of London:</t>
  </si>
  <si>
    <t>Selected Prime Office Expense Growth Rate:</t>
  </si>
  <si>
    <t>Selected:</t>
  </si>
  <si>
    <t>Lease Term for New Tenants (Years):</t>
  </si>
  <si>
    <t>New Tenants - # Months of Free Rent:</t>
  </si>
  <si>
    <t>Renewal Tenants - # Months of Free Rent:</t>
  </si>
  <si>
    <t>Lease Terms, Renewals, and Capital Costs:</t>
  </si>
  <si>
    <t>New - Leasing Commissions % Lease Value:</t>
  </si>
  <si>
    <t>New - Tenant Improvements per RSM:</t>
  </si>
  <si>
    <t>Renewal - Tenant Improvements per RSM:</t>
  </si>
  <si>
    <t>Renewal - Leasing Commissions % Lease Value:</t>
  </si>
  <si>
    <t>Capital Costs:</t>
  </si>
  <si>
    <t>Replacement Reserve Balance:</t>
  </si>
  <si>
    <t>Credit Stats &amp; Ratios for Permanent Loans:</t>
  </si>
  <si>
    <t>IRR and Equity Multiple Hurdles:</t>
  </si>
  <si>
    <t>IRR / Multiple Between:</t>
  </si>
  <si>
    <t>Developer Name:</t>
  </si>
  <si>
    <t>Investor Name:</t>
  </si>
  <si>
    <t>Construction Financing &amp; Exit Assumptions:</t>
  </si>
  <si>
    <t>Low:</t>
  </si>
  <si>
    <t>High:</t>
  </si>
  <si>
    <t>Brookfield</t>
  </si>
  <si>
    <t>Great Portland Estates</t>
  </si>
  <si>
    <t>Developer Promote:</t>
  </si>
  <si>
    <t>Lookback Provision - Investor Required IRR:</t>
  </si>
  <si>
    <t>Waterfall Returns Schedule:</t>
  </si>
  <si>
    <t>(-) Invested Equity:</t>
  </si>
  <si>
    <t>(+) Net Cash Flow After Debt Service:</t>
  </si>
  <si>
    <t>Total Cash Flow to Equity Investors:</t>
  </si>
  <si>
    <t>(+) Beginning Balance:</t>
  </si>
  <si>
    <t>(+) Investor Injections:</t>
  </si>
  <si>
    <t>(+) Investor Accruals:</t>
  </si>
  <si>
    <t>(-) Tier 1 Accrual Distribution:</t>
  </si>
  <si>
    <t>Ending Balance:</t>
  </si>
  <si>
    <t>Investor Cash Flow:</t>
  </si>
  <si>
    <t>Developer Cash Flow:</t>
  </si>
  <si>
    <t>Cash Flow Available for Tier 2 Distribution:</t>
  </si>
  <si>
    <t>(-) Tier 2 Accrual Distribution:</t>
  </si>
  <si>
    <t>Cash Flow Available for Tier 3 Distribution:</t>
  </si>
  <si>
    <t>Remaining Cash to Distribute:</t>
  </si>
  <si>
    <t>Returns Summary:</t>
  </si>
  <si>
    <t>Unleveraged Cash Flows:</t>
  </si>
  <si>
    <t>Positive Cash Flows:</t>
  </si>
  <si>
    <t>Invested Amounts:</t>
  </si>
  <si>
    <t>Lookback Required:</t>
  </si>
  <si>
    <t>Investor Cash Flow After Lookback:</t>
  </si>
  <si>
    <t>Developer Cash Flow After Lookback:</t>
  </si>
  <si>
    <t>Investor Cash Flow Before Lookback:</t>
  </si>
  <si>
    <t>Developer Cash Flow Before Lookback:</t>
  </si>
  <si>
    <t>Amortisation (Years):</t>
  </si>
  <si>
    <t>Ctrl + Shift + L to activate Lookback VBA function.</t>
  </si>
  <si>
    <t>% Rentable Square Metres Occupied:</t>
  </si>
  <si>
    <t>Rentable Square Metres Occupied:</t>
  </si>
  <si>
    <t>(+) Return of Replacement Reserves:</t>
  </si>
  <si>
    <t>(-) Senior Loan Issuance Fees:</t>
  </si>
  <si>
    <t>(-) Mezzanine Issuance Fees:</t>
  </si>
  <si>
    <t>(+) Mezzanine Issuance Fees:</t>
  </si>
  <si>
    <t>Escalated Rent Paid by Initial Tenant:</t>
  </si>
  <si>
    <t>Escalated Rent Paid by New Tenant:</t>
  </si>
  <si>
    <t>Initial Lease - Annual Rental Escalation:</t>
  </si>
  <si>
    <t>(+) Base Rental Income - Initial Tenant:</t>
  </si>
  <si>
    <t>(+) Base Rental Income - Initial Tenant Renewal:</t>
  </si>
  <si>
    <t>(+) Base Rental Income - New Tenant:</t>
  </si>
  <si>
    <t>Escalated Rent Paid by Initial Tenant - Renewal:</t>
  </si>
  <si>
    <t>Renewal Lease Start Date:</t>
  </si>
  <si>
    <t>Renewal Lease - Annual Rental Escalation:</t>
  </si>
  <si>
    <t>Renewal Lease Term (Years):</t>
  </si>
  <si>
    <t>Renewal Lease Expiration Date:</t>
  </si>
  <si>
    <t>New Lease Start Date:</t>
  </si>
  <si>
    <t>New Lease Term (Years):</t>
  </si>
  <si>
    <t>New Lease Expiration Date:</t>
  </si>
  <si>
    <t>New Lease - Annual Rental Escalation:</t>
  </si>
  <si>
    <t>Market Rent per Square Metre per Year:</t>
  </si>
  <si>
    <t>Monthly Change in Market Rental Rates:</t>
  </si>
  <si>
    <t>Change in Prime Office Market Rents (Starting Rates for Leases):</t>
  </si>
  <si>
    <t>Selected Change in Prime Office Market Rents:</t>
  </si>
  <si>
    <t>Selected Fixed Annual Rental Escalation:</t>
  </si>
  <si>
    <t>Initial Lease - Rent-Free Months:</t>
  </si>
  <si>
    <t>Estimate for Capitalised Loan Fees &amp; Interest:</t>
  </si>
  <si>
    <t>Fixed Annual Rental Escalations for New and Renewal Leases Starting in Specified Year:</t>
  </si>
  <si>
    <t>Property Value 2 Years After Refi.:</t>
  </si>
  <si>
    <t>Sensitivity Analyses:</t>
  </si>
  <si>
    <t>Investor IRR - Exit Cap Rate and Operating Scenario:</t>
  </si>
  <si>
    <t>Developer IRR - Exit Cap Rate and Operating Scenario:</t>
  </si>
  <si>
    <t>Mezzanine IRR - Exit Cap Rate and Operating Scenario:</t>
  </si>
  <si>
    <t>Investor IRR - Exit Date and Operating Scenario:</t>
  </si>
  <si>
    <t>Exit Date:</t>
  </si>
  <si>
    <t>Developer IRR - Exit Date and Operating Scenario:</t>
  </si>
  <si>
    <t>Mezzanine IRR - Exit Date and Operating Scenario:</t>
  </si>
  <si>
    <t>Land Price per Square Metre:</t>
  </si>
  <si>
    <t>Actual: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</si>
</sst>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0.0%"/>
    <numFmt numFmtId="166" formatCode="0.0%_);\(0.0%\);\-_);@_)"/>
    <numFmt numFmtId="167" formatCode="yyyy\-mm\-dd"/>
    <numFmt numFmtId="168" formatCode="#,##0_);\(#,##0\);\-_);@_)"/>
    <numFmt numFmtId="169" formatCode="&quot;FY&quot;yy"/>
    <numFmt numFmtId="170" formatCode="#,##0\ &quot;sq. ft.&quot;"/>
    <numFmt numFmtId="171" formatCode="0.00\ \x_);\(0.00\ \x\);\-_);@_)"/>
    <numFmt numFmtId="172" formatCode="[$-409]mmm\-yy;@"/>
    <numFmt numFmtId="173" formatCode="#,###\ &quot;sq. m.&quot;"/>
    <numFmt numFmtId="174" formatCode="_-[$£-809]* #,##0_-;\-[$£-809]* #,##0_-;_-[$£-809]* &quot;-&quot;_-;_-@_-"/>
    <numFmt numFmtId="175" formatCode="_-[$£-809]* #,##0.00_-;\-[$£-809]* #,##0.00_-;_-[$£-809]* &quot;-&quot;??_-;_-@_-"/>
    <numFmt numFmtId="176" formatCode="0.00%_);\(0.00%\);\-_);@_)"/>
    <numFmt numFmtId="177" formatCode="0.00\ \x"/>
    <numFmt numFmtId="178" formatCode="_(* #,##0_);_(* \(#,##0\);_(* &quot;-&quot;??_);_(@_)"/>
    <numFmt numFmtId="179" formatCode="_-[$£-809]* #,##0.00_-;\-[$£-809]* #,##0.00_-;_-[$£-809]* &quot;-&quot;_-;_-@_-"/>
    <numFmt numFmtId="180" formatCode="0.0"/>
  </numFmts>
  <fonts count="3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sz val="12"/>
      <color theme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</font>
    <font>
      <sz val="11"/>
      <name val="Calibri"/>
      <family val="2"/>
      <scheme val="minor"/>
    </font>
    <font>
      <i/>
      <sz val="12"/>
      <name val="Calibri"/>
      <family val="2"/>
    </font>
    <font>
      <sz val="12"/>
      <color rgb="FFFF0000"/>
      <name val="Calibri"/>
      <family val="2"/>
      <scheme val="minor"/>
    </font>
    <font>
      <sz val="10"/>
      <name val="Arial"/>
      <family val="2"/>
    </font>
    <font>
      <b/>
      <sz val="12"/>
      <color rgb="FF0000FF"/>
      <name val="Calibri"/>
      <family val="2"/>
      <scheme val="minor"/>
    </font>
    <font>
      <b/>
      <sz val="12"/>
      <color indexed="9"/>
      <name val="Calibri"/>
      <family val="2"/>
      <scheme val="minor"/>
    </font>
    <font>
      <sz val="12"/>
      <color rgb="FF1F497D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9D9D9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auto="1"/>
      </top>
      <bottom style="thin">
        <color rgb="FFB2B2B2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 style="thin">
        <color rgb="FFB2B2B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7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/>
  </cellStyleXfs>
  <cellXfs count="271">
    <xf numFmtId="0" fontId="0" fillId="0" borderId="0" xfId="0"/>
    <xf numFmtId="0" fontId="3" fillId="0" borderId="0" xfId="0" applyFont="1"/>
    <xf numFmtId="0" fontId="0" fillId="0" borderId="0" xfId="0" applyFont="1" applyBorder="1"/>
    <xf numFmtId="0" fontId="4" fillId="0" borderId="0" xfId="0" applyFont="1" applyAlignment="1">
      <alignment horizontal="right"/>
    </xf>
    <xf numFmtId="42" fontId="4" fillId="0" borderId="0" xfId="0" applyNumberFormat="1" applyFont="1"/>
    <xf numFmtId="0" fontId="0" fillId="0" borderId="0" xfId="0" applyFont="1"/>
    <xf numFmtId="41" fontId="10" fillId="0" borderId="0" xfId="0" applyNumberFormat="1" applyFont="1" applyBorder="1"/>
    <xf numFmtId="0" fontId="0" fillId="0" borderId="1" xfId="0" applyFont="1" applyBorder="1"/>
    <xf numFmtId="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8" fillId="0" borderId="0" xfId="0" applyFont="1" applyFill="1" applyBorder="1"/>
    <xf numFmtId="14" fontId="8" fillId="0" borderId="0" xfId="0" applyNumberFormat="1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1" fillId="0" borderId="0" xfId="0" applyFont="1" applyBorder="1"/>
    <xf numFmtId="166" fontId="9" fillId="2" borderId="3" xfId="0" applyNumberFormat="1" applyFont="1" applyFill="1" applyBorder="1" applyAlignment="1" applyProtection="1">
      <alignment horizontal="center"/>
      <protection locked="0"/>
    </xf>
    <xf numFmtId="10" fontId="9" fillId="2" borderId="3" xfId="0" applyNumberFormat="1" applyFont="1" applyFill="1" applyBorder="1" applyAlignment="1" applyProtection="1">
      <alignment horizontal="center"/>
      <protection locked="0"/>
    </xf>
    <xf numFmtId="41" fontId="10" fillId="0" borderId="0" xfId="0" applyNumberFormat="1" applyFont="1"/>
    <xf numFmtId="167" fontId="9" fillId="2" borderId="3" xfId="0" applyNumberFormat="1" applyFont="1" applyFill="1" applyBorder="1" applyAlignment="1" applyProtection="1">
      <alignment horizontal="center"/>
      <protection locked="0"/>
    </xf>
    <xf numFmtId="0" fontId="9" fillId="2" borderId="3" xfId="0" applyNumberFormat="1" applyFont="1" applyFill="1" applyBorder="1" applyAlignment="1" applyProtection="1">
      <alignment horizontal="center"/>
      <protection locked="0"/>
    </xf>
    <xf numFmtId="168" fontId="0" fillId="0" borderId="0" xfId="0" applyNumberFormat="1" applyFont="1" applyBorder="1" applyAlignment="1">
      <alignment horizontal="left" indent="1"/>
    </xf>
    <xf numFmtId="0" fontId="0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3" borderId="1" xfId="0" applyNumberFormat="1" applyFont="1" applyFill="1" applyBorder="1" applyAlignment="1"/>
    <xf numFmtId="168" fontId="1" fillId="0" borderId="0" xfId="0" applyNumberFormat="1" applyFont="1" applyBorder="1"/>
    <xf numFmtId="0" fontId="0" fillId="0" borderId="1" xfId="0" applyFont="1" applyBorder="1" applyAlignment="1">
      <alignment horizontal="left" indent="1"/>
    </xf>
    <xf numFmtId="0" fontId="10" fillId="0" borderId="0" xfId="0" applyFont="1" applyAlignment="1">
      <alignment horizontal="left" indent="1"/>
    </xf>
    <xf numFmtId="41" fontId="10" fillId="0" borderId="1" xfId="0" applyNumberFormat="1" applyFont="1" applyBorder="1"/>
    <xf numFmtId="41" fontId="0" fillId="0" borderId="0" xfId="0" applyNumberFormat="1" applyFont="1"/>
    <xf numFmtId="41" fontId="9" fillId="2" borderId="3" xfId="0" applyNumberFormat="1" applyFont="1" applyFill="1" applyBorder="1" applyProtection="1">
      <protection locked="0"/>
    </xf>
    <xf numFmtId="41" fontId="13" fillId="0" borderId="2" xfId="0" applyNumberFormat="1" applyFont="1" applyBorder="1"/>
    <xf numFmtId="41" fontId="13" fillId="0" borderId="0" xfId="0" applyNumberFormat="1" applyFont="1" applyBorder="1"/>
    <xf numFmtId="0" fontId="3" fillId="0" borderId="0" xfId="0" applyFont="1" applyFill="1"/>
    <xf numFmtId="166" fontId="9" fillId="2" borderId="4" xfId="0" applyNumberFormat="1" applyFont="1" applyFill="1" applyBorder="1" applyAlignment="1" applyProtection="1">
      <alignment horizontal="center"/>
      <protection locked="0"/>
    </xf>
    <xf numFmtId="0" fontId="13" fillId="3" borderId="1" xfId="0" applyFont="1" applyFill="1" applyBorder="1"/>
    <xf numFmtId="0" fontId="3" fillId="3" borderId="1" xfId="0" applyFont="1" applyFill="1" applyBorder="1"/>
    <xf numFmtId="41" fontId="12" fillId="0" borderId="0" xfId="0" applyNumberFormat="1" applyFont="1"/>
    <xf numFmtId="0" fontId="14" fillId="0" borderId="0" xfId="0" applyFont="1"/>
    <xf numFmtId="1" fontId="9" fillId="2" borderId="3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/>
    <xf numFmtId="41" fontId="1" fillId="0" borderId="2" xfId="0" applyNumberFormat="1" applyFont="1" applyBorder="1"/>
    <xf numFmtId="0" fontId="15" fillId="4" borderId="1" xfId="0" applyNumberFormat="1" applyFont="1" applyFill="1" applyBorder="1" applyAlignment="1">
      <alignment horizontal="center"/>
    </xf>
    <xf numFmtId="0" fontId="8" fillId="4" borderId="1" xfId="0" applyFont="1" applyFill="1" applyBorder="1" applyAlignment="1"/>
    <xf numFmtId="0" fontId="2" fillId="4" borderId="1" xfId="0" applyFont="1" applyFill="1" applyBorder="1" applyAlignment="1"/>
    <xf numFmtId="0" fontId="3" fillId="4" borderId="1" xfId="0" applyFont="1" applyFill="1" applyBorder="1"/>
    <xf numFmtId="0" fontId="8" fillId="4" borderId="1" xfId="0" applyFont="1" applyFill="1" applyBorder="1"/>
    <xf numFmtId="0" fontId="2" fillId="4" borderId="1" xfId="0" applyFont="1" applyFill="1" applyBorder="1"/>
    <xf numFmtId="0" fontId="16" fillId="0" borderId="0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8" fillId="4" borderId="0" xfId="0" applyNumberFormat="1" applyFont="1" applyFill="1" applyBorder="1" applyAlignment="1">
      <alignment horizontal="left"/>
    </xf>
    <xf numFmtId="0" fontId="15" fillId="4" borderId="0" xfId="0" applyNumberFormat="1" applyFont="1" applyFill="1" applyBorder="1" applyAlignment="1">
      <alignment horizontal="left"/>
    </xf>
    <xf numFmtId="0" fontId="8" fillId="4" borderId="6" xfId="0" applyNumberFormat="1" applyFont="1" applyFill="1" applyBorder="1" applyAlignment="1">
      <alignment horizontal="centerContinuous"/>
    </xf>
    <xf numFmtId="0" fontId="8" fillId="4" borderId="1" xfId="0" applyNumberFormat="1" applyFont="1" applyFill="1" applyBorder="1" applyAlignment="1">
      <alignment horizontal="left"/>
    </xf>
    <xf numFmtId="169" fontId="8" fillId="4" borderId="1" xfId="0" applyNumberFormat="1" applyFont="1" applyFill="1" applyBorder="1" applyAlignment="1">
      <alignment horizontal="center"/>
    </xf>
    <xf numFmtId="0" fontId="18" fillId="0" borderId="0" xfId="0" applyNumberFormat="1" applyFont="1" applyBorder="1"/>
    <xf numFmtId="43" fontId="10" fillId="0" borderId="0" xfId="0" applyNumberFormat="1" applyFont="1" applyBorder="1"/>
    <xf numFmtId="0" fontId="19" fillId="3" borderId="1" xfId="0" applyNumberFormat="1" applyFont="1" applyFill="1" applyBorder="1"/>
    <xf numFmtId="0" fontId="16" fillId="3" borderId="1" xfId="0" applyNumberFormat="1" applyFont="1" applyFill="1" applyBorder="1" applyAlignment="1">
      <alignment horizontal="left"/>
    </xf>
    <xf numFmtId="0" fontId="18" fillId="3" borderId="1" xfId="0" applyNumberFormat="1" applyFont="1" applyFill="1" applyBorder="1"/>
    <xf numFmtId="0" fontId="18" fillId="3" borderId="1" xfId="0" applyFont="1" applyFill="1" applyBorder="1"/>
    <xf numFmtId="0" fontId="18" fillId="0" borderId="0" xfId="0" applyNumberFormat="1" applyFont="1" applyBorder="1" applyAlignment="1">
      <alignment horizontal="left" indent="1"/>
    </xf>
    <xf numFmtId="168" fontId="9" fillId="2" borderId="3" xfId="0" applyNumberFormat="1" applyFont="1" applyFill="1" applyBorder="1" applyAlignment="1" applyProtection="1">
      <alignment horizontal="center"/>
      <protection locked="0"/>
    </xf>
    <xf numFmtId="0" fontId="18" fillId="0" borderId="0" xfId="0" applyFont="1"/>
    <xf numFmtId="0" fontId="16" fillId="0" borderId="0" xfId="0" quotePrefix="1" applyNumberFormat="1" applyFont="1" applyBorder="1" applyAlignment="1">
      <alignment horizontal="center"/>
    </xf>
    <xf numFmtId="1" fontId="9" fillId="2" borderId="4" xfId="0" applyNumberFormat="1" applyFont="1" applyFill="1" applyBorder="1" applyAlignment="1" applyProtection="1">
      <alignment horizontal="center"/>
      <protection locked="0"/>
    </xf>
    <xf numFmtId="0" fontId="16" fillId="0" borderId="0" xfId="0" applyNumberFormat="1" applyFont="1" applyFill="1" applyBorder="1" applyAlignment="1">
      <alignment horizontal="center"/>
    </xf>
    <xf numFmtId="0" fontId="16" fillId="0" borderId="0" xfId="0" applyNumberFormat="1" applyFont="1" applyBorder="1" applyAlignment="1">
      <alignment horizontal="left"/>
    </xf>
    <xf numFmtId="168" fontId="18" fillId="0" borderId="0" xfId="0" applyNumberFormat="1" applyFont="1" applyBorder="1"/>
    <xf numFmtId="0" fontId="18" fillId="0" borderId="0" xfId="0" applyNumberFormat="1" applyFont="1" applyBorder="1" applyAlignment="1">
      <alignment horizontal="left"/>
    </xf>
    <xf numFmtId="0" fontId="15" fillId="4" borderId="1" xfId="0" applyFont="1" applyFill="1" applyBorder="1" applyAlignment="1">
      <alignment horizontal="center"/>
    </xf>
    <xf numFmtId="0" fontId="18" fillId="0" borderId="0" xfId="0" applyNumberFormat="1" applyFont="1" applyFill="1" applyBorder="1"/>
    <xf numFmtId="0" fontId="18" fillId="0" borderId="0" xfId="0" applyFont="1" applyFill="1" applyBorder="1"/>
    <xf numFmtId="168" fontId="23" fillId="0" borderId="0" xfId="0" applyNumberFormat="1" applyFont="1" applyBorder="1"/>
    <xf numFmtId="166" fontId="16" fillId="0" borderId="0" xfId="0" applyNumberFormat="1" applyFont="1" applyBorder="1"/>
    <xf numFmtId="0" fontId="0" fillId="0" borderId="0" xfId="0" applyBorder="1" applyAlignment="1">
      <alignment horizontal="left" indent="1"/>
    </xf>
    <xf numFmtId="0" fontId="3" fillId="0" borderId="0" xfId="0" applyFont="1" applyBorder="1"/>
    <xf numFmtId="0" fontId="0" fillId="0" borderId="1" xfId="0" applyBorder="1"/>
    <xf numFmtId="9" fontId="10" fillId="0" borderId="0" xfId="0" applyNumberFormat="1" applyFont="1" applyBorder="1"/>
    <xf numFmtId="171" fontId="16" fillId="0" borderId="0" xfId="0" applyNumberFormat="1" applyFont="1" applyBorder="1"/>
    <xf numFmtId="0" fontId="10" fillId="0" borderId="0" xfId="0" applyFont="1"/>
    <xf numFmtId="0" fontId="22" fillId="0" borderId="0" xfId="0" applyFont="1"/>
    <xf numFmtId="0" fontId="22" fillId="0" borderId="0" xfId="0" applyFont="1" applyAlignment="1">
      <alignment horizontal="left" indent="1"/>
    </xf>
    <xf numFmtId="41" fontId="1" fillId="0" borderId="0" xfId="0" applyNumberFormat="1" applyFont="1"/>
    <xf numFmtId="0" fontId="19" fillId="5" borderId="9" xfId="0" applyNumberFormat="1" applyFont="1" applyFill="1" applyBorder="1" applyAlignment="1">
      <alignment horizontal="left"/>
    </xf>
    <xf numFmtId="0" fontId="21" fillId="5" borderId="10" xfId="0" applyNumberFormat="1" applyFont="1" applyFill="1" applyBorder="1" applyAlignment="1">
      <alignment horizontal="center"/>
    </xf>
    <xf numFmtId="166" fontId="1" fillId="5" borderId="11" xfId="0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 applyProtection="1">
      <alignment horizontal="center"/>
      <protection locked="0"/>
    </xf>
    <xf numFmtId="0" fontId="0" fillId="0" borderId="2" xfId="0" applyFont="1" applyBorder="1"/>
    <xf numFmtId="41" fontId="10" fillId="0" borderId="0" xfId="0" applyNumberFormat="1" applyFont="1" applyFill="1" applyBorder="1" applyProtection="1">
      <protection locked="0"/>
    </xf>
    <xf numFmtId="0" fontId="17" fillId="0" borderId="0" xfId="0" applyNumberFormat="1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7" fillId="0" borderId="0" xfId="0" applyNumberFormat="1" applyFont="1" applyFill="1" applyBorder="1" applyAlignment="1">
      <alignment horizontal="center"/>
    </xf>
    <xf numFmtId="0" fontId="24" fillId="0" borderId="0" xfId="0" applyFont="1"/>
    <xf numFmtId="0" fontId="18" fillId="0" borderId="0" xfId="0" applyNumberFormat="1" applyFont="1" applyFill="1" applyBorder="1" applyAlignment="1">
      <alignment horizontal="left" indent="1"/>
    </xf>
    <xf numFmtId="0" fontId="10" fillId="0" borderId="0" xfId="0" applyFont="1" applyBorder="1" applyAlignment="1">
      <alignment horizontal="left" indent="1"/>
    </xf>
    <xf numFmtId="0" fontId="10" fillId="0" borderId="1" xfId="0" applyFont="1" applyBorder="1" applyAlignment="1">
      <alignment horizontal="left" indent="1"/>
    </xf>
    <xf numFmtId="168" fontId="10" fillId="0" borderId="0" xfId="0" applyNumberFormat="1" applyFont="1" applyBorder="1" applyAlignment="1">
      <alignment horizontal="left" indent="1"/>
    </xf>
    <xf numFmtId="0" fontId="9" fillId="2" borderId="3" xfId="0" applyNumberFormat="1" applyFont="1" applyFill="1" applyBorder="1" applyAlignment="1" applyProtection="1">
      <alignment horizontal="center" wrapText="1"/>
      <protection locked="0"/>
    </xf>
    <xf numFmtId="0" fontId="23" fillId="0" borderId="0" xfId="0" applyFont="1" applyBorder="1" applyAlignment="1">
      <alignment horizontal="left"/>
    </xf>
    <xf numFmtId="0" fontId="23" fillId="0" borderId="0" xfId="0" applyNumberFormat="1" applyFont="1" applyBorder="1"/>
    <xf numFmtId="0" fontId="13" fillId="0" borderId="0" xfId="0" applyNumberFormat="1" applyFont="1" applyBorder="1"/>
    <xf numFmtId="0" fontId="23" fillId="0" borderId="0" xfId="0" applyNumberFormat="1" applyFont="1" applyBorder="1" applyAlignment="1">
      <alignment horizontal="left" indent="1"/>
    </xf>
    <xf numFmtId="0" fontId="13" fillId="0" borderId="2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23" fillId="0" borderId="1" xfId="0" applyNumberFormat="1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7" fillId="0" borderId="0" xfId="0" applyNumberFormat="1" applyFont="1" applyBorder="1" applyAlignment="1">
      <alignment horizontal="left" indent="1"/>
    </xf>
    <xf numFmtId="0" fontId="23" fillId="0" borderId="0" xfId="0" applyFont="1"/>
    <xf numFmtId="0" fontId="25" fillId="0" borderId="0" xfId="0" applyNumberFormat="1" applyFont="1" applyFill="1" applyBorder="1" applyAlignment="1">
      <alignment horizontal="left" indent="1"/>
    </xf>
    <xf numFmtId="0" fontId="20" fillId="0" borderId="0" xfId="0" applyFont="1"/>
    <xf numFmtId="14" fontId="0" fillId="0" borderId="0" xfId="0" applyNumberFormat="1" applyFont="1" applyAlignment="1">
      <alignment horizontal="center"/>
    </xf>
    <xf numFmtId="41" fontId="9" fillId="0" borderId="7" xfId="0" applyNumberFormat="1" applyFont="1" applyFill="1" applyBorder="1" applyProtection="1">
      <protection locked="0"/>
    </xf>
    <xf numFmtId="167" fontId="10" fillId="2" borderId="3" xfId="0" applyNumberFormat="1" applyFont="1" applyFill="1" applyBorder="1" applyAlignment="1" applyProtection="1">
      <alignment horizontal="center"/>
      <protection locked="0"/>
    </xf>
    <xf numFmtId="164" fontId="10" fillId="0" borderId="0" xfId="0" applyNumberFormat="1" applyFont="1" applyAlignment="1">
      <alignment horizontal="center"/>
    </xf>
    <xf numFmtId="0" fontId="26" fillId="0" borderId="0" xfId="78" applyFont="1" applyFill="1" applyBorder="1"/>
    <xf numFmtId="0" fontId="10" fillId="0" borderId="0" xfId="78" applyFont="1" applyFill="1" applyBorder="1"/>
    <xf numFmtId="0" fontId="0" fillId="0" borderId="0" xfId="0" applyFont="1" applyFill="1" applyBorder="1"/>
    <xf numFmtId="44" fontId="10" fillId="0" borderId="0" xfId="0" applyNumberFormat="1" applyFont="1"/>
    <xf numFmtId="41" fontId="0" fillId="0" borderId="0" xfId="0" applyNumberFormat="1" applyFont="1" applyFill="1" applyBorder="1"/>
    <xf numFmtId="172" fontId="8" fillId="4" borderId="1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Protection="1">
      <protection locked="0"/>
    </xf>
    <xf numFmtId="173" fontId="9" fillId="2" borderId="3" xfId="0" applyNumberFormat="1" applyFont="1" applyFill="1" applyBorder="1" applyAlignment="1">
      <alignment horizontal="center"/>
    </xf>
    <xf numFmtId="173" fontId="10" fillId="0" borderId="7" xfId="0" applyNumberFormat="1" applyFont="1" applyFill="1" applyBorder="1" applyAlignment="1">
      <alignment horizontal="center"/>
    </xf>
    <xf numFmtId="0" fontId="0" fillId="0" borderId="0" xfId="0" applyFill="1" applyBorder="1"/>
    <xf numFmtId="173" fontId="9" fillId="0" borderId="0" xfId="0" applyNumberFormat="1" applyFont="1" applyFill="1" applyBorder="1" applyAlignment="1">
      <alignment horizontal="center"/>
    </xf>
    <xf numFmtId="174" fontId="10" fillId="0" borderId="0" xfId="0" applyNumberFormat="1" applyFont="1"/>
    <xf numFmtId="174" fontId="9" fillId="2" borderId="3" xfId="0" applyNumberFormat="1" applyFont="1" applyFill="1" applyBorder="1" applyProtection="1">
      <protection locked="0"/>
    </xf>
    <xf numFmtId="175" fontId="9" fillId="2" borderId="3" xfId="0" applyNumberFormat="1" applyFont="1" applyFill="1" applyBorder="1" applyProtection="1">
      <protection locked="0"/>
    </xf>
    <xf numFmtId="174" fontId="0" fillId="0" borderId="0" xfId="0" applyNumberFormat="1"/>
    <xf numFmtId="0" fontId="17" fillId="0" borderId="1" xfId="0" applyFont="1" applyBorder="1" applyAlignment="1">
      <alignment horizontal="center"/>
    </xf>
    <xf numFmtId="174" fontId="10" fillId="0" borderId="0" xfId="0" applyNumberFormat="1" applyFont="1" applyFill="1" applyBorder="1" applyProtection="1">
      <protection locked="0"/>
    </xf>
    <xf numFmtId="174" fontId="1" fillId="0" borderId="0" xfId="0" applyNumberFormat="1" applyFont="1"/>
    <xf numFmtId="166" fontId="10" fillId="0" borderId="7" xfId="0" applyNumberFormat="1" applyFont="1" applyFill="1" applyBorder="1" applyAlignment="1" applyProtection="1">
      <alignment horizontal="center"/>
      <protection locked="0"/>
    </xf>
    <xf numFmtId="165" fontId="0" fillId="0" borderId="0" xfId="0" applyNumberFormat="1" applyFont="1"/>
    <xf numFmtId="167" fontId="10" fillId="0" borderId="7" xfId="0" applyNumberFormat="1" applyFont="1" applyFill="1" applyBorder="1" applyAlignment="1" applyProtection="1">
      <alignment horizontal="center"/>
      <protection locked="0"/>
    </xf>
    <xf numFmtId="175" fontId="9" fillId="2" borderId="3" xfId="0" applyNumberFormat="1" applyFont="1" applyFill="1" applyBorder="1" applyAlignment="1" applyProtection="1">
      <alignment horizontal="center"/>
      <protection locked="0"/>
    </xf>
    <xf numFmtId="175" fontId="10" fillId="0" borderId="0" xfId="0" applyNumberFormat="1" applyFont="1" applyFill="1" applyBorder="1" applyProtection="1">
      <protection locked="0"/>
    </xf>
    <xf numFmtId="0" fontId="19" fillId="0" borderId="0" xfId="0" applyNumberFormat="1" applyFont="1" applyFill="1" applyBorder="1"/>
    <xf numFmtId="0" fontId="16" fillId="0" borderId="0" xfId="0" applyNumberFormat="1" applyFont="1" applyFill="1" applyBorder="1" applyAlignment="1">
      <alignment horizontal="left"/>
    </xf>
    <xf numFmtId="176" fontId="10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/>
    <xf numFmtId="39" fontId="9" fillId="2" borderId="3" xfId="0" applyNumberFormat="1" applyFont="1" applyFill="1" applyBorder="1" applyAlignment="1" applyProtection="1">
      <alignment horizontal="center"/>
      <protection locked="0"/>
    </xf>
    <xf numFmtId="39" fontId="22" fillId="0" borderId="0" xfId="0" applyNumberFormat="1" applyFont="1" applyAlignment="1">
      <alignment horizontal="center"/>
    </xf>
    <xf numFmtId="0" fontId="18" fillId="0" borderId="1" xfId="0" applyNumberFormat="1" applyFont="1" applyBorder="1" applyAlignment="1">
      <alignment horizontal="left" indent="1"/>
    </xf>
    <xf numFmtId="0" fontId="16" fillId="0" borderId="0" xfId="0" applyNumberFormat="1" applyFont="1" applyBorder="1"/>
    <xf numFmtId="43" fontId="0" fillId="0" borderId="0" xfId="0" applyNumberFormat="1"/>
    <xf numFmtId="164" fontId="12" fillId="0" borderId="0" xfId="0" applyNumberFormat="1" applyFont="1" applyAlignment="1">
      <alignment horizontal="center"/>
    </xf>
    <xf numFmtId="169" fontId="8" fillId="4" borderId="12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left"/>
    </xf>
    <xf numFmtId="0" fontId="17" fillId="0" borderId="0" xfId="0" applyFont="1" applyBorder="1" applyAlignment="1">
      <alignment horizontal="center"/>
    </xf>
    <xf numFmtId="174" fontId="0" fillId="0" borderId="0" xfId="0" applyNumberFormat="1" applyFont="1"/>
    <xf numFmtId="167" fontId="10" fillId="0" borderId="2" xfId="0" applyNumberFormat="1" applyFont="1" applyFill="1" applyBorder="1" applyAlignment="1" applyProtection="1">
      <alignment horizontal="center"/>
      <protection locked="0"/>
    </xf>
    <xf numFmtId="41" fontId="9" fillId="0" borderId="0" xfId="0" applyNumberFormat="1" applyFont="1" applyFill="1" applyBorder="1" applyProtection="1">
      <protection locked="0"/>
    </xf>
    <xf numFmtId="0" fontId="0" fillId="0" borderId="0" xfId="0" applyFont="1" applyBorder="1" applyAlignment="1">
      <alignment horizontal="left" indent="1"/>
    </xf>
    <xf numFmtId="0" fontId="17" fillId="0" borderId="2" xfId="0" applyFont="1" applyBorder="1" applyAlignment="1">
      <alignment horizontal="center"/>
    </xf>
    <xf numFmtId="41" fontId="28" fillId="2" borderId="13" xfId="0" applyNumberFormat="1" applyFont="1" applyFill="1" applyBorder="1" applyProtection="1">
      <protection locked="0"/>
    </xf>
    <xf numFmtId="0" fontId="0" fillId="0" borderId="0" xfId="0" applyAlignment="1">
      <alignment horizontal="center"/>
    </xf>
    <xf numFmtId="8" fontId="0" fillId="0" borderId="0" xfId="0" applyNumberFormat="1"/>
    <xf numFmtId="41" fontId="13" fillId="0" borderId="2" xfId="0" applyNumberFormat="1" applyFont="1" applyFill="1" applyBorder="1" applyProtection="1">
      <protection locked="0"/>
    </xf>
    <xf numFmtId="0" fontId="25" fillId="0" borderId="0" xfId="0" applyNumberFormat="1" applyFont="1" applyBorder="1" applyAlignment="1">
      <alignment horizontal="left" indent="1"/>
    </xf>
    <xf numFmtId="10" fontId="10" fillId="2" borderId="3" xfId="0" applyNumberFormat="1" applyFont="1" applyFill="1" applyBorder="1" applyAlignment="1" applyProtection="1">
      <alignment horizontal="center"/>
      <protection locked="0"/>
    </xf>
    <xf numFmtId="41" fontId="9" fillId="0" borderId="1" xfId="0" applyNumberFormat="1" applyFont="1" applyFill="1" applyBorder="1" applyProtection="1">
      <protection locked="0"/>
    </xf>
    <xf numFmtId="0" fontId="8" fillId="4" borderId="5" xfId="0" applyNumberFormat="1" applyFont="1" applyFill="1" applyBorder="1" applyAlignment="1">
      <alignment horizontal="centerContinuous"/>
    </xf>
    <xf numFmtId="169" fontId="8" fillId="4" borderId="14" xfId="0" applyNumberFormat="1" applyFont="1" applyFill="1" applyBorder="1" applyAlignment="1">
      <alignment horizontal="center"/>
    </xf>
    <xf numFmtId="0" fontId="13" fillId="0" borderId="0" xfId="0" applyFont="1"/>
    <xf numFmtId="0" fontId="13" fillId="0" borderId="2" xfId="0" applyFont="1" applyBorder="1"/>
    <xf numFmtId="0" fontId="16" fillId="0" borderId="2" xfId="0" applyNumberFormat="1" applyFont="1" applyBorder="1" applyAlignment="1">
      <alignment horizontal="center"/>
    </xf>
    <xf numFmtId="0" fontId="3" fillId="0" borderId="2" xfId="0" applyFont="1" applyBorder="1"/>
    <xf numFmtId="10" fontId="9" fillId="0" borderId="0" xfId="0" applyNumberFormat="1" applyFont="1" applyFill="1" applyBorder="1" applyAlignment="1" applyProtection="1">
      <alignment horizontal="center"/>
      <protection locked="0"/>
    </xf>
    <xf numFmtId="0" fontId="10" fillId="2" borderId="3" xfId="0" applyNumberFormat="1" applyFont="1" applyFill="1" applyBorder="1" applyAlignment="1" applyProtection="1">
      <alignment horizontal="center"/>
      <protection locked="0"/>
    </xf>
    <xf numFmtId="10" fontId="13" fillId="0" borderId="0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Border="1"/>
    <xf numFmtId="0" fontId="3" fillId="0" borderId="1" xfId="0" applyFont="1" applyBorder="1"/>
    <xf numFmtId="176" fontId="9" fillId="0" borderId="0" xfId="0" applyNumberFormat="1" applyFont="1" applyFill="1" applyBorder="1" applyAlignment="1" applyProtection="1">
      <alignment horizontal="center"/>
      <protection locked="0"/>
    </xf>
    <xf numFmtId="176" fontId="9" fillId="2" borderId="3" xfId="0" applyNumberFormat="1" applyFont="1" applyFill="1" applyBorder="1" applyAlignment="1" applyProtection="1">
      <alignment horizontal="center"/>
      <protection locked="0"/>
    </xf>
    <xf numFmtId="176" fontId="9" fillId="0" borderId="1" xfId="0" applyNumberFormat="1" applyFont="1" applyFill="1" applyBorder="1" applyAlignment="1" applyProtection="1">
      <alignment horizontal="center"/>
      <protection locked="0"/>
    </xf>
    <xf numFmtId="176" fontId="9" fillId="2" borderId="8" xfId="0" applyNumberFormat="1" applyFont="1" applyFill="1" applyBorder="1" applyAlignment="1" applyProtection="1">
      <alignment horizontal="center"/>
      <protection locked="0"/>
    </xf>
    <xf numFmtId="176" fontId="13" fillId="0" borderId="2" xfId="0" applyNumberFormat="1" applyFont="1" applyFill="1" applyBorder="1" applyAlignment="1" applyProtection="1">
      <alignment horizontal="center"/>
      <protection locked="0"/>
    </xf>
    <xf numFmtId="0" fontId="16" fillId="0" borderId="1" xfId="0" applyNumberFormat="1" applyFont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166" fontId="10" fillId="2" borderId="3" xfId="0" applyNumberFormat="1" applyFont="1" applyFill="1" applyBorder="1" applyAlignment="1" applyProtection="1">
      <alignment horizontal="center"/>
      <protection locked="0"/>
    </xf>
    <xf numFmtId="1" fontId="10" fillId="2" borderId="4" xfId="0" applyNumberFormat="1" applyFont="1" applyFill="1" applyBorder="1" applyAlignment="1" applyProtection="1">
      <alignment horizontal="center"/>
      <protection locked="0"/>
    </xf>
    <xf numFmtId="1" fontId="10" fillId="2" borderId="3" xfId="0" applyNumberFormat="1" applyFont="1" applyFill="1" applyBorder="1" applyAlignment="1" applyProtection="1">
      <alignment horizontal="center"/>
      <protection locked="0"/>
    </xf>
    <xf numFmtId="43" fontId="9" fillId="2" borderId="3" xfId="0" applyNumberFormat="1" applyFont="1" applyFill="1" applyBorder="1" applyAlignment="1" applyProtection="1">
      <alignment horizontal="center"/>
      <protection locked="0"/>
    </xf>
    <xf numFmtId="175" fontId="10" fillId="2" borderId="3" xfId="0" applyNumberFormat="1" applyFont="1" applyFill="1" applyBorder="1" applyAlignment="1" applyProtection="1">
      <alignment horizontal="center"/>
      <protection locked="0"/>
    </xf>
    <xf numFmtId="43" fontId="10" fillId="2" borderId="3" xfId="0" applyNumberFormat="1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/>
    <xf numFmtId="0" fontId="9" fillId="2" borderId="3" xfId="0" applyNumberFormat="1" applyFont="1" applyFill="1" applyBorder="1" applyAlignment="1" applyProtection="1">
      <alignment horizontal="centerContinuous"/>
      <protection locked="0"/>
    </xf>
    <xf numFmtId="0" fontId="1" fillId="3" borderId="1" xfId="0" applyFont="1" applyFill="1" applyBorder="1" applyAlignment="1">
      <alignment horizontal="center"/>
    </xf>
    <xf numFmtId="177" fontId="9" fillId="2" borderId="3" xfId="0" applyNumberFormat="1" applyFont="1" applyFill="1" applyBorder="1" applyAlignment="1" applyProtection="1">
      <alignment horizontal="center"/>
      <protection locked="0"/>
    </xf>
    <xf numFmtId="166" fontId="10" fillId="0" borderId="0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22" fillId="0" borderId="1" xfId="0" applyFont="1" applyBorder="1" applyAlignment="1">
      <alignment horizontal="left" indent="1"/>
    </xf>
    <xf numFmtId="0" fontId="1" fillId="0" borderId="0" xfId="0" applyFont="1" applyBorder="1" applyAlignment="1">
      <alignment horizontal="left"/>
    </xf>
    <xf numFmtId="41" fontId="22" fillId="0" borderId="0" xfId="0" applyNumberFormat="1" applyFont="1"/>
    <xf numFmtId="0" fontId="1" fillId="3" borderId="1" xfId="0" applyFont="1" applyFill="1" applyBorder="1"/>
    <xf numFmtId="0" fontId="22" fillId="0" borderId="0" xfId="0" applyFont="1" applyBorder="1" applyAlignment="1">
      <alignment horizontal="left" indent="1"/>
    </xf>
    <xf numFmtId="0" fontId="1" fillId="0" borderId="2" xfId="0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1" fillId="0" borderId="0" xfId="0" applyFont="1"/>
    <xf numFmtId="0" fontId="22" fillId="0" borderId="1" xfId="0" applyFont="1" applyBorder="1"/>
    <xf numFmtId="41" fontId="22" fillId="0" borderId="1" xfId="0" applyNumberFormat="1" applyFont="1" applyBorder="1"/>
    <xf numFmtId="166" fontId="12" fillId="0" borderId="0" xfId="0" applyNumberFormat="1" applyFont="1" applyAlignment="1">
      <alignment horizontal="center"/>
    </xf>
    <xf numFmtId="0" fontId="22" fillId="0" borderId="2" xfId="0" applyFont="1" applyBorder="1"/>
    <xf numFmtId="177" fontId="22" fillId="0" borderId="0" xfId="0" applyNumberFormat="1" applyFont="1" applyAlignment="1">
      <alignment horizontal="center"/>
    </xf>
    <xf numFmtId="177" fontId="12" fillId="0" borderId="0" xfId="0" applyNumberFormat="1" applyFont="1" applyAlignment="1">
      <alignment horizontal="center"/>
    </xf>
    <xf numFmtId="166" fontId="22" fillId="0" borderId="0" xfId="0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174" fontId="13" fillId="0" borderId="0" xfId="0" applyNumberFormat="1" applyFont="1" applyFill="1" applyBorder="1" applyProtection="1">
      <protection locked="0"/>
    </xf>
    <xf numFmtId="41" fontId="22" fillId="0" borderId="0" xfId="0" applyNumberFormat="1" applyFont="1" applyAlignment="1">
      <alignment horizontal="center"/>
    </xf>
    <xf numFmtId="177" fontId="22" fillId="0" borderId="0" xfId="0" applyNumberFormat="1" applyFont="1" applyBorder="1" applyAlignment="1">
      <alignment horizontal="center"/>
    </xf>
    <xf numFmtId="9" fontId="22" fillId="0" borderId="0" xfId="0" applyNumberFormat="1" applyFont="1"/>
    <xf numFmtId="41" fontId="13" fillId="0" borderId="0" xfId="0" applyNumberFormat="1" applyFont="1"/>
    <xf numFmtId="0" fontId="23" fillId="0" borderId="0" xfId="0" applyFont="1" applyBorder="1" applyAlignment="1">
      <alignment horizontal="left" indent="1"/>
    </xf>
    <xf numFmtId="177" fontId="12" fillId="0" borderId="0" xfId="0" applyNumberFormat="1" applyFont="1" applyBorder="1" applyAlignment="1">
      <alignment horizontal="center"/>
    </xf>
    <xf numFmtId="174" fontId="13" fillId="0" borderId="0" xfId="0" applyNumberFormat="1" applyFont="1" applyBorder="1"/>
    <xf numFmtId="0" fontId="8" fillId="4" borderId="15" xfId="0" applyNumberFormat="1" applyFont="1" applyFill="1" applyBorder="1" applyAlignment="1">
      <alignment horizontal="centerContinuous"/>
    </xf>
    <xf numFmtId="0" fontId="0" fillId="0" borderId="0" xfId="0" applyFill="1"/>
    <xf numFmtId="166" fontId="10" fillId="0" borderId="0" xfId="0" applyNumberFormat="1" applyFont="1" applyFill="1" applyBorder="1" applyAlignment="1">
      <alignment horizontal="center"/>
    </xf>
    <xf numFmtId="175" fontId="0" fillId="0" borderId="0" xfId="0" applyNumberFormat="1"/>
    <xf numFmtId="43" fontId="0" fillId="0" borderId="0" xfId="0" applyNumberFormat="1" applyFont="1"/>
    <xf numFmtId="43" fontId="10" fillId="0" borderId="0" xfId="0" applyNumberFormat="1" applyFont="1" applyFill="1" applyBorder="1" applyProtection="1">
      <protection locked="0"/>
    </xf>
    <xf numFmtId="167" fontId="10" fillId="0" borderId="0" xfId="0" applyNumberFormat="1" applyFont="1" applyFill="1" applyBorder="1" applyAlignment="1" applyProtection="1">
      <alignment horizontal="center"/>
      <protection locked="0"/>
    </xf>
    <xf numFmtId="168" fontId="12" fillId="0" borderId="0" xfId="0" applyNumberFormat="1" applyFont="1" applyFill="1" applyBorder="1" applyAlignment="1" applyProtection="1">
      <alignment horizontal="center"/>
      <protection locked="0"/>
    </xf>
    <xf numFmtId="8" fontId="3" fillId="0" borderId="0" xfId="0" applyNumberFormat="1" applyFont="1"/>
    <xf numFmtId="178" fontId="0" fillId="0" borderId="0" xfId="0" applyNumberFormat="1"/>
    <xf numFmtId="0" fontId="0" fillId="0" borderId="0" xfId="0" applyBorder="1"/>
    <xf numFmtId="41" fontId="10" fillId="2" borderId="3" xfId="0" applyNumberFormat="1" applyFont="1" applyFill="1" applyBorder="1" applyProtection="1">
      <protection locked="0"/>
    </xf>
    <xf numFmtId="41" fontId="10" fillId="0" borderId="16" xfId="0" applyNumberFormat="1" applyFont="1" applyBorder="1"/>
    <xf numFmtId="165" fontId="10" fillId="0" borderId="0" xfId="0" applyNumberFormat="1" applyFont="1" applyAlignment="1">
      <alignment horizontal="center"/>
    </xf>
    <xf numFmtId="175" fontId="3" fillId="0" borderId="0" xfId="0" applyNumberFormat="1" applyFont="1"/>
    <xf numFmtId="179" fontId="1" fillId="0" borderId="0" xfId="0" applyNumberFormat="1" applyFont="1"/>
    <xf numFmtId="9" fontId="0" fillId="0" borderId="0" xfId="0" applyNumberFormat="1" applyFont="1"/>
    <xf numFmtId="9" fontId="0" fillId="0" borderId="0" xfId="0" applyNumberFormat="1"/>
    <xf numFmtId="41" fontId="0" fillId="0" borderId="0" xfId="0" applyNumberFormat="1"/>
    <xf numFmtId="0" fontId="29" fillId="4" borderId="1" xfId="78" applyFont="1" applyFill="1" applyBorder="1"/>
    <xf numFmtId="0" fontId="19" fillId="0" borderId="0" xfId="0" applyFont="1"/>
    <xf numFmtId="0" fontId="8" fillId="4" borderId="17" xfId="78" applyFont="1" applyFill="1" applyBorder="1" applyAlignment="1">
      <alignment horizontal="center"/>
    </xf>
    <xf numFmtId="0" fontId="8" fillId="4" borderId="10" xfId="78" applyFont="1" applyFill="1" applyBorder="1" applyAlignment="1">
      <alignment horizontal="centerContinuous"/>
    </xf>
    <xf numFmtId="0" fontId="8" fillId="4" borderId="11" xfId="78" applyFont="1" applyFill="1" applyBorder="1" applyAlignment="1">
      <alignment horizontal="centerContinuous"/>
    </xf>
    <xf numFmtId="166" fontId="30" fillId="4" borderId="18" xfId="78" applyNumberFormat="1" applyFont="1" applyFill="1" applyBorder="1"/>
    <xf numFmtId="176" fontId="10" fillId="3" borderId="10" xfId="78" applyNumberFormat="1" applyFont="1" applyFill="1" applyBorder="1" applyAlignment="1">
      <alignment horizontal="center"/>
    </xf>
    <xf numFmtId="176" fontId="13" fillId="3" borderId="10" xfId="78" applyNumberFormat="1" applyFont="1" applyFill="1" applyBorder="1" applyAlignment="1">
      <alignment horizontal="center"/>
    </xf>
    <xf numFmtId="0" fontId="10" fillId="6" borderId="19" xfId="78" applyFont="1" applyFill="1" applyBorder="1" applyAlignment="1">
      <alignment horizontal="right"/>
    </xf>
    <xf numFmtId="166" fontId="23" fillId="0" borderId="0" xfId="0" quotePrefix="1" applyNumberFormat="1" applyFont="1" applyFill="1" applyBorder="1" applyAlignment="1">
      <alignment horizontal="center"/>
    </xf>
    <xf numFmtId="166" fontId="20" fillId="0" borderId="0" xfId="0" quotePrefix="1" applyNumberFormat="1" applyFont="1" applyBorder="1" applyAlignment="1">
      <alignment horizontal="center"/>
    </xf>
    <xf numFmtId="166" fontId="23" fillId="0" borderId="0" xfId="0" quotePrefix="1" applyNumberFormat="1" applyFont="1" applyBorder="1" applyAlignment="1">
      <alignment horizontal="center"/>
    </xf>
    <xf numFmtId="0" fontId="10" fillId="6" borderId="18" xfId="78" applyFont="1" applyFill="1" applyBorder="1" applyAlignment="1">
      <alignment horizontal="right"/>
    </xf>
    <xf numFmtId="166" fontId="10" fillId="0" borderId="20" xfId="78" applyNumberFormat="1" applyFont="1" applyFill="1" applyBorder="1" applyAlignment="1">
      <alignment horizontal="center"/>
    </xf>
    <xf numFmtId="0" fontId="10" fillId="6" borderId="21" xfId="78" applyFont="1" applyFill="1" applyBorder="1" applyAlignment="1">
      <alignment horizontal="right"/>
    </xf>
    <xf numFmtId="176" fontId="9" fillId="2" borderId="4" xfId="0" applyNumberFormat="1" applyFont="1" applyFill="1" applyBorder="1" applyAlignment="1" applyProtection="1">
      <alignment horizontal="center"/>
      <protection locked="0"/>
    </xf>
    <xf numFmtId="176" fontId="9" fillId="2" borderId="23" xfId="0" applyNumberFormat="1" applyFont="1" applyFill="1" applyBorder="1" applyAlignment="1" applyProtection="1">
      <alignment horizontal="center"/>
      <protection locked="0"/>
    </xf>
    <xf numFmtId="176" fontId="13" fillId="3" borderId="11" xfId="78" applyNumberFormat="1" applyFont="1" applyFill="1" applyBorder="1" applyAlignment="1">
      <alignment horizontal="center"/>
    </xf>
    <xf numFmtId="176" fontId="13" fillId="0" borderId="0" xfId="0" applyNumberFormat="1" applyFont="1" applyFill="1" applyBorder="1" applyAlignment="1" applyProtection="1">
      <alignment horizontal="center"/>
      <protection locked="0"/>
    </xf>
    <xf numFmtId="176" fontId="9" fillId="0" borderId="22" xfId="0" applyNumberFormat="1" applyFont="1" applyFill="1" applyBorder="1" applyAlignment="1" applyProtection="1">
      <alignment horizontal="center"/>
      <protection locked="0"/>
    </xf>
    <xf numFmtId="172" fontId="10" fillId="3" borderId="1" xfId="0" applyNumberFormat="1" applyFont="1" applyFill="1" applyBorder="1" applyAlignment="1">
      <alignment horizontal="center"/>
    </xf>
    <xf numFmtId="172" fontId="10" fillId="3" borderId="11" xfId="0" applyNumberFormat="1" applyFont="1" applyFill="1" applyBorder="1" applyAlignment="1">
      <alignment horizontal="center"/>
    </xf>
    <xf numFmtId="172" fontId="10" fillId="0" borderId="20" xfId="0" applyNumberFormat="1" applyFont="1" applyFill="1" applyBorder="1" applyAlignment="1">
      <alignment horizontal="center"/>
    </xf>
    <xf numFmtId="172" fontId="10" fillId="3" borderId="10" xfId="0" applyNumberFormat="1" applyFont="1" applyFill="1" applyBorder="1" applyAlignment="1">
      <alignment horizontal="center"/>
    </xf>
    <xf numFmtId="180" fontId="9" fillId="2" borderId="3" xfId="0" applyNumberFormat="1" applyFont="1" applyFill="1" applyBorder="1" applyAlignment="1" applyProtection="1">
      <alignment horizontal="center"/>
      <protection locked="0"/>
    </xf>
    <xf numFmtId="166" fontId="13" fillId="0" borderId="17" xfId="78" applyNumberFormat="1" applyFont="1" applyFill="1" applyBorder="1" applyAlignment="1">
      <alignment horizontal="center"/>
    </xf>
    <xf numFmtId="166" fontId="13" fillId="0" borderId="20" xfId="78" applyNumberFormat="1" applyFont="1" applyFill="1" applyBorder="1" applyAlignment="1">
      <alignment horizontal="center"/>
    </xf>
    <xf numFmtId="178" fontId="10" fillId="0" borderId="0" xfId="0" applyNumberFormat="1" applyFont="1"/>
    <xf numFmtId="0" fontId="1" fillId="0" borderId="0" xfId="0" applyFont="1" applyAlignment="1">
      <alignment horizontal="center"/>
    </xf>
    <xf numFmtId="176" fontId="28" fillId="3" borderId="9" xfId="78" applyNumberFormat="1" applyFont="1" applyFill="1" applyBorder="1" applyAlignment="1">
      <alignment horizontal="center"/>
    </xf>
    <xf numFmtId="176" fontId="13" fillId="3" borderId="9" xfId="78" applyNumberFormat="1" applyFont="1" applyFill="1" applyBorder="1" applyAlignment="1">
      <alignment horizontal="center"/>
    </xf>
    <xf numFmtId="172" fontId="13" fillId="3" borderId="1" xfId="0" applyNumberFormat="1" applyFont="1" applyFill="1" applyBorder="1" applyAlignment="1">
      <alignment horizontal="center"/>
    </xf>
    <xf numFmtId="0" fontId="0" fillId="0" borderId="0" xfId="0" quotePrefix="1" applyFont="1" applyFill="1" applyBorder="1"/>
  </cellXfs>
  <cellStyles count="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6" builtinId="8" hidden="1"/>
    <cellStyle name="Normal" xfId="0" builtinId="0"/>
    <cellStyle name="Normal 2" xfId="78" xr:uid="{00000000-0005-0000-0000-00004D000000}"/>
    <cellStyle name="Normal 22" xfId="75" xr:uid="{00000000-0005-0000-0000-00004E000000}"/>
  </cellStyles>
  <dxfs count="0"/>
  <tableStyles count="0" defaultTableStyle="TableStyleMedium9" defaultPivotStyle="PivotStyleMedium7"/>
  <colors>
    <mruColors>
      <color rgb="FF0000FF"/>
      <color rgb="FF1F497D"/>
      <color rgb="FFB2B2B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B1:Z246"/>
  <sheetViews>
    <sheetView showGridLines="0" tabSelected="1" topLeftCell="A198" zoomScaleNormal="100" zoomScaleSheetLayoutView="70" workbookViewId="0">
      <selection activeCell="G209" sqref="G209"/>
    </sheetView>
  </sheetViews>
  <sheetFormatPr defaultColWidth="11" defaultRowHeight="15.75" outlineLevelRow="1" x14ac:dyDescent="0.25"/>
  <cols>
    <col min="1" max="2" width="2.625" customWidth="1"/>
    <col min="3" max="3" width="40.125" bestFit="1" customWidth="1"/>
    <col min="4" max="4" width="14.125" customWidth="1"/>
    <col min="5" max="5" width="14.75" bestFit="1" customWidth="1"/>
    <col min="6" max="9" width="14.125" customWidth="1"/>
    <col min="10" max="10" width="14.75" bestFit="1" customWidth="1"/>
    <col min="11" max="15" width="14.125" customWidth="1"/>
    <col min="16" max="16" width="2.625" customWidth="1"/>
    <col min="17" max="24" width="14.125" customWidth="1"/>
  </cols>
  <sheetData>
    <row r="1" spans="2:23" x14ac:dyDescent="0.25">
      <c r="C1" s="1"/>
      <c r="D1" s="1"/>
      <c r="E1" s="1"/>
      <c r="F1" s="1"/>
      <c r="G1" s="1"/>
      <c r="H1" s="1"/>
      <c r="I1" s="1"/>
      <c r="J1" s="1"/>
    </row>
    <row r="2" spans="2:23" ht="18.75" x14ac:dyDescent="0.3">
      <c r="B2" s="36" t="str">
        <f>E7&amp;" - Investment Analysis"</f>
        <v>100 Bishopsgate - Investment Analysis</v>
      </c>
      <c r="C2" s="1"/>
      <c r="D2" s="1"/>
      <c r="E2" s="1"/>
      <c r="F2" s="1"/>
      <c r="G2" s="1"/>
      <c r="H2" s="1"/>
      <c r="I2" s="1"/>
      <c r="J2" s="1"/>
    </row>
    <row r="3" spans="2:23" x14ac:dyDescent="0.25">
      <c r="B3" s="5" t="s">
        <v>105</v>
      </c>
      <c r="C3" s="1"/>
      <c r="D3" s="1"/>
      <c r="E3" s="1"/>
      <c r="F3" s="1"/>
      <c r="G3" s="1"/>
      <c r="H3" s="1"/>
      <c r="I3" s="1"/>
      <c r="J3" s="1"/>
    </row>
    <row r="4" spans="2:23" x14ac:dyDescent="0.25">
      <c r="B4" s="1"/>
      <c r="C4" s="1"/>
      <c r="D4" s="1"/>
      <c r="E4" s="1"/>
      <c r="F4" s="1"/>
      <c r="G4" s="1"/>
      <c r="H4" s="1"/>
      <c r="I4" s="1"/>
      <c r="J4" s="1"/>
      <c r="M4" s="117"/>
      <c r="N4" s="117"/>
    </row>
    <row r="5" spans="2:23" x14ac:dyDescent="0.25">
      <c r="B5" s="41" t="s">
        <v>8</v>
      </c>
      <c r="C5" s="42"/>
      <c r="D5" s="40" t="s">
        <v>32</v>
      </c>
      <c r="E5" s="43"/>
      <c r="F5" s="43"/>
      <c r="G5" s="43"/>
      <c r="H5" s="43"/>
      <c r="I5" s="40" t="str">
        <f>+$D$5</f>
        <v>Units:</v>
      </c>
      <c r="J5" s="43"/>
      <c r="K5" s="43"/>
      <c r="M5" s="117"/>
      <c r="N5" s="117"/>
      <c r="O5" s="117"/>
      <c r="P5" s="117"/>
      <c r="Q5" s="117"/>
      <c r="R5" s="117"/>
      <c r="S5" s="117"/>
      <c r="T5" s="117"/>
      <c r="U5" s="117"/>
      <c r="V5" s="117"/>
      <c r="W5" s="117"/>
    </row>
    <row r="6" spans="2:23" outlineLevel="1" x14ac:dyDescent="0.25">
      <c r="B6" s="1"/>
      <c r="C6" s="1"/>
      <c r="D6" s="1"/>
      <c r="E6" s="1"/>
      <c r="F6" s="1"/>
      <c r="G6" s="1"/>
      <c r="H6" s="1"/>
      <c r="I6" s="1"/>
      <c r="J6" s="1"/>
      <c r="M6" s="115"/>
      <c r="N6" s="116"/>
      <c r="O6" s="116"/>
      <c r="P6" s="116"/>
      <c r="Q6" s="116"/>
      <c r="R6" s="116"/>
      <c r="S6" s="116"/>
      <c r="T6" s="116"/>
      <c r="U6" s="116"/>
      <c r="V6" s="116"/>
      <c r="W6" s="117"/>
    </row>
    <row r="7" spans="2:23" ht="15.75" customHeight="1" outlineLevel="1" x14ac:dyDescent="0.25">
      <c r="C7" s="79" t="s">
        <v>38</v>
      </c>
      <c r="D7" s="89" t="s">
        <v>33</v>
      </c>
      <c r="E7" s="97" t="s">
        <v>100</v>
      </c>
      <c r="F7" s="1"/>
      <c r="G7" s="79" t="s">
        <v>114</v>
      </c>
      <c r="H7" s="92"/>
      <c r="I7" s="90" t="s">
        <v>106</v>
      </c>
      <c r="J7" s="128">
        <v>8000</v>
      </c>
      <c r="K7" s="124"/>
      <c r="M7" s="117"/>
      <c r="N7" s="117"/>
      <c r="O7" s="117"/>
      <c r="P7" s="117"/>
      <c r="Q7" s="117"/>
      <c r="R7" s="117"/>
      <c r="S7" s="117"/>
      <c r="T7" s="117"/>
      <c r="U7" s="117"/>
      <c r="V7" s="117"/>
      <c r="W7" s="117"/>
    </row>
    <row r="8" spans="2:23" outlineLevel="1" x14ac:dyDescent="0.25">
      <c r="C8" s="79" t="s">
        <v>37</v>
      </c>
      <c r="D8" s="89" t="s">
        <v>33</v>
      </c>
      <c r="E8" s="18" t="s">
        <v>98</v>
      </c>
      <c r="F8" s="1"/>
      <c r="G8" s="79" t="s">
        <v>115</v>
      </c>
      <c r="H8" s="79"/>
      <c r="I8" s="47" t="s">
        <v>107</v>
      </c>
      <c r="J8" s="126">
        <f>+J7*Gross_Sq_M</f>
        <v>720000000</v>
      </c>
      <c r="K8" s="124"/>
      <c r="M8" s="117"/>
      <c r="N8" s="117"/>
      <c r="O8" s="117"/>
      <c r="P8" s="117"/>
      <c r="Q8" s="117"/>
      <c r="R8" s="117"/>
      <c r="S8" s="117"/>
      <c r="T8" s="117"/>
      <c r="U8" s="117"/>
      <c r="V8" s="117"/>
      <c r="W8" s="117"/>
    </row>
    <row r="9" spans="2:23" outlineLevel="1" x14ac:dyDescent="0.25">
      <c r="C9" s="79"/>
      <c r="D9" s="79"/>
      <c r="E9" s="3"/>
      <c r="F9" s="1"/>
      <c r="G9" s="79"/>
      <c r="H9" s="79"/>
      <c r="I9" s="91"/>
      <c r="J9" s="86"/>
      <c r="K9" s="124"/>
      <c r="M9" s="117"/>
      <c r="N9" s="116"/>
      <c r="O9" s="116"/>
      <c r="P9" s="116"/>
      <c r="Q9" s="116"/>
      <c r="R9" s="116"/>
      <c r="S9" s="116"/>
      <c r="T9" s="116"/>
      <c r="U9" s="116"/>
      <c r="V9" s="117"/>
      <c r="W9" s="117"/>
    </row>
    <row r="10" spans="2:23" outlineLevel="1" x14ac:dyDescent="0.25">
      <c r="C10" s="79" t="s">
        <v>36</v>
      </c>
      <c r="D10" s="89" t="s">
        <v>33</v>
      </c>
      <c r="E10" s="18" t="s">
        <v>99</v>
      </c>
      <c r="F10" s="1"/>
      <c r="G10" s="79" t="s">
        <v>111</v>
      </c>
      <c r="H10" s="92"/>
      <c r="I10" s="90" t="s">
        <v>106</v>
      </c>
      <c r="J10" s="128">
        <v>1000</v>
      </c>
      <c r="K10" s="124"/>
      <c r="M10" s="116"/>
      <c r="N10" s="116"/>
      <c r="O10" s="116"/>
      <c r="P10" s="116"/>
      <c r="Q10" s="116"/>
      <c r="R10" s="116"/>
      <c r="S10" s="116"/>
      <c r="T10" s="116"/>
      <c r="U10" s="116"/>
      <c r="V10" s="117"/>
      <c r="W10" s="117"/>
    </row>
    <row r="11" spans="2:23" outlineLevel="1" x14ac:dyDescent="0.25">
      <c r="C11" s="79" t="s">
        <v>35</v>
      </c>
      <c r="D11" s="89" t="s">
        <v>34</v>
      </c>
      <c r="E11" s="17">
        <v>42155</v>
      </c>
      <c r="F11" s="1"/>
      <c r="G11" s="79" t="s">
        <v>112</v>
      </c>
      <c r="I11" s="47" t="s">
        <v>107</v>
      </c>
      <c r="J11" s="126">
        <f>+J10*Gross_Sq_M</f>
        <v>90000000</v>
      </c>
      <c r="K11" s="124"/>
      <c r="M11" s="116"/>
      <c r="N11" s="116"/>
      <c r="O11" s="116"/>
      <c r="P11" s="116"/>
      <c r="Q11" s="116"/>
      <c r="R11" s="116"/>
      <c r="S11" s="116"/>
      <c r="T11" s="116"/>
      <c r="U11" s="116"/>
      <c r="V11" s="117"/>
      <c r="W11" s="117"/>
    </row>
    <row r="12" spans="2:23" outlineLevel="1" x14ac:dyDescent="0.25">
      <c r="C12" s="99" t="s">
        <v>43</v>
      </c>
      <c r="D12" s="89" t="s">
        <v>44</v>
      </c>
      <c r="E12" s="37">
        <v>12</v>
      </c>
      <c r="F12" s="1"/>
      <c r="M12" s="116"/>
      <c r="N12" s="116"/>
      <c r="O12" s="116"/>
      <c r="P12" s="116"/>
      <c r="Q12" s="116"/>
      <c r="R12" s="116"/>
      <c r="S12" s="116"/>
      <c r="T12" s="116"/>
      <c r="U12" s="116"/>
      <c r="V12" s="117"/>
      <c r="W12" s="117"/>
    </row>
    <row r="13" spans="2:23" outlineLevel="1" x14ac:dyDescent="0.25">
      <c r="C13" s="79"/>
      <c r="D13" s="79"/>
      <c r="G13" s="79" t="s">
        <v>7</v>
      </c>
      <c r="I13" s="47" t="s">
        <v>107</v>
      </c>
      <c r="J13" s="129">
        <f>+Hard_Costs+Soft_Costs</f>
        <v>810000000</v>
      </c>
      <c r="M13" s="116"/>
      <c r="N13" s="117"/>
      <c r="O13" s="117"/>
      <c r="P13" s="117"/>
      <c r="Q13" s="117"/>
      <c r="R13" s="117"/>
      <c r="S13" s="117"/>
      <c r="T13" s="117"/>
      <c r="U13" s="117"/>
      <c r="V13" s="117"/>
      <c r="W13" s="117"/>
    </row>
    <row r="14" spans="2:23" outlineLevel="1" x14ac:dyDescent="0.25">
      <c r="C14" s="79" t="s">
        <v>102</v>
      </c>
      <c r="D14" s="47" t="s">
        <v>110</v>
      </c>
      <c r="E14" s="122">
        <v>7500</v>
      </c>
      <c r="G14" s="79" t="s">
        <v>122</v>
      </c>
      <c r="H14" s="79"/>
      <c r="I14" s="89" t="s">
        <v>34</v>
      </c>
      <c r="J14" s="17">
        <v>43585</v>
      </c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</row>
    <row r="15" spans="2:23" outlineLevel="1" x14ac:dyDescent="0.25">
      <c r="C15" s="79" t="s">
        <v>281</v>
      </c>
      <c r="D15" s="90" t="s">
        <v>106</v>
      </c>
      <c r="E15" s="127">
        <v>20000</v>
      </c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</row>
    <row r="16" spans="2:23" outlineLevel="1" x14ac:dyDescent="0.25">
      <c r="C16" s="79" t="s">
        <v>3</v>
      </c>
      <c r="D16" s="47" t="s">
        <v>107</v>
      </c>
      <c r="E16" s="126">
        <f>+E14*Cost_per_Sq_M</f>
        <v>150000000</v>
      </c>
      <c r="G16" s="79" t="s">
        <v>186</v>
      </c>
      <c r="H16" s="79"/>
      <c r="I16" s="89" t="s">
        <v>33</v>
      </c>
      <c r="J16" s="172" t="s">
        <v>187</v>
      </c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</row>
    <row r="17" spans="2:23" outlineLevel="1" x14ac:dyDescent="0.25">
      <c r="C17" s="79"/>
      <c r="D17" s="47"/>
      <c r="E17" s="125"/>
      <c r="G17" s="79"/>
      <c r="H17" s="79"/>
      <c r="I17" s="91"/>
      <c r="J17" s="121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</row>
    <row r="18" spans="2:23" outlineLevel="1" x14ac:dyDescent="0.25">
      <c r="C18" s="79" t="s">
        <v>103</v>
      </c>
      <c r="D18" s="89" t="s">
        <v>44</v>
      </c>
      <c r="E18" s="262">
        <v>12</v>
      </c>
      <c r="G18" s="80" t="s">
        <v>208</v>
      </c>
      <c r="I18" s="46" t="s">
        <v>33</v>
      </c>
      <c r="J18" s="190" t="s">
        <v>214</v>
      </c>
      <c r="K18" s="190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</row>
    <row r="19" spans="2:23" outlineLevel="1" x14ac:dyDescent="0.25">
      <c r="C19" s="79" t="s">
        <v>104</v>
      </c>
      <c r="D19" s="47" t="s">
        <v>110</v>
      </c>
      <c r="E19" s="123">
        <f>+E14*E18</f>
        <v>90000</v>
      </c>
      <c r="G19" s="80" t="s">
        <v>209</v>
      </c>
      <c r="I19" s="46" t="s">
        <v>33</v>
      </c>
      <c r="J19" s="190" t="s">
        <v>213</v>
      </c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</row>
    <row r="20" spans="2:23" outlineLevel="1" x14ac:dyDescent="0.25">
      <c r="C20" s="79"/>
      <c r="D20" s="79"/>
      <c r="G20" s="79"/>
      <c r="H20" s="79"/>
      <c r="I20" s="91"/>
      <c r="J20" s="121"/>
      <c r="M20" s="117"/>
      <c r="N20" s="117"/>
    </row>
    <row r="21" spans="2:23" outlineLevel="1" x14ac:dyDescent="0.25">
      <c r="C21" s="79" t="s">
        <v>109</v>
      </c>
      <c r="D21" s="89" t="s">
        <v>39</v>
      </c>
      <c r="E21" s="14">
        <v>0.93</v>
      </c>
      <c r="M21" s="117"/>
      <c r="N21" s="117"/>
    </row>
    <row r="22" spans="2:23" outlineLevel="1" x14ac:dyDescent="0.25">
      <c r="C22" s="79" t="s">
        <v>108</v>
      </c>
      <c r="D22" s="47" t="s">
        <v>110</v>
      </c>
      <c r="E22" s="123">
        <f>+Gross_Sq_M*E21</f>
        <v>83700</v>
      </c>
      <c r="M22" s="119"/>
      <c r="N22" s="117"/>
    </row>
    <row r="23" spans="2:23" x14ac:dyDescent="0.25">
      <c r="C23" s="79"/>
      <c r="D23" s="79"/>
      <c r="M23" s="117"/>
      <c r="N23" s="117"/>
    </row>
    <row r="24" spans="2:23" x14ac:dyDescent="0.25">
      <c r="B24" s="44" t="s">
        <v>80</v>
      </c>
      <c r="C24" s="45"/>
      <c r="D24" s="40" t="str">
        <f>+$D$5</f>
        <v>Units:</v>
      </c>
      <c r="E24" s="43"/>
      <c r="F24" s="43"/>
      <c r="G24" s="43"/>
      <c r="H24" s="43"/>
      <c r="I24" s="40" t="str">
        <f>+$D$5</f>
        <v>Units:</v>
      </c>
      <c r="J24" s="43"/>
      <c r="K24" s="43"/>
      <c r="M24" s="117"/>
      <c r="N24" s="117"/>
    </row>
    <row r="25" spans="2:23" outlineLevel="1" x14ac:dyDescent="0.25">
      <c r="B25" s="1"/>
      <c r="C25" s="1"/>
      <c r="D25" s="1"/>
      <c r="E25" s="1"/>
      <c r="F25" s="1"/>
      <c r="G25" s="1"/>
      <c r="H25" s="1"/>
      <c r="I25" s="1"/>
      <c r="M25" s="117"/>
      <c r="N25" s="117"/>
    </row>
    <row r="26" spans="2:23" outlineLevel="1" x14ac:dyDescent="0.25">
      <c r="C26" s="33" t="s">
        <v>210</v>
      </c>
      <c r="D26" s="33"/>
      <c r="E26" s="34"/>
      <c r="F26" s="31"/>
      <c r="G26" s="33" t="s">
        <v>140</v>
      </c>
      <c r="H26" s="34"/>
      <c r="I26" s="34"/>
      <c r="J26" s="34"/>
      <c r="M26" s="117"/>
      <c r="N26" s="117"/>
    </row>
    <row r="27" spans="2:23" outlineLevel="1" x14ac:dyDescent="0.25">
      <c r="C27" s="25" t="s">
        <v>40</v>
      </c>
      <c r="D27" s="89" t="s">
        <v>39</v>
      </c>
      <c r="E27" s="32">
        <v>0.6</v>
      </c>
      <c r="F27" s="1"/>
      <c r="G27" s="25" t="s">
        <v>22</v>
      </c>
      <c r="H27" s="79"/>
      <c r="I27" s="91" t="s">
        <v>34</v>
      </c>
      <c r="J27" s="154">
        <f>Constr_End</f>
        <v>43585</v>
      </c>
      <c r="M27" s="117"/>
      <c r="N27" s="117"/>
    </row>
    <row r="28" spans="2:23" outlineLevel="1" x14ac:dyDescent="0.25">
      <c r="C28" s="25" t="s">
        <v>20</v>
      </c>
      <c r="D28" s="89" t="s">
        <v>39</v>
      </c>
      <c r="E28" s="15">
        <v>0.05</v>
      </c>
      <c r="F28" s="1"/>
      <c r="G28" s="25" t="s">
        <v>160</v>
      </c>
      <c r="I28" s="89" t="s">
        <v>44</v>
      </c>
      <c r="J28" s="159">
        <f>INDEX(Monthly!$F$5:$DI$9,3,MATCH(Refi_Date,Monthly!$F$5:$DI$5,0))</f>
        <v>48</v>
      </c>
      <c r="M28" s="117"/>
      <c r="N28" s="117"/>
    </row>
    <row r="29" spans="2:23" outlineLevel="1" x14ac:dyDescent="0.25">
      <c r="C29" s="25" t="s">
        <v>23</v>
      </c>
      <c r="D29" s="89" t="s">
        <v>39</v>
      </c>
      <c r="E29" s="114">
        <f>(1+Constr_Loan_Ann_Interest)^(1/Months)-1</f>
        <v>4.0741237836483535E-3</v>
      </c>
      <c r="F29" s="1"/>
      <c r="M29" s="117"/>
      <c r="N29" s="117"/>
    </row>
    <row r="30" spans="2:23" outlineLevel="1" x14ac:dyDescent="0.25">
      <c r="C30" s="25" t="s">
        <v>21</v>
      </c>
      <c r="D30" s="89" t="s">
        <v>39</v>
      </c>
      <c r="E30" s="15">
        <v>0.01</v>
      </c>
      <c r="F30" s="1"/>
      <c r="G30" s="25" t="s">
        <v>90</v>
      </c>
      <c r="H30" s="79"/>
      <c r="I30" s="89" t="s">
        <v>39</v>
      </c>
      <c r="J30" s="14">
        <v>0.2</v>
      </c>
      <c r="M30" s="117"/>
      <c r="N30" s="117"/>
    </row>
    <row r="31" spans="2:23" outlineLevel="1" x14ac:dyDescent="0.25">
      <c r="C31" s="25" t="s">
        <v>241</v>
      </c>
      <c r="D31" s="47" t="s">
        <v>42</v>
      </c>
      <c r="E31" s="18" t="s">
        <v>0</v>
      </c>
      <c r="F31" s="1"/>
      <c r="G31" s="25" t="s">
        <v>272</v>
      </c>
      <c r="H31" s="79"/>
      <c r="I31" s="47" t="s">
        <v>107</v>
      </c>
      <c r="J31" s="129">
        <f>INDEX(Monthly!$F$183:$CW$187,5,MATCH(EOMONTH(Refi_Date,Months*2),Monthly!$F$183:$CW$183,0))</f>
        <v>1673506713.6366789</v>
      </c>
      <c r="M31" s="117"/>
      <c r="N31" s="117"/>
    </row>
    <row r="32" spans="2:23" outlineLevel="1" x14ac:dyDescent="0.25">
      <c r="C32" s="25" t="s">
        <v>19</v>
      </c>
      <c r="D32" s="89" t="s">
        <v>34</v>
      </c>
      <c r="E32" s="113">
        <f>Constr_End</f>
        <v>43585</v>
      </c>
      <c r="F32" s="1"/>
      <c r="G32" s="25" t="s">
        <v>89</v>
      </c>
      <c r="H32" s="79"/>
      <c r="I32" s="47" t="s">
        <v>107</v>
      </c>
      <c r="J32" s="16">
        <f>+J31/((1+J30)^2)</f>
        <v>1162157440.0254714</v>
      </c>
      <c r="M32" s="117"/>
      <c r="N32" s="117"/>
    </row>
    <row r="33" spans="2:14" outlineLevel="1" x14ac:dyDescent="0.25">
      <c r="C33" s="25"/>
      <c r="D33" s="47"/>
      <c r="E33" s="47"/>
      <c r="F33" s="1"/>
      <c r="M33" s="117"/>
      <c r="N33" s="117"/>
    </row>
    <row r="34" spans="2:14" outlineLevel="1" x14ac:dyDescent="0.25">
      <c r="B34" s="1"/>
      <c r="C34" s="25" t="s">
        <v>123</v>
      </c>
      <c r="D34" s="89" t="s">
        <v>39</v>
      </c>
      <c r="E34" s="14">
        <v>0.875</v>
      </c>
      <c r="F34" s="1"/>
      <c r="G34" s="25" t="s">
        <v>141</v>
      </c>
      <c r="H34" s="79"/>
      <c r="I34" s="89" t="s">
        <v>39</v>
      </c>
      <c r="J34" s="15">
        <v>0.01</v>
      </c>
      <c r="M34" s="117"/>
      <c r="N34" s="117"/>
    </row>
    <row r="35" spans="2:14" ht="17.100000000000001" customHeight="1" outlineLevel="1" x14ac:dyDescent="0.25">
      <c r="C35" s="25" t="s">
        <v>41</v>
      </c>
      <c r="D35" s="89" t="s">
        <v>39</v>
      </c>
      <c r="E35" s="133">
        <f>1-Investor_Equity_Pct</f>
        <v>0.125</v>
      </c>
      <c r="F35" s="1"/>
      <c r="G35" s="25" t="s">
        <v>9</v>
      </c>
      <c r="H35" s="79"/>
      <c r="I35" s="89" t="s">
        <v>39</v>
      </c>
      <c r="J35" s="15">
        <v>0.01</v>
      </c>
      <c r="M35" s="115"/>
      <c r="N35" s="116"/>
    </row>
    <row r="36" spans="2:14" ht="17.100000000000001" customHeight="1" outlineLevel="1" x14ac:dyDescent="0.25">
      <c r="F36" s="1"/>
      <c r="M36" s="117"/>
      <c r="N36" s="117"/>
    </row>
    <row r="37" spans="2:14" ht="17.100000000000001" customHeight="1" outlineLevel="1" x14ac:dyDescent="0.25">
      <c r="C37" s="25" t="s">
        <v>157</v>
      </c>
      <c r="D37" s="89" t="s">
        <v>34</v>
      </c>
      <c r="E37" s="113">
        <v>44347</v>
      </c>
      <c r="F37" s="1"/>
      <c r="G37" s="33" t="s">
        <v>143</v>
      </c>
      <c r="H37" s="34"/>
      <c r="I37" s="34"/>
      <c r="J37" s="34"/>
      <c r="M37" s="117"/>
      <c r="N37" s="117"/>
    </row>
    <row r="38" spans="2:14" ht="17.100000000000001" customHeight="1" outlineLevel="1" x14ac:dyDescent="0.25">
      <c r="C38" s="25" t="s">
        <v>79</v>
      </c>
      <c r="D38" s="89" t="s">
        <v>39</v>
      </c>
      <c r="E38" s="15">
        <v>1.4999999999999999E-2</v>
      </c>
      <c r="F38" s="1"/>
      <c r="G38" s="25" t="s">
        <v>88</v>
      </c>
      <c r="H38" s="79"/>
      <c r="I38" s="89" t="s">
        <v>39</v>
      </c>
      <c r="J38" s="14">
        <v>0.6</v>
      </c>
      <c r="M38" s="117"/>
      <c r="N38" s="117"/>
    </row>
    <row r="39" spans="2:14" ht="17.100000000000001" customHeight="1" outlineLevel="1" x14ac:dyDescent="0.25">
      <c r="C39" s="25"/>
      <c r="D39" s="89"/>
      <c r="E39" s="86"/>
      <c r="F39" s="1"/>
      <c r="G39" s="25" t="s">
        <v>142</v>
      </c>
      <c r="H39" s="79"/>
      <c r="I39" s="47" t="s">
        <v>107</v>
      </c>
      <c r="J39" s="265">
        <f>+Senior_Loan_LTV*J32</f>
        <v>697294464.01528287</v>
      </c>
      <c r="L39" s="160"/>
      <c r="M39" s="117"/>
      <c r="N39" s="117"/>
    </row>
    <row r="40" spans="2:14" ht="17.100000000000001" customHeight="1" outlineLevel="1" x14ac:dyDescent="0.25">
      <c r="C40" s="189" t="s">
        <v>206</v>
      </c>
      <c r="D40" s="191" t="s">
        <v>211</v>
      </c>
      <c r="E40" s="191" t="s">
        <v>212</v>
      </c>
      <c r="F40" s="1"/>
      <c r="G40" s="25" t="s">
        <v>20</v>
      </c>
      <c r="H40" s="79"/>
      <c r="I40" s="89" t="s">
        <v>39</v>
      </c>
      <c r="J40" s="15">
        <v>3.5000000000000003E-2</v>
      </c>
      <c r="M40" s="117"/>
      <c r="N40" s="117"/>
    </row>
    <row r="41" spans="2:14" ht="17.100000000000001" customHeight="1" outlineLevel="1" x14ac:dyDescent="0.25">
      <c r="C41" s="81" t="s">
        <v>207</v>
      </c>
      <c r="D41" s="32"/>
      <c r="E41" s="32">
        <v>0.15</v>
      </c>
      <c r="F41" s="1"/>
      <c r="G41" s="25" t="s">
        <v>23</v>
      </c>
      <c r="I41" s="89" t="s">
        <v>39</v>
      </c>
      <c r="J41" s="114">
        <f>(1+Senior_Loan_Ann_Interest)^(1/Months)-1</f>
        <v>2.8708987190766422E-3</v>
      </c>
      <c r="M41" s="117"/>
      <c r="N41" s="117"/>
    </row>
    <row r="42" spans="2:14" ht="17.100000000000001" customHeight="1" outlineLevel="1" x14ac:dyDescent="0.25">
      <c r="C42" s="81" t="str">
        <f>Investor_Name&amp;" (Investors):"</f>
        <v>Brookfield (Investors):</v>
      </c>
      <c r="D42" s="80"/>
      <c r="E42" s="133">
        <f>Investor_Equity_Pct</f>
        <v>0.875</v>
      </c>
      <c r="F42" s="236"/>
      <c r="G42" s="25" t="s">
        <v>241</v>
      </c>
      <c r="H42" s="79"/>
      <c r="I42" s="47" t="s">
        <v>42</v>
      </c>
      <c r="J42" s="18">
        <v>30</v>
      </c>
      <c r="M42" s="117"/>
      <c r="N42" s="117"/>
    </row>
    <row r="43" spans="2:14" ht="17.100000000000001" customHeight="1" outlineLevel="1" x14ac:dyDescent="0.25">
      <c r="C43" s="81" t="str">
        <f>Developer_Name&amp;" (Developers):"</f>
        <v>Great Portland Estates (Developers):</v>
      </c>
      <c r="D43" s="80"/>
      <c r="E43" s="193">
        <f>Dev_Equity_Pct</f>
        <v>0.125</v>
      </c>
      <c r="F43" s="1"/>
      <c r="G43" s="25" t="s">
        <v>146</v>
      </c>
      <c r="I43" s="47" t="s">
        <v>42</v>
      </c>
      <c r="J43" s="18">
        <v>10</v>
      </c>
      <c r="M43" s="117"/>
      <c r="N43" s="117"/>
    </row>
    <row r="44" spans="2:14" ht="17.100000000000001" customHeight="1" outlineLevel="1" x14ac:dyDescent="0.25">
      <c r="C44" s="80"/>
      <c r="D44" s="89"/>
      <c r="E44" s="86"/>
      <c r="F44" s="1"/>
      <c r="G44" s="25" t="s">
        <v>19</v>
      </c>
      <c r="H44" s="79"/>
      <c r="I44" s="91" t="s">
        <v>34</v>
      </c>
      <c r="J44" s="135">
        <f>EOMONTH(Refi_Date,J43*Months)</f>
        <v>47238</v>
      </c>
      <c r="M44" s="117"/>
      <c r="N44" s="117"/>
    </row>
    <row r="45" spans="2:14" ht="17.100000000000001" customHeight="1" outlineLevel="1" x14ac:dyDescent="0.25">
      <c r="C45" s="81" t="s">
        <v>207</v>
      </c>
      <c r="D45" s="14">
        <v>0.15</v>
      </c>
      <c r="E45" s="192">
        <v>2</v>
      </c>
      <c r="F45" s="1"/>
      <c r="M45" s="117"/>
      <c r="N45" s="117"/>
    </row>
    <row r="46" spans="2:14" ht="17.100000000000001" customHeight="1" outlineLevel="1" x14ac:dyDescent="0.25">
      <c r="C46" s="81" t="s">
        <v>215</v>
      </c>
      <c r="E46" s="14">
        <v>0.1</v>
      </c>
      <c r="F46" s="1"/>
      <c r="G46" s="33" t="s">
        <v>144</v>
      </c>
      <c r="H46" s="34"/>
      <c r="I46" s="34"/>
      <c r="J46" s="34"/>
      <c r="M46" s="117"/>
      <c r="N46" s="117"/>
    </row>
    <row r="47" spans="2:14" ht="17.100000000000001" customHeight="1" outlineLevel="1" x14ac:dyDescent="0.25">
      <c r="C47" s="81" t="str">
        <f>Investor_Name&amp;" (Investors):"</f>
        <v>Brookfield (Investors):</v>
      </c>
      <c r="D47" s="80"/>
      <c r="E47" s="133">
        <f>+Tier_1_Investor_Split-E46</f>
        <v>0.77500000000000002</v>
      </c>
      <c r="F47" s="1"/>
      <c r="G47" s="25" t="s">
        <v>88</v>
      </c>
      <c r="I47" s="89" t="s">
        <v>39</v>
      </c>
      <c r="J47" s="14">
        <v>0.1</v>
      </c>
      <c r="M47" s="117"/>
      <c r="N47" s="117"/>
    </row>
    <row r="48" spans="2:14" ht="17.100000000000001" customHeight="1" outlineLevel="1" x14ac:dyDescent="0.25">
      <c r="C48" s="81" t="str">
        <f>Developer_Name&amp;" (Developers):"</f>
        <v>Great Portland Estates (Developers):</v>
      </c>
      <c r="D48" s="80"/>
      <c r="E48" s="193">
        <f>+E43+E46</f>
        <v>0.22500000000000001</v>
      </c>
      <c r="F48" s="1"/>
      <c r="G48" s="25" t="s">
        <v>145</v>
      </c>
      <c r="I48" s="47" t="s">
        <v>107</v>
      </c>
      <c r="J48" s="265">
        <f>+Mezz_LTV*J32</f>
        <v>116215744.00254714</v>
      </c>
      <c r="M48" s="117"/>
      <c r="N48" s="117"/>
    </row>
    <row r="49" spans="2:14" ht="17.100000000000001" customHeight="1" outlineLevel="1" x14ac:dyDescent="0.25">
      <c r="C49" s="80"/>
      <c r="D49" s="89"/>
      <c r="E49" s="86"/>
      <c r="F49" s="1"/>
      <c r="G49" s="25" t="s">
        <v>147</v>
      </c>
      <c r="I49" s="89" t="s">
        <v>39</v>
      </c>
      <c r="J49" s="15">
        <v>0.04</v>
      </c>
      <c r="M49" s="117"/>
      <c r="N49" s="117"/>
    </row>
    <row r="50" spans="2:14" ht="17.100000000000001" customHeight="1" outlineLevel="1" x14ac:dyDescent="0.25">
      <c r="C50" s="81" t="s">
        <v>207</v>
      </c>
      <c r="D50" s="192">
        <v>2</v>
      </c>
      <c r="E50" s="192"/>
      <c r="F50" s="1"/>
      <c r="G50" s="25" t="s">
        <v>158</v>
      </c>
      <c r="I50" s="89" t="s">
        <v>39</v>
      </c>
      <c r="J50" s="114">
        <f>(1+Mezz_Ann_Cash_Interest)^(1/Months)-1</f>
        <v>3.2737397821989145E-3</v>
      </c>
      <c r="M50" s="117"/>
      <c r="N50" s="117"/>
    </row>
    <row r="51" spans="2:14" ht="17.100000000000001" customHeight="1" outlineLevel="1" x14ac:dyDescent="0.25">
      <c r="C51" s="81" t="s">
        <v>215</v>
      </c>
      <c r="E51" s="14">
        <v>0.1</v>
      </c>
      <c r="F51" s="1"/>
      <c r="G51" s="25" t="s">
        <v>148</v>
      </c>
      <c r="I51" s="89" t="s">
        <v>39</v>
      </c>
      <c r="J51" s="15">
        <v>0.04</v>
      </c>
      <c r="M51" s="117"/>
      <c r="N51" s="117"/>
    </row>
    <row r="52" spans="2:14" ht="17.100000000000001" customHeight="1" outlineLevel="1" x14ac:dyDescent="0.25">
      <c r="C52" s="81" t="str">
        <f>Investor_Name&amp;" (Investors):"</f>
        <v>Brookfield (Investors):</v>
      </c>
      <c r="D52" s="80"/>
      <c r="E52" s="133">
        <f>+Tier_2_Investor_Split-E51</f>
        <v>0.67500000000000004</v>
      </c>
      <c r="F52" s="1"/>
      <c r="G52" s="25" t="s">
        <v>159</v>
      </c>
      <c r="I52" s="89" t="s">
        <v>39</v>
      </c>
      <c r="J52" s="114">
        <f>(1+Mezz_Ann_PIK_Interest)^(1/Months)-1</f>
        <v>3.2737397821989145E-3</v>
      </c>
      <c r="M52" s="117"/>
      <c r="N52" s="117"/>
    </row>
    <row r="53" spans="2:14" ht="17.100000000000001" customHeight="1" outlineLevel="1" x14ac:dyDescent="0.25">
      <c r="C53" s="81" t="str">
        <f>Developer_Name&amp;" (Developers):"</f>
        <v>Great Portland Estates (Developers):</v>
      </c>
      <c r="D53" s="80"/>
      <c r="E53" s="193">
        <f>+E48+E51</f>
        <v>0.32500000000000001</v>
      </c>
      <c r="F53" s="1"/>
      <c r="G53" s="25" t="s">
        <v>241</v>
      </c>
      <c r="I53" s="47" t="s">
        <v>42</v>
      </c>
      <c r="J53" s="18" t="s">
        <v>149</v>
      </c>
      <c r="M53" s="117"/>
      <c r="N53" s="117"/>
    </row>
    <row r="54" spans="2:14" ht="17.100000000000001" customHeight="1" outlineLevel="1" x14ac:dyDescent="0.25">
      <c r="F54" s="1"/>
      <c r="G54" s="25" t="s">
        <v>146</v>
      </c>
      <c r="I54" s="47" t="s">
        <v>42</v>
      </c>
      <c r="J54" s="18">
        <v>5</v>
      </c>
      <c r="M54" s="117"/>
      <c r="N54" s="117"/>
    </row>
    <row r="55" spans="2:14" ht="17.100000000000001" customHeight="1" outlineLevel="1" x14ac:dyDescent="0.25">
      <c r="C55" s="21" t="s">
        <v>216</v>
      </c>
      <c r="E55" s="14">
        <v>0.2</v>
      </c>
      <c r="F55" s="1"/>
      <c r="G55" s="25" t="s">
        <v>19</v>
      </c>
      <c r="I55" s="91" t="s">
        <v>34</v>
      </c>
      <c r="J55" s="135">
        <f>EOMONTH(Refi_Date,J54*Months)</f>
        <v>45412</v>
      </c>
      <c r="M55" s="117"/>
      <c r="N55" s="117"/>
    </row>
    <row r="56" spans="2:14" ht="17.100000000000001" customHeight="1" outlineLevel="1" x14ac:dyDescent="0.25">
      <c r="F56" s="1"/>
      <c r="G56" s="25" t="s">
        <v>152</v>
      </c>
      <c r="H56" s="1"/>
      <c r="I56" s="89" t="s">
        <v>39</v>
      </c>
      <c r="J56" s="14">
        <v>0.01</v>
      </c>
      <c r="M56" s="117"/>
      <c r="N56" s="117"/>
    </row>
    <row r="57" spans="2:14" ht="17.100000000000001" customHeight="1" x14ac:dyDescent="0.25">
      <c r="F57" s="1"/>
      <c r="G57" s="1"/>
      <c r="H57" s="1"/>
      <c r="I57" s="1"/>
      <c r="J57" s="1"/>
      <c r="M57" s="117"/>
      <c r="N57" s="117"/>
    </row>
    <row r="58" spans="2:14" x14ac:dyDescent="0.25">
      <c r="B58" s="44" t="s">
        <v>84</v>
      </c>
      <c r="C58" s="45"/>
      <c r="D58" s="40"/>
      <c r="E58" s="43"/>
      <c r="F58" s="43"/>
      <c r="G58" s="43"/>
      <c r="H58" s="43"/>
      <c r="I58" s="40"/>
      <c r="J58" s="43"/>
      <c r="K58" s="43"/>
      <c r="M58" s="117"/>
      <c r="N58" s="117"/>
    </row>
    <row r="59" spans="2:14" outlineLevel="1" x14ac:dyDescent="0.25">
      <c r="B59" s="1"/>
      <c r="C59" s="1"/>
      <c r="D59" s="1"/>
      <c r="E59" s="1"/>
      <c r="F59" s="1"/>
      <c r="G59" s="1"/>
      <c r="H59" s="1"/>
      <c r="I59" s="1"/>
      <c r="J59" s="1"/>
      <c r="M59" s="117"/>
      <c r="N59" s="117"/>
    </row>
    <row r="60" spans="2:14" outlineLevel="1" x14ac:dyDescent="0.25">
      <c r="C60" s="22" t="s">
        <v>1</v>
      </c>
      <c r="D60" s="22"/>
      <c r="E60" s="22"/>
      <c r="F60" s="1"/>
      <c r="G60" s="22" t="s">
        <v>6</v>
      </c>
      <c r="H60" s="22"/>
      <c r="I60" s="22"/>
      <c r="J60" s="22"/>
      <c r="M60" s="117"/>
      <c r="N60" s="117"/>
    </row>
    <row r="61" spans="2:14" outlineLevel="1" x14ac:dyDescent="0.25">
      <c r="C61" s="96" t="s">
        <v>2</v>
      </c>
      <c r="D61" s="19"/>
      <c r="E61" s="129">
        <f>+J66*Constr_Loan_LTC</f>
        <v>622855584</v>
      </c>
      <c r="F61" s="1"/>
      <c r="G61" s="25" t="s">
        <v>3</v>
      </c>
      <c r="I61" s="48"/>
      <c r="J61" s="129">
        <f>+Land_Acq_Costs</f>
        <v>150000000</v>
      </c>
      <c r="M61" s="117"/>
      <c r="N61" s="117"/>
    </row>
    <row r="62" spans="2:14" outlineLevel="1" x14ac:dyDescent="0.25">
      <c r="C62" s="25" t="s">
        <v>85</v>
      </c>
      <c r="D62" s="20"/>
      <c r="E62" s="6">
        <f>(J66-E61)*Dev_Equity_Pct</f>
        <v>51904632</v>
      </c>
      <c r="F62" s="1"/>
      <c r="G62" s="94" t="s">
        <v>120</v>
      </c>
      <c r="H62" s="74"/>
      <c r="I62" s="48"/>
      <c r="J62" s="6">
        <f>+Hard_Costs</f>
        <v>720000000</v>
      </c>
      <c r="M62" s="117"/>
      <c r="N62" s="117"/>
    </row>
    <row r="63" spans="2:14" outlineLevel="1" x14ac:dyDescent="0.25">
      <c r="C63" s="95" t="s">
        <v>4</v>
      </c>
      <c r="D63" s="24"/>
      <c r="E63" s="26">
        <f>+J66-SUM(E61:E62)</f>
        <v>363332424</v>
      </c>
      <c r="F63" s="1"/>
      <c r="G63" s="94" t="s">
        <v>121</v>
      </c>
      <c r="H63" s="74"/>
      <c r="I63" s="48"/>
      <c r="J63" s="6">
        <f>+Soft_Costs</f>
        <v>90000000</v>
      </c>
      <c r="M63" s="117"/>
      <c r="N63" s="117"/>
    </row>
    <row r="64" spans="2:14" outlineLevel="1" x14ac:dyDescent="0.25">
      <c r="C64" s="23" t="s">
        <v>5</v>
      </c>
      <c r="D64" s="23"/>
      <c r="E64" s="132">
        <f>SUM(E61:E63)</f>
        <v>1038092640</v>
      </c>
      <c r="F64" s="1"/>
      <c r="G64" s="94" t="s">
        <v>72</v>
      </c>
      <c r="H64" s="229"/>
      <c r="I64" s="229"/>
      <c r="J64" s="230">
        <f>+New_Lease_Years*Reserves_per_RSM*Rentable_Sq_M</f>
        <v>8370000</v>
      </c>
      <c r="K64" s="266" t="s">
        <v>282</v>
      </c>
      <c r="M64" s="117"/>
      <c r="N64" s="117"/>
    </row>
    <row r="65" spans="2:14" outlineLevel="1" x14ac:dyDescent="0.25">
      <c r="C65" s="23"/>
      <c r="D65" s="23"/>
      <c r="E65" s="132"/>
      <c r="F65" s="1"/>
      <c r="G65" s="95" t="s">
        <v>270</v>
      </c>
      <c r="H65" s="76"/>
      <c r="I65" s="76"/>
      <c r="J65" s="231">
        <f>SUM(J61:J64)*Constr_Loan_LTC*(Constr_Loan_Fees+Constr_Loan_Ann_Interest)*2</f>
        <v>69722640</v>
      </c>
      <c r="K65" s="237">
        <f>SUM(Monthly!F28:DI29)</f>
        <v>56269464.382610038</v>
      </c>
      <c r="M65" s="117"/>
      <c r="N65" s="117"/>
    </row>
    <row r="66" spans="2:14" outlineLevel="1" x14ac:dyDescent="0.25">
      <c r="F66" s="1"/>
      <c r="G66" s="23" t="s">
        <v>94</v>
      </c>
      <c r="I66" s="75"/>
      <c r="J66" s="132">
        <f>SUM(J61:J65)</f>
        <v>1038092640</v>
      </c>
      <c r="K66" s="222"/>
      <c r="L66" s="234"/>
    </row>
    <row r="67" spans="2:14" x14ac:dyDescent="0.25">
      <c r="B67" s="1"/>
      <c r="C67" s="1"/>
      <c r="D67" s="1"/>
      <c r="E67" s="1"/>
      <c r="F67" s="1"/>
      <c r="G67" s="1"/>
      <c r="H67" s="1"/>
      <c r="I67" s="1"/>
      <c r="J67" s="1"/>
    </row>
    <row r="68" spans="2:14" x14ac:dyDescent="0.25">
      <c r="B68" s="49"/>
      <c r="C68" s="49"/>
      <c r="D68" s="50"/>
      <c r="E68" s="49"/>
      <c r="F68" s="51" t="s">
        <v>182</v>
      </c>
      <c r="G68" s="51"/>
      <c r="H68" s="51"/>
      <c r="I68" s="51"/>
      <c r="J68" s="219" t="s">
        <v>183</v>
      </c>
      <c r="K68" s="51"/>
      <c r="L68" s="51"/>
      <c r="M68" s="165"/>
      <c r="N68" s="219"/>
    </row>
    <row r="69" spans="2:14" x14ac:dyDescent="0.25">
      <c r="B69" s="52" t="s">
        <v>184</v>
      </c>
      <c r="C69" s="52"/>
      <c r="D69" s="40" t="str">
        <f>+$D$5</f>
        <v>Units:</v>
      </c>
      <c r="E69" s="52"/>
      <c r="F69" s="148">
        <f>EOMONTH(Constr_Start_Date,Months)</f>
        <v>42521</v>
      </c>
      <c r="G69" s="53">
        <f t="shared" ref="G69:N69" si="0">EOMONTH(F69,Months)</f>
        <v>42886</v>
      </c>
      <c r="H69" s="148">
        <f t="shared" si="0"/>
        <v>43251</v>
      </c>
      <c r="I69" s="166">
        <f t="shared" si="0"/>
        <v>43616</v>
      </c>
      <c r="J69" s="53">
        <f t="shared" si="0"/>
        <v>43982</v>
      </c>
      <c r="K69" s="53">
        <f t="shared" si="0"/>
        <v>44347</v>
      </c>
      <c r="L69" s="53">
        <f t="shared" si="0"/>
        <v>44712</v>
      </c>
      <c r="M69" s="148">
        <f t="shared" si="0"/>
        <v>45077</v>
      </c>
      <c r="N69" s="148">
        <f t="shared" si="0"/>
        <v>45443</v>
      </c>
    </row>
    <row r="70" spans="2:14" outlineLevel="1" x14ac:dyDescent="0.25">
      <c r="B70" s="1"/>
      <c r="C70" s="1"/>
      <c r="D70" s="1"/>
      <c r="E70" s="1"/>
      <c r="F70" s="1"/>
      <c r="G70" s="1"/>
      <c r="H70" s="1"/>
      <c r="I70" s="1"/>
      <c r="J70" s="1"/>
    </row>
    <row r="71" spans="2:14" outlineLevel="1" x14ac:dyDescent="0.25">
      <c r="B71" s="1"/>
      <c r="C71" s="151" t="s">
        <v>55</v>
      </c>
      <c r="D71" s="152" t="s">
        <v>56</v>
      </c>
      <c r="E71" s="1"/>
      <c r="F71" s="149">
        <f>YEAR(F69)</f>
        <v>2016</v>
      </c>
      <c r="G71" s="149">
        <f t="shared" ref="G71:M71" si="1">YEAR(G69)</f>
        <v>2017</v>
      </c>
      <c r="H71" s="149">
        <f t="shared" si="1"/>
        <v>2018</v>
      </c>
      <c r="I71" s="149">
        <f t="shared" si="1"/>
        <v>2019</v>
      </c>
      <c r="J71" s="149">
        <f t="shared" si="1"/>
        <v>2020</v>
      </c>
      <c r="K71" s="149">
        <f t="shared" si="1"/>
        <v>2021</v>
      </c>
      <c r="L71" s="149">
        <f t="shared" si="1"/>
        <v>2022</v>
      </c>
      <c r="M71" s="149">
        <f t="shared" si="1"/>
        <v>2023</v>
      </c>
      <c r="N71" s="149">
        <f t="shared" ref="N71" si="2">YEAR(N69)</f>
        <v>2024</v>
      </c>
    </row>
    <row r="72" spans="2:14" outlineLevel="1" x14ac:dyDescent="0.25">
      <c r="B72" s="1"/>
      <c r="C72" s="79" t="s">
        <v>134</v>
      </c>
      <c r="D72" s="152" t="s">
        <v>44</v>
      </c>
      <c r="E72" s="1"/>
      <c r="F72" s="37">
        <v>1</v>
      </c>
      <c r="G72" s="150">
        <f>+F72+1</f>
        <v>2</v>
      </c>
      <c r="H72" s="150">
        <f t="shared" ref="H72:N72" si="3">+G72+1</f>
        <v>3</v>
      </c>
      <c r="I72" s="150">
        <f t="shared" si="3"/>
        <v>4</v>
      </c>
      <c r="J72" s="150">
        <f t="shared" si="3"/>
        <v>5</v>
      </c>
      <c r="K72" s="150">
        <f t="shared" si="3"/>
        <v>6</v>
      </c>
      <c r="L72" s="150">
        <f t="shared" si="3"/>
        <v>7</v>
      </c>
      <c r="M72" s="150">
        <f t="shared" si="3"/>
        <v>8</v>
      </c>
      <c r="N72" s="150">
        <f t="shared" si="3"/>
        <v>9</v>
      </c>
    </row>
    <row r="73" spans="2:14" outlineLevel="1" x14ac:dyDescent="0.25">
      <c r="B73" s="1"/>
      <c r="C73" s="1"/>
      <c r="D73" s="1"/>
      <c r="E73" s="1"/>
      <c r="F73" s="1"/>
      <c r="G73" s="1"/>
      <c r="H73" s="1"/>
      <c r="I73" s="1"/>
      <c r="J73" s="1"/>
    </row>
    <row r="74" spans="2:14" outlineLevel="1" x14ac:dyDescent="0.25">
      <c r="B74" s="1"/>
      <c r="C74" s="167" t="s">
        <v>180</v>
      </c>
      <c r="D74" s="1"/>
      <c r="E74" s="1"/>
      <c r="F74" s="1"/>
      <c r="G74" s="1"/>
      <c r="H74" s="1"/>
      <c r="I74" s="1"/>
      <c r="J74" s="1"/>
    </row>
    <row r="75" spans="2:14" outlineLevel="1" x14ac:dyDescent="0.25">
      <c r="B75" s="1"/>
      <c r="C75" s="25" t="s">
        <v>189</v>
      </c>
      <c r="D75" s="46" t="s">
        <v>39</v>
      </c>
      <c r="E75" s="1"/>
      <c r="F75" s="176">
        <v>0.04</v>
      </c>
      <c r="G75" s="176">
        <v>4.2500000000000003E-2</v>
      </c>
      <c r="H75" s="176">
        <v>4.2500000000000003E-2</v>
      </c>
      <c r="I75" s="177">
        <v>3.7999999999999999E-2</v>
      </c>
      <c r="J75" s="177">
        <v>3.5999999999999997E-2</v>
      </c>
      <c r="K75" s="177">
        <v>3.9E-2</v>
      </c>
      <c r="L75" s="177">
        <v>0.04</v>
      </c>
      <c r="M75" s="177">
        <v>4.1000000000000002E-2</v>
      </c>
      <c r="N75" s="171"/>
    </row>
    <row r="76" spans="2:14" outlineLevel="1" x14ac:dyDescent="0.25">
      <c r="B76" s="1"/>
      <c r="C76" s="25" t="s">
        <v>187</v>
      </c>
      <c r="D76" s="46" t="s">
        <v>39</v>
      </c>
      <c r="E76" s="1"/>
      <c r="F76" s="176">
        <v>0.04</v>
      </c>
      <c r="G76" s="176">
        <v>4.2500000000000003E-2</v>
      </c>
      <c r="H76" s="176">
        <v>4.2500000000000003E-2</v>
      </c>
      <c r="I76" s="253">
        <v>4.3999999999999997E-2</v>
      </c>
      <c r="J76" s="177">
        <v>4.5999999999999999E-2</v>
      </c>
      <c r="K76" s="177">
        <v>4.7E-2</v>
      </c>
      <c r="L76" s="253">
        <v>4.8000000000000001E-2</v>
      </c>
      <c r="M76" s="253">
        <v>4.9000000000000002E-2</v>
      </c>
      <c r="N76" s="171"/>
    </row>
    <row r="77" spans="2:14" outlineLevel="1" x14ac:dyDescent="0.25">
      <c r="B77" s="1"/>
      <c r="C77" s="25" t="s">
        <v>188</v>
      </c>
      <c r="D77" s="46" t="s">
        <v>39</v>
      </c>
      <c r="E77" s="1"/>
      <c r="F77" s="176">
        <v>0.04</v>
      </c>
      <c r="G77" s="176">
        <v>4.2500000000000003E-2</v>
      </c>
      <c r="H77" s="176">
        <v>4.2500000000000003E-2</v>
      </c>
      <c r="I77" s="177">
        <v>4.7500000000000001E-2</v>
      </c>
      <c r="J77" s="177">
        <v>5.2999999999999999E-2</v>
      </c>
      <c r="K77" s="177">
        <v>5.8000000000000003E-2</v>
      </c>
      <c r="L77" s="177">
        <v>5.6000000000000001E-2</v>
      </c>
      <c r="M77" s="177">
        <v>5.2999999999999999E-2</v>
      </c>
      <c r="N77" s="171"/>
    </row>
    <row r="78" spans="2:14" outlineLevel="1" x14ac:dyDescent="0.25">
      <c r="B78" s="1"/>
      <c r="C78" s="168" t="s">
        <v>185</v>
      </c>
      <c r="D78" s="169" t="s">
        <v>39</v>
      </c>
      <c r="E78" s="170"/>
      <c r="F78" s="180">
        <f t="shared" ref="F78:M78" si="4">INDEX(F75:F77,MATCH(Scenario,$C75:$C77,0))</f>
        <v>0.04</v>
      </c>
      <c r="G78" s="180">
        <f t="shared" si="4"/>
        <v>4.2500000000000003E-2</v>
      </c>
      <c r="H78" s="180">
        <f t="shared" si="4"/>
        <v>4.2500000000000003E-2</v>
      </c>
      <c r="I78" s="180">
        <f t="shared" si="4"/>
        <v>4.3999999999999997E-2</v>
      </c>
      <c r="J78" s="180">
        <f t="shared" si="4"/>
        <v>4.5999999999999999E-2</v>
      </c>
      <c r="K78" s="180">
        <f t="shared" si="4"/>
        <v>4.7E-2</v>
      </c>
      <c r="L78" s="180">
        <f t="shared" si="4"/>
        <v>4.8000000000000001E-2</v>
      </c>
      <c r="M78" s="180">
        <f t="shared" si="4"/>
        <v>4.9000000000000002E-2</v>
      </c>
      <c r="N78" s="173"/>
    </row>
    <row r="79" spans="2:14" outlineLevel="1" x14ac:dyDescent="0.25">
      <c r="B79" s="1"/>
      <c r="C79" s="1"/>
      <c r="D79" s="1"/>
      <c r="E79" s="1"/>
      <c r="F79" s="1"/>
      <c r="G79" s="1"/>
      <c r="H79" s="1"/>
      <c r="I79" s="1"/>
      <c r="J79" s="1"/>
    </row>
    <row r="80" spans="2:14" outlineLevel="1" x14ac:dyDescent="0.25">
      <c r="B80" s="1"/>
      <c r="C80" s="167" t="s">
        <v>266</v>
      </c>
      <c r="D80" s="1"/>
      <c r="E80" s="1"/>
      <c r="F80" s="1"/>
      <c r="G80" s="1"/>
      <c r="H80" s="1"/>
      <c r="I80" s="1"/>
      <c r="J80" s="1"/>
    </row>
    <row r="81" spans="2:14" outlineLevel="1" x14ac:dyDescent="0.25">
      <c r="B81" s="1"/>
      <c r="C81" s="94" t="str">
        <f>$C$75</f>
        <v>Upside</v>
      </c>
      <c r="D81" s="46" t="s">
        <v>39</v>
      </c>
      <c r="E81" s="75"/>
      <c r="F81" s="176">
        <v>0.1</v>
      </c>
      <c r="G81" s="176">
        <v>0</v>
      </c>
      <c r="H81" s="257">
        <v>0</v>
      </c>
      <c r="I81" s="177">
        <v>0.06</v>
      </c>
      <c r="J81" s="177">
        <v>0.05</v>
      </c>
      <c r="K81" s="177">
        <v>0.04</v>
      </c>
      <c r="L81" s="177">
        <v>3.5000000000000003E-2</v>
      </c>
      <c r="M81" s="177">
        <v>3.5000000000000003E-2</v>
      </c>
      <c r="N81" s="177">
        <v>3.5000000000000003E-2</v>
      </c>
    </row>
    <row r="82" spans="2:14" outlineLevel="1" x14ac:dyDescent="0.25">
      <c r="B82" s="1"/>
      <c r="C82" s="25" t="str">
        <f>$C$76</f>
        <v>Base</v>
      </c>
      <c r="D82" s="46" t="s">
        <v>39</v>
      </c>
      <c r="E82" s="1"/>
      <c r="F82" s="176">
        <v>0.1</v>
      </c>
      <c r="G82" s="176">
        <v>0</v>
      </c>
      <c r="H82" s="176">
        <v>0</v>
      </c>
      <c r="I82" s="253">
        <v>3.5000000000000003E-2</v>
      </c>
      <c r="J82" s="253">
        <v>3.5000000000000003E-2</v>
      </c>
      <c r="K82" s="253">
        <v>3.5000000000000003E-2</v>
      </c>
      <c r="L82" s="253">
        <v>0.03</v>
      </c>
      <c r="M82" s="253">
        <v>0.03</v>
      </c>
      <c r="N82" s="253">
        <v>0.03</v>
      </c>
    </row>
    <row r="83" spans="2:14" outlineLevel="1" x14ac:dyDescent="0.25">
      <c r="B83" s="1"/>
      <c r="C83" s="95" t="str">
        <f>$C$77</f>
        <v>Downside</v>
      </c>
      <c r="D83" s="181" t="s">
        <v>39</v>
      </c>
      <c r="E83" s="175"/>
      <c r="F83" s="178">
        <v>0.1</v>
      </c>
      <c r="G83" s="178">
        <v>0</v>
      </c>
      <c r="H83" s="178">
        <v>0</v>
      </c>
      <c r="I83" s="179">
        <v>-7.0000000000000007E-2</v>
      </c>
      <c r="J83" s="179">
        <v>-0.03</v>
      </c>
      <c r="K83" s="179">
        <v>-0.01</v>
      </c>
      <c r="L83" s="179">
        <v>0.1</v>
      </c>
      <c r="M83" s="179">
        <v>0.05</v>
      </c>
      <c r="N83" s="179">
        <v>2.5000000000000001E-2</v>
      </c>
    </row>
    <row r="84" spans="2:14" outlineLevel="1" x14ac:dyDescent="0.25">
      <c r="B84" s="1"/>
      <c r="C84" s="174" t="s">
        <v>267</v>
      </c>
      <c r="D84" s="46" t="s">
        <v>39</v>
      </c>
      <c r="E84" s="1"/>
      <c r="F84" s="256">
        <f t="shared" ref="F84:N84" si="5">INDEX(F81:F83,MATCH(Scenario,$C81:$C83,0))</f>
        <v>0.1</v>
      </c>
      <c r="G84" s="256">
        <f t="shared" si="5"/>
        <v>0</v>
      </c>
      <c r="H84" s="256">
        <f t="shared" si="5"/>
        <v>0</v>
      </c>
      <c r="I84" s="256">
        <f t="shared" si="5"/>
        <v>3.5000000000000003E-2</v>
      </c>
      <c r="J84" s="256">
        <f t="shared" si="5"/>
        <v>3.5000000000000003E-2</v>
      </c>
      <c r="K84" s="256">
        <f t="shared" si="5"/>
        <v>3.5000000000000003E-2</v>
      </c>
      <c r="L84" s="256">
        <f t="shared" si="5"/>
        <v>0.03</v>
      </c>
      <c r="M84" s="256">
        <f t="shared" si="5"/>
        <v>0.03</v>
      </c>
      <c r="N84" s="256">
        <f t="shared" si="5"/>
        <v>0.03</v>
      </c>
    </row>
    <row r="85" spans="2:14" outlineLevel="1" x14ac:dyDescent="0.25">
      <c r="B85" s="1"/>
      <c r="C85" s="1"/>
      <c r="D85" s="1"/>
      <c r="E85" s="1"/>
      <c r="F85" s="1"/>
      <c r="G85" s="1"/>
      <c r="H85" s="1"/>
      <c r="I85" s="1"/>
      <c r="J85" s="1"/>
    </row>
    <row r="86" spans="2:14" outlineLevel="1" x14ac:dyDescent="0.25">
      <c r="B86" s="1"/>
      <c r="C86" s="167" t="s">
        <v>271</v>
      </c>
      <c r="D86" s="1"/>
      <c r="E86" s="1"/>
      <c r="F86" s="1"/>
      <c r="G86" s="1"/>
      <c r="H86" s="1"/>
      <c r="I86" s="1"/>
      <c r="J86" s="1"/>
    </row>
    <row r="87" spans="2:14" outlineLevel="1" x14ac:dyDescent="0.25">
      <c r="B87" s="1"/>
      <c r="C87" s="94" t="str">
        <f>$C$75</f>
        <v>Upside</v>
      </c>
      <c r="D87" s="46" t="s">
        <v>39</v>
      </c>
      <c r="E87" s="75"/>
      <c r="F87" s="176">
        <v>0.02</v>
      </c>
      <c r="G87" s="176">
        <v>0.02</v>
      </c>
      <c r="H87" s="257">
        <v>0.02</v>
      </c>
      <c r="I87" s="177">
        <v>2.5000000000000001E-2</v>
      </c>
      <c r="J87" s="177">
        <v>0.03</v>
      </c>
      <c r="K87" s="177">
        <v>0.03</v>
      </c>
      <c r="L87" s="177">
        <v>2.75E-2</v>
      </c>
      <c r="M87" s="177">
        <v>2.75E-2</v>
      </c>
      <c r="N87" s="177">
        <v>2.75E-2</v>
      </c>
    </row>
    <row r="88" spans="2:14" outlineLevel="1" x14ac:dyDescent="0.25">
      <c r="B88" s="1"/>
      <c r="C88" s="25" t="str">
        <f>$C$76</f>
        <v>Base</v>
      </c>
      <c r="D88" s="46" t="s">
        <v>39</v>
      </c>
      <c r="E88" s="1"/>
      <c r="F88" s="176">
        <v>0.02</v>
      </c>
      <c r="G88" s="176">
        <v>0.02</v>
      </c>
      <c r="H88" s="176">
        <v>0.02</v>
      </c>
      <c r="I88" s="253">
        <v>2.2499999999999999E-2</v>
      </c>
      <c r="J88" s="253">
        <v>2.2499999999999999E-2</v>
      </c>
      <c r="K88" s="253">
        <v>2.5000000000000001E-2</v>
      </c>
      <c r="L88" s="253">
        <v>2.5000000000000001E-2</v>
      </c>
      <c r="M88" s="253">
        <v>2.5000000000000001E-2</v>
      </c>
      <c r="N88" s="253">
        <v>2.5000000000000001E-2</v>
      </c>
    </row>
    <row r="89" spans="2:14" outlineLevel="1" x14ac:dyDescent="0.25">
      <c r="B89" s="1"/>
      <c r="C89" s="25" t="str">
        <f>$C$77</f>
        <v>Downside</v>
      </c>
      <c r="D89" s="46" t="s">
        <v>39</v>
      </c>
      <c r="E89" s="1"/>
      <c r="F89" s="176">
        <v>0.02</v>
      </c>
      <c r="G89" s="176">
        <v>0.02</v>
      </c>
      <c r="H89" s="176">
        <v>0.02</v>
      </c>
      <c r="I89" s="254">
        <v>0.01</v>
      </c>
      <c r="J89" s="254">
        <v>0.01</v>
      </c>
      <c r="K89" s="254">
        <v>1.4999999999999999E-2</v>
      </c>
      <c r="L89" s="254">
        <v>1.7500000000000002E-2</v>
      </c>
      <c r="M89" s="254">
        <v>0.02</v>
      </c>
      <c r="N89" s="254">
        <v>2.2499999999999999E-2</v>
      </c>
    </row>
    <row r="90" spans="2:14" outlineLevel="1" x14ac:dyDescent="0.25">
      <c r="B90" s="1"/>
      <c r="C90" s="168" t="s">
        <v>268</v>
      </c>
      <c r="D90" s="169" t="s">
        <v>39</v>
      </c>
      <c r="E90" s="170"/>
      <c r="F90" s="180">
        <f t="shared" ref="F90:N90" si="6">INDEX(F87:F89,MATCH(Scenario,$C87:$C89,0))</f>
        <v>0.02</v>
      </c>
      <c r="G90" s="180">
        <f t="shared" si="6"/>
        <v>0.02</v>
      </c>
      <c r="H90" s="180">
        <f t="shared" si="6"/>
        <v>0.02</v>
      </c>
      <c r="I90" s="180">
        <f t="shared" si="6"/>
        <v>2.2499999999999999E-2</v>
      </c>
      <c r="J90" s="180">
        <f t="shared" si="6"/>
        <v>2.2499999999999999E-2</v>
      </c>
      <c r="K90" s="180">
        <f t="shared" si="6"/>
        <v>2.5000000000000001E-2</v>
      </c>
      <c r="L90" s="180">
        <f t="shared" si="6"/>
        <v>2.5000000000000001E-2</v>
      </c>
      <c r="M90" s="180">
        <f t="shared" si="6"/>
        <v>2.5000000000000001E-2</v>
      </c>
      <c r="N90" s="180">
        <f t="shared" si="6"/>
        <v>2.5000000000000001E-2</v>
      </c>
    </row>
    <row r="91" spans="2:14" outlineLevel="1" x14ac:dyDescent="0.25">
      <c r="B91" s="1"/>
      <c r="C91" s="1"/>
      <c r="D91" s="1"/>
      <c r="E91" s="1"/>
      <c r="F91" s="1"/>
      <c r="G91" s="1"/>
      <c r="H91" s="1"/>
      <c r="I91" s="1"/>
      <c r="J91" s="1"/>
    </row>
    <row r="92" spans="2:14" outlineLevel="1" x14ac:dyDescent="0.25">
      <c r="B92" s="1"/>
      <c r="C92" s="167" t="s">
        <v>192</v>
      </c>
      <c r="D92" s="1"/>
      <c r="E92" s="1"/>
      <c r="F92" s="1"/>
      <c r="G92" s="1"/>
      <c r="H92" s="1"/>
      <c r="I92" s="1"/>
      <c r="J92" s="1"/>
    </row>
    <row r="93" spans="2:14" outlineLevel="1" x14ac:dyDescent="0.25">
      <c r="B93" s="1"/>
      <c r="C93" s="94" t="str">
        <f>$C$75</f>
        <v>Upside</v>
      </c>
      <c r="D93" s="46" t="s">
        <v>39</v>
      </c>
      <c r="E93" s="75"/>
      <c r="F93" s="176">
        <v>0.05</v>
      </c>
      <c r="G93" s="176">
        <v>0.01</v>
      </c>
      <c r="H93" s="257">
        <v>0.01</v>
      </c>
      <c r="I93" s="177">
        <v>0.04</v>
      </c>
      <c r="J93" s="177">
        <v>0.03</v>
      </c>
      <c r="K93" s="177">
        <v>2.5000000000000001E-2</v>
      </c>
      <c r="L93" s="177">
        <v>2.5000000000000001E-2</v>
      </c>
      <c r="M93" s="177">
        <v>2.5000000000000001E-2</v>
      </c>
      <c r="N93" s="177">
        <v>2.5000000000000001E-2</v>
      </c>
    </row>
    <row r="94" spans="2:14" outlineLevel="1" x14ac:dyDescent="0.25">
      <c r="B94" s="1"/>
      <c r="C94" s="25" t="str">
        <f>$C$76</f>
        <v>Base</v>
      </c>
      <c r="D94" s="46" t="s">
        <v>39</v>
      </c>
      <c r="E94" s="1"/>
      <c r="F94" s="176">
        <v>0.05</v>
      </c>
      <c r="G94" s="176">
        <v>0.01</v>
      </c>
      <c r="H94" s="176">
        <v>0.01</v>
      </c>
      <c r="I94" s="253">
        <v>2.5000000000000001E-2</v>
      </c>
      <c r="J94" s="253">
        <v>2.5000000000000001E-2</v>
      </c>
      <c r="K94" s="253">
        <v>2.5000000000000001E-2</v>
      </c>
      <c r="L94" s="253">
        <v>0.02</v>
      </c>
      <c r="M94" s="253">
        <v>0.02</v>
      </c>
      <c r="N94" s="253">
        <v>0.02</v>
      </c>
    </row>
    <row r="95" spans="2:14" outlineLevel="1" x14ac:dyDescent="0.25">
      <c r="B95" s="1"/>
      <c r="C95" s="95" t="str">
        <f>$C$77</f>
        <v>Downside</v>
      </c>
      <c r="D95" s="181" t="s">
        <v>39</v>
      </c>
      <c r="E95" s="175"/>
      <c r="F95" s="178">
        <v>0.05</v>
      </c>
      <c r="G95" s="178">
        <v>0.01</v>
      </c>
      <c r="H95" s="178">
        <v>0.01</v>
      </c>
      <c r="I95" s="179">
        <v>-0.05</v>
      </c>
      <c r="J95" s="179">
        <v>-0.02</v>
      </c>
      <c r="K95" s="179">
        <v>-5.0000000000000001E-3</v>
      </c>
      <c r="L95" s="179">
        <v>7.0000000000000007E-2</v>
      </c>
      <c r="M95" s="179">
        <v>0.03</v>
      </c>
      <c r="N95" s="179">
        <v>1.4999999999999999E-2</v>
      </c>
    </row>
    <row r="96" spans="2:14" outlineLevel="1" x14ac:dyDescent="0.25">
      <c r="B96" s="1"/>
      <c r="C96" s="174" t="s">
        <v>193</v>
      </c>
      <c r="D96" s="46" t="s">
        <v>39</v>
      </c>
      <c r="E96" s="1"/>
      <c r="F96" s="256">
        <f t="shared" ref="F96:N96" si="7">INDEX(F93:F95,MATCH(Scenario,$C93:$C95,0))</f>
        <v>0.05</v>
      </c>
      <c r="G96" s="256">
        <f t="shared" si="7"/>
        <v>0.01</v>
      </c>
      <c r="H96" s="256">
        <f t="shared" si="7"/>
        <v>0.01</v>
      </c>
      <c r="I96" s="256">
        <f t="shared" si="7"/>
        <v>2.5000000000000001E-2</v>
      </c>
      <c r="J96" s="256">
        <f t="shared" si="7"/>
        <v>2.5000000000000001E-2</v>
      </c>
      <c r="K96" s="256">
        <f t="shared" si="7"/>
        <v>2.5000000000000001E-2</v>
      </c>
      <c r="L96" s="256">
        <f t="shared" si="7"/>
        <v>0.02</v>
      </c>
      <c r="M96" s="256">
        <f t="shared" si="7"/>
        <v>0.02</v>
      </c>
      <c r="N96" s="256">
        <f t="shared" si="7"/>
        <v>0.02</v>
      </c>
    </row>
    <row r="97" spans="2:13" outlineLevel="1" x14ac:dyDescent="0.25">
      <c r="B97" s="1"/>
      <c r="C97" s="1"/>
      <c r="D97" s="1"/>
      <c r="E97" s="1"/>
      <c r="F97" s="1"/>
      <c r="G97" s="1"/>
      <c r="H97" s="1"/>
      <c r="I97" s="1"/>
      <c r="J97" s="1"/>
    </row>
    <row r="98" spans="2:13" outlineLevel="1" x14ac:dyDescent="0.25">
      <c r="B98" s="1"/>
      <c r="C98" s="33" t="s">
        <v>198</v>
      </c>
      <c r="D98" s="34"/>
      <c r="E98" s="182" t="s">
        <v>194</v>
      </c>
      <c r="F98" s="182" t="s">
        <v>189</v>
      </c>
      <c r="G98" s="182" t="s">
        <v>187</v>
      </c>
      <c r="H98" s="182" t="s">
        <v>188</v>
      </c>
      <c r="J98" s="1"/>
    </row>
    <row r="99" spans="2:13" outlineLevel="1" x14ac:dyDescent="0.25">
      <c r="B99" s="1"/>
      <c r="C99" s="1"/>
      <c r="D99" s="1"/>
      <c r="E99" s="1"/>
      <c r="F99" s="1"/>
      <c r="G99" s="1"/>
      <c r="H99" s="1"/>
      <c r="J99" s="1"/>
    </row>
    <row r="100" spans="2:13" outlineLevel="1" x14ac:dyDescent="0.25">
      <c r="B100" s="1"/>
      <c r="C100" s="60" t="s">
        <v>45</v>
      </c>
      <c r="D100" s="63" t="s">
        <v>39</v>
      </c>
      <c r="E100" s="183">
        <f>INDEX(F100:H100,1,MATCH(Scenario,F$98:H$98,0))</f>
        <v>0.5</v>
      </c>
      <c r="F100" s="14">
        <v>0.6</v>
      </c>
      <c r="G100" s="14">
        <v>0.5</v>
      </c>
      <c r="H100" s="14">
        <v>0.4</v>
      </c>
      <c r="J100" s="1"/>
    </row>
    <row r="101" spans="2:13" outlineLevel="1" x14ac:dyDescent="0.25">
      <c r="B101" s="1"/>
      <c r="C101" s="60" t="s">
        <v>46</v>
      </c>
      <c r="D101" s="46" t="s">
        <v>44</v>
      </c>
      <c r="E101" s="184">
        <f>INDEX(F101:H101,1,MATCH(Scenario,F$98:H$98,0))</f>
        <v>9</v>
      </c>
      <c r="F101" s="64">
        <v>6</v>
      </c>
      <c r="G101" s="64">
        <v>9</v>
      </c>
      <c r="H101" s="64">
        <v>12</v>
      </c>
      <c r="J101" s="70"/>
      <c r="K101" s="70"/>
      <c r="L101" s="71"/>
      <c r="M101" s="71"/>
    </row>
    <row r="102" spans="2:13" outlineLevel="1" x14ac:dyDescent="0.25">
      <c r="B102" s="1"/>
      <c r="C102" s="138"/>
      <c r="D102" s="139"/>
      <c r="E102" s="70"/>
      <c r="F102" s="70"/>
      <c r="G102" s="70"/>
      <c r="H102" s="70"/>
      <c r="J102" s="70"/>
      <c r="K102" s="70"/>
      <c r="L102" s="71"/>
      <c r="M102" s="71"/>
    </row>
    <row r="103" spans="2:13" outlineLevel="1" x14ac:dyDescent="0.25">
      <c r="B103" s="1"/>
      <c r="C103" s="60" t="s">
        <v>196</v>
      </c>
      <c r="D103" s="46" t="s">
        <v>44</v>
      </c>
      <c r="E103" s="185">
        <f>INDEX(F103:H103,1,MATCH(Scenario,F$98:H$98,0))</f>
        <v>10</v>
      </c>
      <c r="F103" s="37">
        <v>7</v>
      </c>
      <c r="G103" s="37">
        <v>10</v>
      </c>
      <c r="H103" s="37">
        <v>13</v>
      </c>
      <c r="J103" s="70"/>
      <c r="K103" s="70"/>
      <c r="L103" s="71"/>
      <c r="M103" s="71"/>
    </row>
    <row r="104" spans="2:13" outlineLevel="1" x14ac:dyDescent="0.25">
      <c r="B104" s="1"/>
      <c r="C104" s="60" t="s">
        <v>197</v>
      </c>
      <c r="D104" s="46" t="s">
        <v>44</v>
      </c>
      <c r="E104" s="184">
        <f>INDEX(F104:H104,1,MATCH(Scenario,F$98:H$98,0))</f>
        <v>8</v>
      </c>
      <c r="F104" s="64">
        <v>6</v>
      </c>
      <c r="G104" s="64">
        <v>8</v>
      </c>
      <c r="H104" s="64">
        <v>11</v>
      </c>
      <c r="J104" s="70"/>
      <c r="K104" s="70"/>
      <c r="L104" s="71"/>
      <c r="M104" s="71"/>
    </row>
    <row r="105" spans="2:13" outlineLevel="1" x14ac:dyDescent="0.25">
      <c r="B105" s="1"/>
      <c r="F105" s="70"/>
      <c r="G105" s="70"/>
      <c r="H105" s="70"/>
      <c r="J105" s="70"/>
      <c r="K105" s="70"/>
      <c r="L105" s="71"/>
      <c r="M105" s="71"/>
    </row>
    <row r="106" spans="2:13" outlineLevel="1" x14ac:dyDescent="0.25">
      <c r="B106" s="1"/>
      <c r="C106" s="60" t="s">
        <v>200</v>
      </c>
      <c r="D106" s="90" t="s">
        <v>106</v>
      </c>
      <c r="E106" s="187">
        <f>INDEX(F106:H106,1,MATCH(Scenario,F$98:H$98,0))</f>
        <v>15</v>
      </c>
      <c r="F106" s="136">
        <v>10</v>
      </c>
      <c r="G106" s="136">
        <v>15</v>
      </c>
      <c r="H106" s="136">
        <v>20</v>
      </c>
      <c r="J106" s="70"/>
      <c r="K106" s="70"/>
      <c r="L106" s="71"/>
      <c r="M106" s="71"/>
    </row>
    <row r="107" spans="2:13" outlineLevel="1" x14ac:dyDescent="0.25">
      <c r="B107" s="1"/>
      <c r="C107" s="60" t="s">
        <v>201</v>
      </c>
      <c r="D107" s="90" t="s">
        <v>106</v>
      </c>
      <c r="E107" s="188">
        <f>INDEX(F107:H107,1,MATCH(Scenario,F$98:H$98,0))</f>
        <v>7</v>
      </c>
      <c r="F107" s="186">
        <v>5</v>
      </c>
      <c r="G107" s="186">
        <v>7</v>
      </c>
      <c r="H107" s="186">
        <v>10</v>
      </c>
      <c r="J107" s="70"/>
      <c r="K107" s="70"/>
      <c r="L107" s="71"/>
      <c r="M107" s="71"/>
    </row>
    <row r="108" spans="2:13" outlineLevel="1" x14ac:dyDescent="0.25">
      <c r="B108" s="1"/>
      <c r="F108" s="70"/>
      <c r="G108" s="70"/>
      <c r="H108" s="70"/>
      <c r="J108" s="70"/>
      <c r="K108" s="70"/>
      <c r="L108" s="71"/>
      <c r="M108" s="71"/>
    </row>
    <row r="109" spans="2:13" outlineLevel="1" x14ac:dyDescent="0.25">
      <c r="B109" s="1"/>
      <c r="C109" s="60" t="s">
        <v>199</v>
      </c>
      <c r="D109" s="63" t="s">
        <v>39</v>
      </c>
      <c r="E109" s="183">
        <f>INDEX(F109:H109,1,MATCH(Scenario,F$98:H$98,0))</f>
        <v>2.5000000000000001E-2</v>
      </c>
      <c r="F109" s="14">
        <v>0.02</v>
      </c>
      <c r="G109" s="14">
        <v>2.5000000000000001E-2</v>
      </c>
      <c r="H109" s="14">
        <v>0.03</v>
      </c>
      <c r="J109" s="70"/>
      <c r="K109" s="70"/>
      <c r="L109" s="71"/>
      <c r="M109" s="71"/>
    </row>
    <row r="110" spans="2:13" outlineLevel="1" x14ac:dyDescent="0.25">
      <c r="B110" s="1"/>
      <c r="C110" s="60" t="s">
        <v>202</v>
      </c>
      <c r="D110" s="63" t="s">
        <v>39</v>
      </c>
      <c r="E110" s="183">
        <f>INDEX(F110:H110,1,MATCH(Scenario,F$98:H$98,0))</f>
        <v>1.4999999999999999E-2</v>
      </c>
      <c r="F110" s="14">
        <v>0.01</v>
      </c>
      <c r="G110" s="14">
        <v>1.4999999999999999E-2</v>
      </c>
      <c r="H110" s="14">
        <v>0.02</v>
      </c>
      <c r="J110" s="70"/>
      <c r="K110" s="70"/>
      <c r="L110" s="71"/>
      <c r="M110" s="71"/>
    </row>
    <row r="111" spans="2:13" outlineLevel="1" x14ac:dyDescent="0.25">
      <c r="B111" s="1"/>
      <c r="C111" s="138"/>
      <c r="D111" s="139"/>
      <c r="E111" s="70"/>
      <c r="F111" s="70"/>
      <c r="G111" s="70"/>
      <c r="H111" s="70"/>
      <c r="I111" s="70"/>
      <c r="J111" s="70"/>
      <c r="K111" s="70"/>
      <c r="L111" s="71"/>
      <c r="M111" s="71"/>
    </row>
    <row r="112" spans="2:13" outlineLevel="1" x14ac:dyDescent="0.25">
      <c r="B112" s="1"/>
      <c r="C112" s="60" t="s">
        <v>190</v>
      </c>
      <c r="D112" s="46" t="s">
        <v>125</v>
      </c>
      <c r="E112" s="128">
        <v>320</v>
      </c>
      <c r="F112" s="70"/>
      <c r="G112" s="70"/>
      <c r="H112" s="70"/>
      <c r="I112" s="70"/>
      <c r="J112" s="70"/>
      <c r="K112" s="70"/>
      <c r="L112" s="71"/>
      <c r="M112" s="71"/>
    </row>
    <row r="113" spans="2:25" outlineLevel="1" x14ac:dyDescent="0.25">
      <c r="B113" s="1"/>
      <c r="C113" s="60" t="s">
        <v>191</v>
      </c>
      <c r="D113" s="46" t="s">
        <v>125</v>
      </c>
      <c r="E113" s="128">
        <v>20</v>
      </c>
      <c r="F113" s="70"/>
      <c r="G113" s="70"/>
      <c r="H113" s="70"/>
      <c r="I113" s="70"/>
      <c r="J113" s="70"/>
      <c r="K113" s="70"/>
      <c r="L113" s="71"/>
      <c r="M113" s="71"/>
    </row>
    <row r="114" spans="2:25" outlineLevel="1" x14ac:dyDescent="0.25">
      <c r="B114" s="1"/>
      <c r="C114" s="60" t="s">
        <v>67</v>
      </c>
      <c r="D114" s="46" t="s">
        <v>39</v>
      </c>
      <c r="E114" s="14">
        <v>3.0000000000000006E-2</v>
      </c>
      <c r="F114" s="70"/>
      <c r="G114" s="70"/>
      <c r="H114" s="70"/>
      <c r="I114" s="70"/>
      <c r="J114" s="70"/>
      <c r="K114" s="70"/>
      <c r="L114" s="71"/>
      <c r="M114" s="71"/>
    </row>
    <row r="115" spans="2:25" outlineLevel="1" x14ac:dyDescent="0.25">
      <c r="B115" s="1"/>
      <c r="C115" s="60" t="s">
        <v>195</v>
      </c>
      <c r="D115" s="46" t="s">
        <v>42</v>
      </c>
      <c r="E115" s="61">
        <v>5</v>
      </c>
      <c r="F115" s="54"/>
      <c r="G115" s="70"/>
      <c r="H115" s="70"/>
      <c r="I115" s="70"/>
      <c r="J115" s="70"/>
      <c r="K115" s="70"/>
      <c r="L115" s="71"/>
      <c r="M115" s="71"/>
    </row>
    <row r="116" spans="2:25" x14ac:dyDescent="0.25">
      <c r="B116" s="1"/>
      <c r="C116" s="1"/>
      <c r="D116" s="1"/>
      <c r="E116" s="1"/>
      <c r="F116" s="1"/>
      <c r="G116" s="1"/>
      <c r="H116" s="1"/>
      <c r="I116" s="1"/>
      <c r="J116" s="1"/>
    </row>
    <row r="117" spans="2:25" x14ac:dyDescent="0.25">
      <c r="B117" s="49"/>
      <c r="C117" s="49"/>
      <c r="D117" s="50"/>
      <c r="E117" s="49"/>
      <c r="F117" s="51" t="str">
        <f>$F$68</f>
        <v>Construction Period:</v>
      </c>
      <c r="G117" s="51"/>
      <c r="H117" s="51"/>
      <c r="I117" s="51"/>
      <c r="J117" s="219" t="str">
        <f>$J$68</f>
        <v>Operational Period:</v>
      </c>
      <c r="K117" s="51"/>
      <c r="L117" s="51"/>
      <c r="M117" s="51"/>
      <c r="N117" s="51"/>
    </row>
    <row r="118" spans="2:25" x14ac:dyDescent="0.25">
      <c r="B118" s="52" t="s">
        <v>60</v>
      </c>
      <c r="C118" s="52"/>
      <c r="D118" s="40" t="str">
        <f>+$D$5</f>
        <v>Units:</v>
      </c>
      <c r="E118" s="52"/>
      <c r="F118" s="148">
        <f>$F$69</f>
        <v>42521</v>
      </c>
      <c r="G118" s="53">
        <f>$G$69</f>
        <v>42886</v>
      </c>
      <c r="H118" s="148">
        <f>$H$69</f>
        <v>43251</v>
      </c>
      <c r="I118" s="166">
        <f>$I$69</f>
        <v>43616</v>
      </c>
      <c r="J118" s="53">
        <f>$J$69</f>
        <v>43982</v>
      </c>
      <c r="K118" s="53">
        <f>$K$69</f>
        <v>44347</v>
      </c>
      <c r="L118" s="53">
        <f>$L$69</f>
        <v>44712</v>
      </c>
      <c r="M118" s="148">
        <f>$M$69</f>
        <v>45077</v>
      </c>
      <c r="N118" s="148">
        <f>$N$69</f>
        <v>45443</v>
      </c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</row>
    <row r="119" spans="2:25" outlineLevel="1" x14ac:dyDescent="0.25">
      <c r="B119" s="1"/>
      <c r="C119" s="1"/>
      <c r="D119" s="1"/>
      <c r="E119" s="1"/>
      <c r="F119" s="1"/>
      <c r="G119" s="1"/>
      <c r="H119" s="1"/>
      <c r="I119" s="1"/>
      <c r="J119" s="1"/>
      <c r="P119" s="115"/>
      <c r="Q119" s="116"/>
      <c r="R119" s="116"/>
      <c r="S119" s="116"/>
      <c r="T119" s="116"/>
      <c r="U119" s="116"/>
      <c r="V119" s="116"/>
      <c r="W119" s="116"/>
      <c r="X119" s="116"/>
      <c r="Y119" s="117"/>
    </row>
    <row r="120" spans="2:25" s="5" customFormat="1" outlineLevel="1" x14ac:dyDescent="0.25">
      <c r="C120" s="100" t="s">
        <v>59</v>
      </c>
      <c r="E120" s="6"/>
      <c r="F120" s="6"/>
      <c r="G120" s="6"/>
      <c r="H120" s="6"/>
      <c r="I120" s="6"/>
      <c r="J120" s="6"/>
      <c r="K120" s="6"/>
      <c r="P120" s="116"/>
      <c r="Q120" s="116"/>
      <c r="R120" s="116"/>
      <c r="S120" s="116"/>
      <c r="T120" s="116"/>
      <c r="U120" s="116"/>
      <c r="V120" s="116"/>
      <c r="W120" s="116"/>
      <c r="X120" s="116"/>
      <c r="Y120" s="117"/>
    </row>
    <row r="121" spans="2:25" s="5" customFormat="1" outlineLevel="1" x14ac:dyDescent="0.25">
      <c r="C121" s="101" t="s">
        <v>49</v>
      </c>
      <c r="D121" s="47" t="s">
        <v>107</v>
      </c>
      <c r="E121" s="153"/>
      <c r="F121" s="126">
        <f>SUMIF(Monthly!$F$9:$DI$9,Annual!F$72,Monthly!$F148:$DI148)</f>
        <v>0</v>
      </c>
      <c r="G121" s="126">
        <f>SUMIF(Monthly!$F$9:$DI$9,Annual!G$72,Monthly!$F148:$DI148)</f>
        <v>0</v>
      </c>
      <c r="H121" s="126">
        <f>SUMIF(Monthly!$F$9:$DI$9,Annual!H$72,Monthly!$F148:$DI148)</f>
        <v>0</v>
      </c>
      <c r="I121" s="126">
        <f>SUMIF(Monthly!$F$9:$DI$9,Annual!I$72,Monthly!$F148:$DI148)</f>
        <v>0</v>
      </c>
      <c r="J121" s="126">
        <f>SUMIF(Monthly!$F$9:$DI$9,Annual!J$72,Monthly!$F148:$DI148)</f>
        <v>68110609.585290566</v>
      </c>
      <c r="K121" s="126">
        <f>SUMIF(Monthly!$F$9:$DI$9,Annual!K$72,Monthly!$F148:$DI148)</f>
        <v>98378736.43433468</v>
      </c>
      <c r="L121" s="126">
        <f>SUMIF(Monthly!$F$9:$DI$9,Annual!L$72,Monthly!$F148:$DI148)</f>
        <v>100634006.19646147</v>
      </c>
      <c r="M121" s="126">
        <f>SUMIF(Monthly!$F$9:$DI$9,Annual!M$72,Monthly!$F148:$DI148)</f>
        <v>104299515.10104938</v>
      </c>
      <c r="N121" s="126">
        <f>SUMIF(Monthly!$F$9:$DI$9,Annual!N$72,Monthly!$F148:$DI148)</f>
        <v>107852452.42765915</v>
      </c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</row>
    <row r="122" spans="2:25" s="5" customFormat="1" outlineLevel="1" x14ac:dyDescent="0.25">
      <c r="C122" s="101" t="s">
        <v>50</v>
      </c>
      <c r="D122" s="47" t="s">
        <v>107</v>
      </c>
      <c r="F122" s="6">
        <f>SUMIF(Monthly!$F$9:$DI$9,Annual!F$72,Monthly!$F149:$DI149)</f>
        <v>0</v>
      </c>
      <c r="G122" s="6">
        <f>SUMIF(Monthly!$F$9:$DI$9,Annual!G$72,Monthly!$F149:$DI149)</f>
        <v>0</v>
      </c>
      <c r="H122" s="6">
        <f>SUMIF(Monthly!$F$9:$DI$9,Annual!H$72,Monthly!$F149:$DI149)</f>
        <v>0</v>
      </c>
      <c r="I122" s="6">
        <f>SUMIF(Monthly!$F$9:$DI$9,Annual!I$72,Monthly!$F149:$DI149)</f>
        <v>0</v>
      </c>
      <c r="J122" s="6">
        <f>SUMIF(Monthly!$F$9:$DI$9,Annual!J$72,Monthly!$F149:$DI149)</f>
        <v>0</v>
      </c>
      <c r="K122" s="6">
        <f>SUMIF(Monthly!$F$9:$DI$9,Annual!K$72,Monthly!$F149:$DI149)</f>
        <v>0</v>
      </c>
      <c r="L122" s="6">
        <f>SUMIF(Monthly!$F$9:$DI$9,Annual!L$72,Monthly!$F149:$DI149)</f>
        <v>0</v>
      </c>
      <c r="M122" s="6">
        <f>SUMIF(Monthly!$F$9:$DI$9,Annual!M$72,Monthly!$F149:$DI149)</f>
        <v>-13911312.116316734</v>
      </c>
      <c r="N122" s="6">
        <f>SUMIF(Monthly!$F$9:$DI$9,Annual!N$72,Monthly!$F149:$DI149)</f>
        <v>-10731070.405249434</v>
      </c>
      <c r="P122" s="117"/>
      <c r="Q122" s="270"/>
      <c r="R122" s="117"/>
      <c r="S122" s="117"/>
      <c r="T122" s="117"/>
      <c r="U122" s="117"/>
      <c r="V122" s="117"/>
      <c r="W122" s="117"/>
      <c r="X122" s="117"/>
      <c r="Y122" s="117"/>
    </row>
    <row r="123" spans="2:25" s="5" customFormat="1" outlineLevel="1" x14ac:dyDescent="0.25">
      <c r="C123" s="101" t="s">
        <v>51</v>
      </c>
      <c r="D123" s="47" t="s">
        <v>107</v>
      </c>
      <c r="F123" s="6">
        <f>SUMIF(Monthly!$F$9:$DI$9,Annual!F$72,Monthly!$F150:$DI150)</f>
        <v>0</v>
      </c>
      <c r="G123" s="6">
        <f>SUMIF(Monthly!$F$9:$DI$9,Annual!G$72,Monthly!$F150:$DI150)</f>
        <v>0</v>
      </c>
      <c r="H123" s="6">
        <f>SUMIF(Monthly!$F$9:$DI$9,Annual!H$72,Monthly!$F150:$DI150)</f>
        <v>0</v>
      </c>
      <c r="I123" s="6">
        <f>SUMIF(Monthly!$F$9:$DI$9,Annual!I$72,Monthly!$F150:$DI150)</f>
        <v>0</v>
      </c>
      <c r="J123" s="6">
        <f>SUMIF(Monthly!$F$9:$DI$9,Annual!J$72,Monthly!$F150:$DI150)</f>
        <v>-41096241.102798976</v>
      </c>
      <c r="K123" s="6">
        <f>SUMIF(Monthly!$F$9:$DI$9,Annual!K$72,Monthly!$F150:$DI150)</f>
        <v>-34549949.444442697</v>
      </c>
      <c r="L123" s="6">
        <f>SUMIF(Monthly!$F$9:$DI$9,Annual!L$72,Monthly!$F150:$DI150)</f>
        <v>-2932945.0649184436</v>
      </c>
      <c r="M123" s="6">
        <f>SUMIF(Monthly!$F$9:$DI$9,Annual!M$72,Monthly!$F150:$DI150)</f>
        <v>-16938597.432262976</v>
      </c>
      <c r="N123" s="6">
        <f>SUMIF(Monthly!$F$9:$DI$9,Annual!N$72,Monthly!$F150:$DI150)</f>
        <v>-24020064.810924396</v>
      </c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</row>
    <row r="124" spans="2:25" s="5" customFormat="1" outlineLevel="1" x14ac:dyDescent="0.25">
      <c r="C124" s="101" t="s">
        <v>54</v>
      </c>
      <c r="D124" s="130" t="s">
        <v>107</v>
      </c>
      <c r="E124" s="7"/>
      <c r="F124" s="6">
        <f>SUMIF(Monthly!$F$9:$DI$9,Annual!F$72,Monthly!$F151:$DI151)</f>
        <v>0</v>
      </c>
      <c r="G124" s="6">
        <f>SUMIF(Monthly!$F$9:$DI$9,Annual!G$72,Monthly!$F151:$DI151)</f>
        <v>0</v>
      </c>
      <c r="H124" s="6">
        <f>SUMIF(Monthly!$F$9:$DI$9,Annual!H$72,Monthly!$F151:$DI151)</f>
        <v>0</v>
      </c>
      <c r="I124" s="6">
        <f>SUMIF(Monthly!$F$9:$DI$9,Annual!I$72,Monthly!$F151:$DI151)</f>
        <v>0</v>
      </c>
      <c r="J124" s="6">
        <f>SUMIF(Monthly!$F$9:$DI$9,Annual!J$72,Monthly!$F151:$DI151)</f>
        <v>20591145.221252773</v>
      </c>
      <c r="K124" s="6">
        <f>SUMIF(Monthly!$F$9:$DI$9,Annual!K$72,Monthly!$F151:$DI151)</f>
        <v>21082414.225432776</v>
      </c>
      <c r="L124" s="6">
        <f>SUMIF(Monthly!$F$9:$DI$9,Annual!L$72,Monthly!$F151:$DI151)</f>
        <v>21609474.581068568</v>
      </c>
      <c r="M124" s="6">
        <f>SUMIF(Monthly!$F$9:$DI$9,Annual!M$72,Monthly!$F151:$DI151)</f>
        <v>17299732.569496799</v>
      </c>
      <c r="N124" s="6">
        <f>SUMIF(Monthly!$F$9:$DI$9,Annual!N$72,Monthly!$F151:$DI151)</f>
        <v>19187219.54656373</v>
      </c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</row>
    <row r="125" spans="2:25" s="5" customFormat="1" outlineLevel="1" x14ac:dyDescent="0.25">
      <c r="C125" s="102" t="s">
        <v>14</v>
      </c>
      <c r="D125" s="47" t="s">
        <v>107</v>
      </c>
      <c r="F125" s="29">
        <f>SUM(F121:F124)</f>
        <v>0</v>
      </c>
      <c r="G125" s="29">
        <f t="shared" ref="G125:N125" si="8">SUM(G121:G124)</f>
        <v>0</v>
      </c>
      <c r="H125" s="29">
        <f t="shared" si="8"/>
        <v>0</v>
      </c>
      <c r="I125" s="29">
        <f t="shared" si="8"/>
        <v>0</v>
      </c>
      <c r="J125" s="29">
        <f t="shared" si="8"/>
        <v>47605513.703744367</v>
      </c>
      <c r="K125" s="29">
        <f t="shared" si="8"/>
        <v>84911201.215324759</v>
      </c>
      <c r="L125" s="29">
        <f t="shared" si="8"/>
        <v>119310535.71261159</v>
      </c>
      <c r="M125" s="29">
        <f t="shared" si="8"/>
        <v>90749338.121966466</v>
      </c>
      <c r="N125" s="29">
        <f t="shared" si="8"/>
        <v>92288536.758049056</v>
      </c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</row>
    <row r="126" spans="2:25" s="5" customFormat="1" outlineLevel="1" x14ac:dyDescent="0.25">
      <c r="C126" s="103" t="s">
        <v>15</v>
      </c>
      <c r="D126" s="130" t="s">
        <v>107</v>
      </c>
      <c r="E126" s="7"/>
      <c r="F126" s="26">
        <f>SUMIF(Monthly!$F$9:$DI$9,Annual!F$72,Monthly!$F153:$DI153)</f>
        <v>0</v>
      </c>
      <c r="G126" s="26">
        <f>SUMIF(Monthly!$F$9:$DI$9,Annual!G$72,Monthly!$F153:$DI153)</f>
        <v>0</v>
      </c>
      <c r="H126" s="26">
        <f>SUMIF(Monthly!$F$9:$DI$9,Annual!H$72,Monthly!$F153:$DI153)</f>
        <v>0</v>
      </c>
      <c r="I126" s="26">
        <f>SUMIF(Monthly!$F$9:$DI$9,Annual!I$72,Monthly!$F153:$DI153)</f>
        <v>0</v>
      </c>
      <c r="J126" s="26">
        <f>SUMIF(Monthly!$F$9:$DI$9,Annual!J$72,Monthly!$F153:$DI153)</f>
        <v>-4126305.5015436499</v>
      </c>
      <c r="K126" s="26">
        <f>SUMIF(Monthly!$F$9:$DI$9,Annual!K$72,Monthly!$F153:$DI153)</f>
        <v>-4270726.1940976782</v>
      </c>
      <c r="L126" s="26">
        <f>SUMIF(Monthly!$F$9:$DI$9,Annual!L$72,Monthly!$F153:$DI153)</f>
        <v>-4408565.725819109</v>
      </c>
      <c r="M126" s="26">
        <f>SUMIF(Monthly!$F$9:$DI$9,Annual!M$72,Monthly!$F153:$DI153)</f>
        <v>-4540822.697593689</v>
      </c>
      <c r="N126" s="26">
        <f>SUMIF(Monthly!$F$9:$DI$9,Annual!N$72,Monthly!$F153:$DI153)</f>
        <v>-4677047.3785215039</v>
      </c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</row>
    <row r="127" spans="2:25" s="5" customFormat="1" outlineLevel="1" x14ac:dyDescent="0.25">
      <c r="C127" s="102" t="s">
        <v>97</v>
      </c>
      <c r="D127" s="47" t="s">
        <v>107</v>
      </c>
      <c r="F127" s="30">
        <f>+F125+F126</f>
        <v>0</v>
      </c>
      <c r="G127" s="30">
        <f t="shared" ref="G127:N127" si="9">+G125+G126</f>
        <v>0</v>
      </c>
      <c r="H127" s="30">
        <f t="shared" si="9"/>
        <v>0</v>
      </c>
      <c r="I127" s="30">
        <f t="shared" si="9"/>
        <v>0</v>
      </c>
      <c r="J127" s="30">
        <f t="shared" si="9"/>
        <v>43479208.202200718</v>
      </c>
      <c r="K127" s="30">
        <f t="shared" si="9"/>
        <v>80640475.021227077</v>
      </c>
      <c r="L127" s="30">
        <f t="shared" si="9"/>
        <v>114901969.98679247</v>
      </c>
      <c r="M127" s="30">
        <f t="shared" si="9"/>
        <v>86208515.424372777</v>
      </c>
      <c r="N127" s="30">
        <f t="shared" si="9"/>
        <v>87611489.379527554</v>
      </c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</row>
    <row r="128" spans="2:25" s="5" customFormat="1" outlineLevel="1" x14ac:dyDescent="0.25">
      <c r="C128" s="103"/>
      <c r="F128" s="6"/>
      <c r="G128" s="6"/>
      <c r="H128" s="6"/>
      <c r="I128" s="6"/>
      <c r="J128" s="6"/>
      <c r="K128" s="6"/>
      <c r="L128" s="6"/>
      <c r="M128" s="6"/>
      <c r="N128" s="6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</row>
    <row r="129" spans="3:25" s="5" customFormat="1" outlineLevel="1" x14ac:dyDescent="0.25">
      <c r="C129" s="104" t="s">
        <v>16</v>
      </c>
      <c r="F129" s="55"/>
      <c r="G129" s="55"/>
      <c r="H129" s="55"/>
      <c r="I129" s="55"/>
      <c r="J129" s="55"/>
      <c r="K129" s="55"/>
      <c r="L129" s="55"/>
      <c r="M129" s="55"/>
      <c r="N129" s="55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</row>
    <row r="130" spans="3:25" s="5" customFormat="1" outlineLevel="1" x14ac:dyDescent="0.25">
      <c r="C130" s="103" t="s">
        <v>68</v>
      </c>
      <c r="D130" s="47" t="s">
        <v>107</v>
      </c>
      <c r="F130" s="6">
        <f>SUMIF(Monthly!$F$9:$DI$9,Annual!F$72,Monthly!$F157:$DI157)</f>
        <v>0</v>
      </c>
      <c r="G130" s="6">
        <f>SUMIF(Monthly!$F$9:$DI$9,Annual!G$72,Monthly!$F157:$DI157)</f>
        <v>0</v>
      </c>
      <c r="H130" s="6">
        <f>SUMIF(Monthly!$F$9:$DI$9,Annual!H$72,Monthly!$F157:$DI157)</f>
        <v>0</v>
      </c>
      <c r="I130" s="6">
        <f>SUMIF(Monthly!$F$9:$DI$9,Annual!I$72,Monthly!$F157:$DI157)</f>
        <v>0</v>
      </c>
      <c r="J130" s="6">
        <f>SUMIF(Monthly!$F$9:$DI$9,Annual!J$72,Monthly!$F157:$DI157)</f>
        <v>-29415921.744646821</v>
      </c>
      <c r="K130" s="6">
        <f>SUMIF(Monthly!$F$9:$DI$9,Annual!K$72,Monthly!$F157:$DI157)</f>
        <v>-30117734.607761104</v>
      </c>
      <c r="L130" s="6">
        <f>SUMIF(Monthly!$F$9:$DI$9,Annual!L$72,Monthly!$F157:$DI157)</f>
        <v>-30870677.972955097</v>
      </c>
      <c r="M130" s="6">
        <f>SUMIF(Monthly!$F$9:$DI$9,Annual!M$72,Monthly!$F157:$DI157)</f>
        <v>-31642444.922278941</v>
      </c>
      <c r="N130" s="6">
        <f>SUMIF(Monthly!$F$9:$DI$9,Annual!N$72,Monthly!$F157:$DI157)</f>
        <v>-32433506.045335867</v>
      </c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</row>
    <row r="131" spans="3:25" s="5" customFormat="1" outlineLevel="1" x14ac:dyDescent="0.25">
      <c r="C131" s="103" t="s">
        <v>69</v>
      </c>
      <c r="D131" s="47" t="s">
        <v>107</v>
      </c>
      <c r="E131" s="2"/>
      <c r="F131" s="6">
        <f>SUMIF(Monthly!$F$9:$DI$9,Annual!F$72,Monthly!$F158:$DI158)</f>
        <v>0</v>
      </c>
      <c r="G131" s="6">
        <f>SUMIF(Monthly!$F$9:$DI$9,Annual!G$72,Monthly!$F158:$DI158)</f>
        <v>0</v>
      </c>
      <c r="H131" s="6">
        <f>SUMIF(Monthly!$F$9:$DI$9,Annual!H$72,Monthly!$F158:$DI158)</f>
        <v>0</v>
      </c>
      <c r="I131" s="6">
        <f>SUMIF(Monthly!$F$9:$DI$9,Annual!I$72,Monthly!$F158:$DI158)</f>
        <v>0</v>
      </c>
      <c r="J131" s="6">
        <f>SUMIF(Monthly!$F$9:$DI$9,Annual!J$72,Monthly!$F158:$DI158)</f>
        <v>-1304376.2460660217</v>
      </c>
      <c r="K131" s="6">
        <f>SUMIF(Monthly!$F$9:$DI$9,Annual!K$72,Monthly!$F158:$DI158)</f>
        <v>-2419214.2506368137</v>
      </c>
      <c r="L131" s="6">
        <f>SUMIF(Monthly!$F$9:$DI$9,Annual!L$72,Monthly!$F158:$DI158)</f>
        <v>-3447059.099603775</v>
      </c>
      <c r="M131" s="6">
        <f>SUMIF(Monthly!$F$9:$DI$9,Annual!M$72,Monthly!$F158:$DI158)</f>
        <v>-2586255.462731184</v>
      </c>
      <c r="N131" s="6">
        <f>SUMIF(Monthly!$F$9:$DI$9,Annual!N$72,Monthly!$F158:$DI158)</f>
        <v>-2628344.6813858259</v>
      </c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</row>
    <row r="132" spans="3:25" s="5" customFormat="1" outlineLevel="1" x14ac:dyDescent="0.25">
      <c r="C132" s="105" t="s">
        <v>70</v>
      </c>
      <c r="D132" s="130" t="s">
        <v>107</v>
      </c>
      <c r="E132" s="7"/>
      <c r="F132" s="26">
        <f>SUMIF(Monthly!$F$9:$DI$9,Annual!F$72,Monthly!$F159:$DI159)</f>
        <v>0</v>
      </c>
      <c r="G132" s="26">
        <f>SUMIF(Monthly!$F$9:$DI$9,Annual!G$72,Monthly!$F159:$DI159)</f>
        <v>0</v>
      </c>
      <c r="H132" s="26">
        <f>SUMIF(Monthly!$F$9:$DI$9,Annual!H$72,Monthly!$F159:$DI159)</f>
        <v>0</v>
      </c>
      <c r="I132" s="26">
        <f>SUMIF(Monthly!$F$9:$DI$9,Annual!I$72,Monthly!$F159:$DI159)</f>
        <v>0</v>
      </c>
      <c r="J132" s="26">
        <f>SUMIF(Monthly!$F$9:$DI$9,Annual!J$72,Monthly!$F159:$DI159)</f>
        <v>-1838495.1090404263</v>
      </c>
      <c r="K132" s="26">
        <f>SUMIF(Monthly!$F$9:$DI$9,Annual!K$72,Monthly!$F159:$DI159)</f>
        <v>-1882358.412985069</v>
      </c>
      <c r="L132" s="26">
        <f>SUMIF(Monthly!$F$9:$DI$9,Annual!L$72,Monthly!$F159:$DI159)</f>
        <v>-1929417.3733096935</v>
      </c>
      <c r="M132" s="26">
        <f>SUMIF(Monthly!$F$9:$DI$9,Annual!M$72,Monthly!$F159:$DI159)</f>
        <v>-1977652.8076424338</v>
      </c>
      <c r="N132" s="26">
        <f>SUMIF(Monthly!$F$9:$DI$9,Annual!N$72,Monthly!$F159:$DI159)</f>
        <v>-2027094.1278334917</v>
      </c>
      <c r="P132" s="117"/>
      <c r="Q132" s="270"/>
      <c r="R132" s="117"/>
      <c r="S132" s="117"/>
      <c r="T132" s="117"/>
      <c r="U132" s="117"/>
      <c r="V132" s="117"/>
      <c r="W132" s="117"/>
      <c r="X132" s="117"/>
      <c r="Y132" s="117"/>
    </row>
    <row r="133" spans="3:25" s="5" customFormat="1" outlineLevel="1" x14ac:dyDescent="0.25">
      <c r="C133" s="106" t="s">
        <v>17</v>
      </c>
      <c r="D133" s="47" t="s">
        <v>107</v>
      </c>
      <c r="F133" s="30">
        <f>SUM(F130:F132)</f>
        <v>0</v>
      </c>
      <c r="G133" s="30">
        <f t="shared" ref="G133:N133" si="10">SUM(G130:G132)</f>
        <v>0</v>
      </c>
      <c r="H133" s="30">
        <f t="shared" si="10"/>
        <v>0</v>
      </c>
      <c r="I133" s="30">
        <f t="shared" si="10"/>
        <v>0</v>
      </c>
      <c r="J133" s="30">
        <f t="shared" si="10"/>
        <v>-32558793.099753272</v>
      </c>
      <c r="K133" s="30">
        <f t="shared" si="10"/>
        <v>-34419307.271382987</v>
      </c>
      <c r="L133" s="30">
        <f t="shared" si="10"/>
        <v>-36247154.445868567</v>
      </c>
      <c r="M133" s="30">
        <f t="shared" si="10"/>
        <v>-36206353.192652553</v>
      </c>
      <c r="N133" s="30">
        <f t="shared" si="10"/>
        <v>-37088944.854555182</v>
      </c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</row>
    <row r="134" spans="3:25" s="5" customFormat="1" outlineLevel="1" x14ac:dyDescent="0.25">
      <c r="C134" s="103"/>
      <c r="F134" s="6"/>
      <c r="G134" s="6"/>
      <c r="H134" s="6"/>
      <c r="I134" s="6"/>
      <c r="J134" s="6"/>
      <c r="K134" s="6"/>
      <c r="L134" s="6"/>
      <c r="M134" s="6"/>
      <c r="N134" s="6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</row>
    <row r="135" spans="3:25" s="5" customFormat="1" outlineLevel="1" x14ac:dyDescent="0.25">
      <c r="C135" s="104" t="s">
        <v>18</v>
      </c>
      <c r="D135" s="47" t="s">
        <v>107</v>
      </c>
      <c r="F135" s="30">
        <f>+F127+F133</f>
        <v>0</v>
      </c>
      <c r="G135" s="30">
        <f t="shared" ref="G135:N135" si="11">+G127+G133</f>
        <v>0</v>
      </c>
      <c r="H135" s="30">
        <f t="shared" si="11"/>
        <v>0</v>
      </c>
      <c r="I135" s="30">
        <f t="shared" si="11"/>
        <v>0</v>
      </c>
      <c r="J135" s="30">
        <f t="shared" si="11"/>
        <v>10920415.102447446</v>
      </c>
      <c r="K135" s="30">
        <f t="shared" si="11"/>
        <v>46221167.749844089</v>
      </c>
      <c r="L135" s="30">
        <f t="shared" si="11"/>
        <v>78654815.540923908</v>
      </c>
      <c r="M135" s="30">
        <f t="shared" si="11"/>
        <v>50002162.231720224</v>
      </c>
      <c r="N135" s="30">
        <f t="shared" si="11"/>
        <v>50522544.524972372</v>
      </c>
      <c r="P135" s="117"/>
      <c r="Q135" s="117"/>
      <c r="R135" s="117"/>
      <c r="S135" s="117"/>
      <c r="T135" s="117"/>
      <c r="U135" s="117"/>
      <c r="V135" s="117"/>
      <c r="W135" s="117"/>
      <c r="X135" s="117"/>
      <c r="Y135" s="117"/>
    </row>
    <row r="136" spans="3:25" s="5" customFormat="1" outlineLevel="1" x14ac:dyDescent="0.25">
      <c r="C136" s="107" t="s">
        <v>61</v>
      </c>
      <c r="D136" s="46" t="s">
        <v>39</v>
      </c>
      <c r="F136" s="73" t="str">
        <f>IFERROR(F135/F$127,"N/A")</f>
        <v>N/A</v>
      </c>
      <c r="G136" s="73" t="str">
        <f t="shared" ref="G136:N136" si="12">IFERROR(G135/G$127,"N/A")</f>
        <v>N/A</v>
      </c>
      <c r="H136" s="73" t="str">
        <f t="shared" si="12"/>
        <v>N/A</v>
      </c>
      <c r="I136" s="73" t="str">
        <f t="shared" si="12"/>
        <v>N/A</v>
      </c>
      <c r="J136" s="73">
        <f t="shared" si="12"/>
        <v>0.2511640748300174</v>
      </c>
      <c r="K136" s="73">
        <f t="shared" si="12"/>
        <v>0.57317578719219153</v>
      </c>
      <c r="L136" s="73">
        <f t="shared" si="12"/>
        <v>0.68453844220394977</v>
      </c>
      <c r="M136" s="73">
        <f t="shared" si="12"/>
        <v>0.58001418984630448</v>
      </c>
      <c r="N136" s="73">
        <f t="shared" si="12"/>
        <v>0.57666574193382136</v>
      </c>
      <c r="P136" s="117"/>
      <c r="Q136" s="117"/>
      <c r="R136" s="117"/>
      <c r="S136" s="117"/>
      <c r="T136" s="117"/>
      <c r="U136" s="117"/>
      <c r="V136" s="117"/>
      <c r="W136" s="117"/>
      <c r="X136" s="117"/>
      <c r="Y136" s="117"/>
    </row>
    <row r="137" spans="3:25" s="5" customFormat="1" outlineLevel="1" x14ac:dyDescent="0.25">
      <c r="C137" s="103"/>
      <c r="G137" s="6"/>
      <c r="H137" s="6"/>
      <c r="I137" s="6"/>
      <c r="J137" s="6"/>
      <c r="K137" s="6"/>
      <c r="L137" s="6"/>
      <c r="M137" s="6"/>
      <c r="N137" s="6"/>
      <c r="P137" s="115"/>
      <c r="Q137" s="116"/>
      <c r="R137" s="116"/>
      <c r="S137" s="116"/>
      <c r="T137" s="116"/>
      <c r="U137" s="116"/>
      <c r="V137" s="116"/>
      <c r="W137" s="116"/>
      <c r="X137" s="116"/>
      <c r="Y137" s="117"/>
    </row>
    <row r="138" spans="3:25" s="5" customFormat="1" outlineLevel="1" x14ac:dyDescent="0.25">
      <c r="C138" s="101" t="s">
        <v>62</v>
      </c>
      <c r="D138" s="47" t="s">
        <v>107</v>
      </c>
      <c r="F138" s="6">
        <f>SUMIF(Monthly!$F$9:$DI$9,Annual!F$72,Monthly!$F165:$DI165)</f>
        <v>0</v>
      </c>
      <c r="G138" s="6">
        <f>SUMIF(Monthly!$F$9:$DI$9,Annual!G$72,Monthly!$F165:$DI165)</f>
        <v>0</v>
      </c>
      <c r="H138" s="6">
        <f>SUMIF(Monthly!$F$9:$DI$9,Annual!H$72,Monthly!$F165:$DI165)</f>
        <v>0</v>
      </c>
      <c r="I138" s="6">
        <f>SUMIF(Monthly!$F$9:$DI$9,Annual!I$72,Monthly!$F165:$DI165)</f>
        <v>0</v>
      </c>
      <c r="J138" s="6">
        <f>SUMIF(Monthly!$F$9:$DI$9,Annual!J$72,Monthly!$F165:$DI165)</f>
        <v>-11899619.038931748</v>
      </c>
      <c r="K138" s="6">
        <f>SUMIF(Monthly!$F$9:$DI$9,Annual!K$72,Monthly!$F165:$DI165)</f>
        <v>0</v>
      </c>
      <c r="L138" s="6">
        <f>SUMIF(Monthly!$F$9:$DI$9,Annual!L$72,Monthly!$F165:$DI165)</f>
        <v>0</v>
      </c>
      <c r="M138" s="6">
        <f>SUMIF(Monthly!$F$9:$DI$9,Annual!M$72,Monthly!$F165:$DI165)</f>
        <v>-4362200.4942205669</v>
      </c>
      <c r="N138" s="6">
        <f>SUMIF(Monthly!$F$9:$DI$9,Annual!N$72,Monthly!$F165:$DI165)</f>
        <v>-3344248.9406442977</v>
      </c>
      <c r="P138" s="117"/>
      <c r="Q138" s="117"/>
      <c r="R138" s="117"/>
      <c r="S138" s="117"/>
      <c r="T138" s="117"/>
      <c r="U138" s="117"/>
      <c r="V138" s="117"/>
      <c r="W138" s="117"/>
      <c r="X138" s="117"/>
      <c r="Y138" s="117"/>
    </row>
    <row r="139" spans="3:25" s="5" customFormat="1" outlineLevel="1" x14ac:dyDescent="0.25">
      <c r="C139" s="101" t="s">
        <v>63</v>
      </c>
      <c r="D139" s="47" t="s">
        <v>107</v>
      </c>
      <c r="F139" s="6">
        <f>SUMIF(Monthly!$F$9:$DI$9,Annual!F$72,Monthly!$F166:$DI166)</f>
        <v>0</v>
      </c>
      <c r="G139" s="6">
        <f>SUMIF(Monthly!$F$9:$DI$9,Annual!G$72,Monthly!$F166:$DI166)</f>
        <v>0</v>
      </c>
      <c r="H139" s="6">
        <f>SUMIF(Monthly!$F$9:$DI$9,Annual!H$72,Monthly!$F166:$DI166)</f>
        <v>0</v>
      </c>
      <c r="I139" s="6">
        <f>SUMIF(Monthly!$F$9:$DI$9,Annual!I$72,Monthly!$F166:$DI166)</f>
        <v>0</v>
      </c>
      <c r="J139" s="6">
        <f>SUMIF(Monthly!$F$9:$DI$9,Annual!J$72,Monthly!$F166:$DI166)</f>
        <v>10053719.915321702</v>
      </c>
      <c r="K139" s="6">
        <f>SUMIF(Monthly!$F$9:$DI$9,Annual!K$72,Monthly!$F166:$DI166)</f>
        <v>0</v>
      </c>
      <c r="L139" s="6">
        <f>SUMIF(Monthly!$F$9:$DI$9,Annual!L$72,Monthly!$F166:$DI166)</f>
        <v>0</v>
      </c>
      <c r="M139" s="6">
        <f>SUMIF(Monthly!$F$9:$DI$9,Annual!M$72,Monthly!$F166:$DI166)</f>
        <v>4362200.4942205669</v>
      </c>
      <c r="N139" s="6">
        <f>SUMIF(Monthly!$F$9:$DI$9,Annual!N$72,Monthly!$F166:$DI166)</f>
        <v>3267762.8982410454</v>
      </c>
      <c r="P139" s="117"/>
      <c r="Q139" s="117"/>
      <c r="R139" s="117"/>
      <c r="S139" s="117"/>
      <c r="T139" s="117"/>
      <c r="U139" s="117"/>
      <c r="V139" s="117"/>
      <c r="W139" s="117"/>
      <c r="X139" s="117"/>
      <c r="Y139" s="117"/>
    </row>
    <row r="140" spans="3:25" s="5" customFormat="1" outlineLevel="1" x14ac:dyDescent="0.25">
      <c r="C140" s="108"/>
      <c r="D140" s="62"/>
      <c r="G140" s="6"/>
      <c r="H140" s="6"/>
      <c r="I140" s="6"/>
      <c r="J140" s="6"/>
      <c r="K140" s="6"/>
      <c r="L140" s="6"/>
      <c r="M140" s="6"/>
      <c r="N140" s="6"/>
      <c r="P140" s="117"/>
      <c r="Q140" s="117"/>
      <c r="R140" s="117"/>
      <c r="S140" s="117"/>
      <c r="T140" s="117"/>
      <c r="U140" s="117"/>
      <c r="V140" s="117"/>
      <c r="W140" s="117"/>
      <c r="X140" s="117"/>
      <c r="Y140" s="117"/>
    </row>
    <row r="141" spans="3:25" s="5" customFormat="1" outlineLevel="1" x14ac:dyDescent="0.25">
      <c r="C141" s="100" t="s">
        <v>64</v>
      </c>
      <c r="D141" s="47" t="s">
        <v>107</v>
      </c>
      <c r="F141" s="82">
        <f>+F135+SUM(F138:F139)</f>
        <v>0</v>
      </c>
      <c r="G141" s="82">
        <f t="shared" ref="G141:N141" si="13">+G135+SUM(G138:G139)</f>
        <v>0</v>
      </c>
      <c r="H141" s="82">
        <f t="shared" si="13"/>
        <v>0</v>
      </c>
      <c r="I141" s="82">
        <f t="shared" si="13"/>
        <v>0</v>
      </c>
      <c r="J141" s="82">
        <f t="shared" si="13"/>
        <v>9074515.9788374007</v>
      </c>
      <c r="K141" s="82">
        <f t="shared" si="13"/>
        <v>46221167.749844089</v>
      </c>
      <c r="L141" s="82">
        <f t="shared" si="13"/>
        <v>78654815.540923908</v>
      </c>
      <c r="M141" s="82">
        <f t="shared" si="13"/>
        <v>50002162.231720224</v>
      </c>
      <c r="N141" s="82">
        <f t="shared" si="13"/>
        <v>50446058.482569121</v>
      </c>
      <c r="P141" s="117"/>
      <c r="Q141" s="117"/>
      <c r="R141" s="117"/>
      <c r="S141" s="117"/>
      <c r="T141" s="117"/>
      <c r="U141" s="117"/>
      <c r="V141" s="117"/>
      <c r="W141" s="117"/>
      <c r="X141" s="117"/>
      <c r="Y141" s="117"/>
    </row>
    <row r="142" spans="3:25" s="5" customFormat="1" outlineLevel="1" x14ac:dyDescent="0.25">
      <c r="C142" s="109" t="s">
        <v>65</v>
      </c>
      <c r="D142" s="46" t="s">
        <v>39</v>
      </c>
      <c r="F142" s="73" t="str">
        <f>IFERROR(F141/F$127,"N/A")</f>
        <v>N/A</v>
      </c>
      <c r="G142" s="73" t="str">
        <f t="shared" ref="G142:N142" si="14">IFERROR(G141/G$127,"N/A")</f>
        <v>N/A</v>
      </c>
      <c r="H142" s="73" t="str">
        <f t="shared" si="14"/>
        <v>N/A</v>
      </c>
      <c r="I142" s="73" t="str">
        <f t="shared" si="14"/>
        <v>N/A</v>
      </c>
      <c r="J142" s="73">
        <f t="shared" si="14"/>
        <v>0.20870932001880591</v>
      </c>
      <c r="K142" s="73">
        <f t="shared" si="14"/>
        <v>0.57317578719219153</v>
      </c>
      <c r="L142" s="73">
        <f t="shared" si="14"/>
        <v>0.68453844220394977</v>
      </c>
      <c r="M142" s="73">
        <f t="shared" si="14"/>
        <v>0.58001418984630448</v>
      </c>
      <c r="N142" s="73">
        <f t="shared" si="14"/>
        <v>0.57579272809802284</v>
      </c>
      <c r="P142" s="117"/>
      <c r="Q142" s="117"/>
      <c r="R142" s="117"/>
      <c r="S142" s="117"/>
      <c r="T142" s="117"/>
      <c r="U142" s="117"/>
      <c r="V142" s="117"/>
      <c r="W142" s="117"/>
      <c r="X142" s="117"/>
      <c r="Y142" s="117"/>
    </row>
    <row r="143" spans="3:25" s="5" customFormat="1" outlineLevel="1" x14ac:dyDescent="0.25">
      <c r="C143" s="103"/>
      <c r="G143" s="6"/>
      <c r="H143" s="6"/>
      <c r="I143" s="6"/>
      <c r="J143" s="6"/>
      <c r="K143" s="6"/>
      <c r="L143" s="6"/>
      <c r="M143" s="6"/>
      <c r="N143" s="6"/>
      <c r="P143" s="117"/>
      <c r="Q143" s="117"/>
      <c r="R143" s="117"/>
      <c r="S143" s="117"/>
      <c r="T143" s="117"/>
      <c r="U143" s="117"/>
      <c r="V143" s="117"/>
      <c r="W143" s="117"/>
      <c r="X143" s="117"/>
      <c r="Y143" s="117"/>
    </row>
    <row r="144" spans="3:25" s="5" customFormat="1" outlineLevel="1" x14ac:dyDescent="0.25">
      <c r="C144" s="101" t="s">
        <v>135</v>
      </c>
      <c r="D144" s="47" t="s">
        <v>107</v>
      </c>
      <c r="F144" s="6">
        <f>SUMIF(Monthly!$F$9:$DI$9,Annual!F$72,Monthly!$F171:$DI171)</f>
        <v>0</v>
      </c>
      <c r="G144" s="6">
        <f>SUMIF(Monthly!$F$9:$DI$9,Annual!G$72,Monthly!$F171:$DI171)</f>
        <v>0</v>
      </c>
      <c r="H144" s="6">
        <f>SUMIF(Monthly!$F$9:$DI$9,Annual!H$72,Monthly!$F171:$DI171)</f>
        <v>0</v>
      </c>
      <c r="I144" s="6">
        <f>SUMIF(Monthly!$F$9:$DI$9,Annual!I$72,Monthly!$F171:$DI171)</f>
        <v>0</v>
      </c>
      <c r="J144" s="6">
        <f>SUMIF(Monthly!$F$9:$DI$9,Annual!J$72,Monthly!$F171:$DI171)</f>
        <v>-23810383.149381854</v>
      </c>
      <c r="K144" s="6">
        <f>SUMIF(Monthly!$F$9:$DI$9,Annual!K$72,Monthly!$F171:$DI171)</f>
        <v>-23337619.869215723</v>
      </c>
      <c r="L144" s="6">
        <f>SUMIF(Monthly!$F$9:$DI$9,Annual!L$72,Monthly!$F171:$DI171)</f>
        <v>-22848309.874243785</v>
      </c>
      <c r="M144" s="6">
        <f>SUMIF(Monthly!$F$9:$DI$9,Annual!M$72,Monthly!$F171:$DI171)</f>
        <v>-22341874.029447824</v>
      </c>
      <c r="N144" s="6">
        <f>SUMIF(Monthly!$F$9:$DI$9,Annual!N$72,Monthly!$F171:$DI171)</f>
        <v>-21817712.930084009</v>
      </c>
      <c r="P144" s="117"/>
      <c r="Q144" s="117"/>
      <c r="R144" s="117"/>
      <c r="S144" s="117"/>
      <c r="T144" s="117"/>
      <c r="U144" s="117"/>
      <c r="V144" s="117"/>
      <c r="W144" s="117"/>
      <c r="X144" s="117"/>
      <c r="Y144" s="117"/>
    </row>
    <row r="145" spans="3:25" s="5" customFormat="1" outlineLevel="1" x14ac:dyDescent="0.25">
      <c r="C145" s="101" t="s">
        <v>136</v>
      </c>
      <c r="D145" s="47" t="s">
        <v>107</v>
      </c>
      <c r="F145" s="6">
        <f>SUMIF(Monthly!$F$9:$DI$9,Annual!F$72,Monthly!$F172:$DI172)</f>
        <v>0</v>
      </c>
      <c r="G145" s="6">
        <f>SUMIF(Monthly!$F$9:$DI$9,Annual!G$72,Monthly!$F172:$DI172)</f>
        <v>0</v>
      </c>
      <c r="H145" s="6">
        <f>SUMIF(Monthly!$F$9:$DI$9,Annual!H$72,Monthly!$F172:$DI172)</f>
        <v>0</v>
      </c>
      <c r="I145" s="6">
        <f>SUMIF(Monthly!$F$9:$DI$9,Annual!I$72,Monthly!$F172:$DI172)</f>
        <v>0</v>
      </c>
      <c r="J145" s="6">
        <f>SUMIF(Monthly!$F$9:$DI$9,Annual!J$72,Monthly!$F172:$DI172)</f>
        <v>-4648629.7601019582</v>
      </c>
      <c r="K145" s="6">
        <f>SUMIF(Monthly!$F$9:$DI$9,Annual!K$72,Monthly!$F172:$DI172)</f>
        <v>-4834574.950506039</v>
      </c>
      <c r="L145" s="6">
        <f>SUMIF(Monthly!$F$9:$DI$9,Annual!L$72,Monthly!$F172:$DI172)</f>
        <v>-5027957.9485262828</v>
      </c>
      <c r="M145" s="6">
        <f>SUMIF(Monthly!$F$9:$DI$9,Annual!M$72,Monthly!$F172:$DI172)</f>
        <v>-5229076.2664673375</v>
      </c>
      <c r="N145" s="6">
        <f>SUMIF(Monthly!$F$9:$DI$9,Annual!N$72,Monthly!$F172:$DI172)</f>
        <v>-5438239.3171260348</v>
      </c>
      <c r="P145" s="117"/>
      <c r="Q145" s="117"/>
      <c r="R145" s="117"/>
      <c r="S145" s="117"/>
      <c r="T145" s="117"/>
      <c r="U145" s="117"/>
      <c r="V145" s="117"/>
      <c r="W145" s="117"/>
      <c r="X145" s="117"/>
      <c r="Y145" s="117"/>
    </row>
    <row r="146" spans="3:25" s="5" customFormat="1" outlineLevel="1" x14ac:dyDescent="0.25">
      <c r="C146" s="101" t="s">
        <v>132</v>
      </c>
      <c r="D146" s="47" t="s">
        <v>107</v>
      </c>
      <c r="F146" s="6">
        <f>SUMIF(Monthly!$F$9:$DI$9,Annual!F$72,Monthly!$F173:$DI173)</f>
        <v>0</v>
      </c>
      <c r="G146" s="6">
        <f>SUMIF(Monthly!$F$9:$DI$9,Annual!G$72,Monthly!$F173:$DI173)</f>
        <v>0</v>
      </c>
      <c r="H146" s="6">
        <f>SUMIF(Monthly!$F$9:$DI$9,Annual!H$72,Monthly!$F173:$DI173)</f>
        <v>0</v>
      </c>
      <c r="I146" s="6">
        <f>SUMIF(Monthly!$F$9:$DI$9,Annual!I$72,Monthly!$F173:$DI173)</f>
        <v>0</v>
      </c>
      <c r="J146" s="6">
        <f>SUMIF(Monthly!$F$9:$DI$9,Annual!J$72,Monthly!$F173:$DI173)</f>
        <v>-13507522.290460661</v>
      </c>
      <c r="K146" s="6">
        <f>SUMIF(Monthly!$F$9:$DI$9,Annual!K$72,Monthly!$F173:$DI173)</f>
        <v>-13980285.570626788</v>
      </c>
      <c r="L146" s="6">
        <f>SUMIF(Monthly!$F$9:$DI$9,Annual!L$72,Monthly!$F173:$DI173)</f>
        <v>-14469595.565598726</v>
      </c>
      <c r="M146" s="6">
        <f>SUMIF(Monthly!$F$9:$DI$9,Annual!M$72,Monthly!$F173:$DI173)</f>
        <v>-14976031.410394685</v>
      </c>
      <c r="N146" s="6">
        <f>SUMIF(Monthly!$F$9:$DI$9,Annual!N$72,Monthly!$F173:$DI173)</f>
        <v>-15500192.5097585</v>
      </c>
      <c r="P146" s="117"/>
      <c r="Q146" s="117"/>
      <c r="R146" s="117"/>
      <c r="S146" s="117"/>
      <c r="T146" s="117"/>
      <c r="U146" s="117"/>
      <c r="V146" s="117"/>
      <c r="W146" s="117"/>
      <c r="X146" s="117"/>
      <c r="Y146" s="117"/>
    </row>
    <row r="147" spans="3:25" s="5" customFormat="1" outlineLevel="1" x14ac:dyDescent="0.25">
      <c r="C147" s="103"/>
      <c r="G147" s="6"/>
      <c r="H147" s="6"/>
      <c r="I147" s="6"/>
      <c r="J147" s="6"/>
      <c r="K147" s="6"/>
      <c r="L147" s="6"/>
      <c r="M147" s="6"/>
      <c r="N147" s="6"/>
      <c r="P147" s="117"/>
      <c r="Q147" s="117"/>
      <c r="R147" s="117"/>
      <c r="S147" s="117"/>
      <c r="T147" s="117"/>
      <c r="U147" s="117"/>
      <c r="V147" s="117"/>
      <c r="W147" s="117"/>
      <c r="X147" s="117"/>
      <c r="Y147" s="117"/>
    </row>
    <row r="148" spans="3:25" s="5" customFormat="1" outlineLevel="1" x14ac:dyDescent="0.25">
      <c r="C148" s="110" t="s">
        <v>71</v>
      </c>
      <c r="D148" s="47" t="s">
        <v>107</v>
      </c>
      <c r="F148" s="82">
        <f>+F141+SUM(F144:F146)</f>
        <v>0</v>
      </c>
      <c r="G148" s="82">
        <f t="shared" ref="G148:N148" si="15">+G141+SUM(G144:G146)</f>
        <v>0</v>
      </c>
      <c r="H148" s="82">
        <f t="shared" si="15"/>
        <v>0</v>
      </c>
      <c r="I148" s="82">
        <f t="shared" si="15"/>
        <v>0</v>
      </c>
      <c r="J148" s="82">
        <f t="shared" si="15"/>
        <v>-32892019.221107073</v>
      </c>
      <c r="K148" s="82">
        <f t="shared" si="15"/>
        <v>4068687.3594955355</v>
      </c>
      <c r="L148" s="82">
        <f t="shared" si="15"/>
        <v>36308952.152555116</v>
      </c>
      <c r="M148" s="82">
        <f t="shared" si="15"/>
        <v>7455180.5254103765</v>
      </c>
      <c r="N148" s="82">
        <f t="shared" si="15"/>
        <v>7689913.7256005779</v>
      </c>
      <c r="P148" s="117"/>
      <c r="Q148" s="117"/>
      <c r="R148" s="117"/>
      <c r="S148" s="117"/>
      <c r="T148" s="117"/>
      <c r="U148" s="117"/>
      <c r="V148" s="117"/>
      <c r="W148" s="117"/>
      <c r="X148" s="117"/>
      <c r="Y148" s="117"/>
    </row>
    <row r="149" spans="3:25" s="5" customFormat="1" outlineLevel="1" x14ac:dyDescent="0.25">
      <c r="G149" s="6"/>
      <c r="H149" s="6"/>
      <c r="I149" s="6"/>
      <c r="J149" s="6"/>
      <c r="K149" s="6"/>
      <c r="L149" s="6"/>
      <c r="M149" s="6"/>
      <c r="N149" s="6"/>
      <c r="P149" s="117"/>
      <c r="Q149" s="117"/>
      <c r="R149" s="117"/>
      <c r="S149" s="117"/>
      <c r="T149" s="117"/>
      <c r="U149" s="117"/>
      <c r="V149" s="117"/>
      <c r="W149" s="117"/>
      <c r="X149" s="117"/>
      <c r="Y149" s="117"/>
    </row>
    <row r="150" spans="3:25" s="5" customFormat="1" outlineLevel="1" x14ac:dyDescent="0.25">
      <c r="C150" s="62" t="s">
        <v>156</v>
      </c>
      <c r="D150" s="47" t="s">
        <v>107</v>
      </c>
      <c r="F150" s="6">
        <f>SUMIF(Monthly!$F$9:$DI$9,Annual!F$72,Monthly!$F177:$DI177)</f>
        <v>0</v>
      </c>
      <c r="G150" s="6">
        <f>SUMIF(Monthly!$F$9:$DI$9,Annual!G$72,Monthly!$F177:$DI177)</f>
        <v>0</v>
      </c>
      <c r="H150" s="6">
        <f>SUMIF(Monthly!$F$9:$DI$9,Annual!H$72,Monthly!$F177:$DI177)</f>
        <v>0</v>
      </c>
      <c r="I150" s="6">
        <f>SUMIF(Monthly!$F$9:$DI$9,Annual!I$72,Monthly!$F177:$DI177)</f>
        <v>0</v>
      </c>
      <c r="J150" s="6">
        <f>SUMIF(Monthly!$F$9:$DI$9,Annual!J$72,Monthly!$F177:$DI177)</f>
        <v>-4648629.7601019582</v>
      </c>
      <c r="K150" s="6">
        <f>SUMIF(Monthly!$F$9:$DI$9,Annual!K$72,Monthly!$F177:$DI177)</f>
        <v>-4834574.950506039</v>
      </c>
      <c r="L150" s="6">
        <f>SUMIF(Monthly!$F$9:$DI$9,Annual!L$72,Monthly!$F177:$DI177)</f>
        <v>-5027957.9485262828</v>
      </c>
      <c r="M150" s="6">
        <f>SUMIF(Monthly!$F$9:$DI$9,Annual!M$72,Monthly!$F177:$DI177)</f>
        <v>-5229076.2664673375</v>
      </c>
      <c r="N150" s="6">
        <f>SUMIF(Monthly!$F$9:$DI$9,Annual!N$72,Monthly!$F177:$DI177)</f>
        <v>-5438239.3171260348</v>
      </c>
      <c r="P150" s="115"/>
      <c r="Q150" s="116"/>
      <c r="R150" s="116"/>
      <c r="S150" s="116"/>
      <c r="T150" s="116"/>
      <c r="U150" s="116"/>
      <c r="V150" s="116"/>
      <c r="W150" s="116"/>
      <c r="X150" s="116"/>
      <c r="Y150" s="117"/>
    </row>
    <row r="151" spans="3:25" s="5" customFormat="1" outlineLevel="1" x14ac:dyDescent="0.25">
      <c r="G151" s="6"/>
      <c r="H151" s="6"/>
      <c r="I151" s="6"/>
      <c r="J151" s="6"/>
      <c r="K151" s="6"/>
      <c r="L151" s="6"/>
      <c r="M151" s="6"/>
      <c r="N151" s="6"/>
      <c r="P151" s="117"/>
      <c r="Q151" s="117"/>
      <c r="R151" s="117"/>
      <c r="S151" s="117"/>
      <c r="T151" s="117"/>
      <c r="U151" s="117"/>
      <c r="V151" s="117"/>
      <c r="W151" s="117"/>
      <c r="X151" s="117"/>
      <c r="Y151" s="117"/>
    </row>
    <row r="152" spans="3:25" s="5" customFormat="1" outlineLevel="1" x14ac:dyDescent="0.25">
      <c r="C152" s="20" t="s">
        <v>154</v>
      </c>
      <c r="D152" s="47" t="s">
        <v>107</v>
      </c>
      <c r="E152" s="155"/>
      <c r="F152" s="6">
        <f>INDEX(Monthly!$F$145:$DI$181,35,MATCH(F$118,Monthly!$F$145:$DI$145))</f>
        <v>0</v>
      </c>
      <c r="G152" s="6">
        <f>INDEX(Monthly!$F$145:$DI$181,35,MATCH(G$118,Monthly!$F$145:$DI$145))</f>
        <v>0</v>
      </c>
      <c r="H152" s="6">
        <f>INDEX(Monthly!$F$145:$DI$181,35,MATCH(H$118,Monthly!$F$145:$DI$145))</f>
        <v>0</v>
      </c>
      <c r="I152" s="6">
        <f>INDEX(Monthly!$F$145:$DI$181,35,MATCH(I$118,Monthly!$F$145:$DI$145))</f>
        <v>696186500.34552336</v>
      </c>
      <c r="J152" s="6">
        <f>INDEX(Monthly!$F$145:$DI$181,35,MATCH(J$118,Monthly!$F$145:$DI$145))</f>
        <v>682640199.32662094</v>
      </c>
      <c r="K152" s="6">
        <f>INDEX(Monthly!$F$145:$DI$181,35,MATCH(K$118,Monthly!$F$145:$DI$145))</f>
        <v>668619777.77205729</v>
      </c>
      <c r="L152" s="6">
        <f>INDEX(Monthly!$F$145:$DI$181,35,MATCH(L$118,Monthly!$F$145:$DI$145))</f>
        <v>654108641.46308362</v>
      </c>
      <c r="M152" s="6">
        <f>INDEX(Monthly!$F$145:$DI$181,35,MATCH(M$118,Monthly!$F$145:$DI$145))</f>
        <v>639089615.38329613</v>
      </c>
      <c r="N152" s="6">
        <f>INDEX(Monthly!$F$145:$DI$181,35,MATCH(N$118,Monthly!$F$145:$DI$145))</f>
        <v>624860836.66844356</v>
      </c>
      <c r="P152" s="117"/>
      <c r="Q152" s="117"/>
      <c r="R152" s="117"/>
      <c r="S152" s="117"/>
      <c r="T152" s="117"/>
      <c r="U152" s="117"/>
      <c r="V152" s="117"/>
      <c r="W152" s="117"/>
      <c r="X152" s="117"/>
      <c r="Y152" s="117"/>
    </row>
    <row r="153" spans="3:25" s="5" customFormat="1" outlineLevel="1" x14ac:dyDescent="0.25">
      <c r="C153" s="20" t="s">
        <v>155</v>
      </c>
      <c r="D153" s="130" t="s">
        <v>107</v>
      </c>
      <c r="E153" s="164"/>
      <c r="F153" s="26">
        <f>INDEX(Monthly!$F$145:$DI$181,36,MATCH(F$118,Monthly!$F$145:$DI$145))</f>
        <v>0</v>
      </c>
      <c r="G153" s="26">
        <f>INDEX(Monthly!$F$145:$DI$181,36,MATCH(G$118,Monthly!$F$145:$DI$145))</f>
        <v>0</v>
      </c>
      <c r="H153" s="26">
        <f>INDEX(Monthly!$F$145:$DI$181,36,MATCH(H$118,Monthly!$F$145:$DI$145))</f>
        <v>0</v>
      </c>
      <c r="I153" s="26">
        <f>INDEX(Monthly!$F$145:$DI$181,36,MATCH(I$118,Monthly!$F$145:$DI$145))</f>
        <v>116596204.10700613</v>
      </c>
      <c r="J153" s="26">
        <f>INDEX(Monthly!$F$145:$DI$181,36,MATCH(J$118,Monthly!$F$145:$DI$145))</f>
        <v>121260052.27128643</v>
      </c>
      <c r="K153" s="26">
        <f>INDEX(Monthly!$F$145:$DI$181,36,MATCH(K$118,Monthly!$F$145:$DI$145))</f>
        <v>126110454.36213796</v>
      </c>
      <c r="L153" s="26">
        <f>INDEX(Monthly!$F$145:$DI$181,36,MATCH(L$118,Monthly!$F$145:$DI$145))</f>
        <v>131154872.53662352</v>
      </c>
      <c r="M153" s="26">
        <f>INDEX(Monthly!$F$145:$DI$181,36,MATCH(M$118,Monthly!$F$145:$DI$145))</f>
        <v>136401067.43808857</v>
      </c>
      <c r="N153" s="26">
        <f>INDEX(Monthly!$F$145:$DI$181,36,MATCH(N$118,Monthly!$F$145:$DI$145))</f>
        <v>141394222.24527481</v>
      </c>
      <c r="P153" s="117"/>
      <c r="Q153" s="117"/>
      <c r="R153" s="117"/>
      <c r="S153" s="117"/>
      <c r="T153" s="117"/>
      <c r="U153" s="117"/>
      <c r="V153" s="117"/>
      <c r="W153" s="117"/>
      <c r="X153" s="117"/>
      <c r="Y153" s="117"/>
    </row>
    <row r="154" spans="3:25" s="5" customFormat="1" outlineLevel="1" x14ac:dyDescent="0.25">
      <c r="C154" s="38" t="s">
        <v>153</v>
      </c>
      <c r="D154" s="47" t="s">
        <v>107</v>
      </c>
      <c r="E154" s="2"/>
      <c r="F154" s="30">
        <f>SUM(F152:F153)</f>
        <v>0</v>
      </c>
      <c r="G154" s="30">
        <f t="shared" ref="G154:N154" si="16">SUM(G152:G153)</f>
        <v>0</v>
      </c>
      <c r="H154" s="30">
        <f t="shared" si="16"/>
        <v>0</v>
      </c>
      <c r="I154" s="30">
        <f t="shared" si="16"/>
        <v>812782704.45252943</v>
      </c>
      <c r="J154" s="30">
        <f t="shared" si="16"/>
        <v>803900251.5979073</v>
      </c>
      <c r="K154" s="30">
        <f t="shared" si="16"/>
        <v>794730232.13419521</v>
      </c>
      <c r="L154" s="30">
        <f t="shared" si="16"/>
        <v>785263513.9997071</v>
      </c>
      <c r="M154" s="30">
        <f t="shared" si="16"/>
        <v>775490682.82138467</v>
      </c>
      <c r="N154" s="30">
        <f t="shared" si="16"/>
        <v>766255058.91371834</v>
      </c>
      <c r="P154" s="117"/>
      <c r="Q154" s="117"/>
      <c r="R154" s="117"/>
      <c r="S154" s="117"/>
      <c r="T154" s="117"/>
      <c r="U154" s="117"/>
      <c r="V154" s="117"/>
      <c r="W154" s="117"/>
      <c r="X154" s="117"/>
      <c r="Y154" s="117"/>
    </row>
    <row r="155" spans="3:25" s="5" customFormat="1" outlineLevel="1" x14ac:dyDescent="0.25">
      <c r="G155" s="6"/>
      <c r="H155" s="6"/>
      <c r="I155" s="6"/>
      <c r="J155" s="6"/>
      <c r="K155" s="6"/>
      <c r="L155" s="6"/>
      <c r="M155" s="6"/>
      <c r="P155" s="117"/>
      <c r="Q155" s="117"/>
      <c r="R155" s="117"/>
      <c r="S155" s="117"/>
      <c r="T155" s="117"/>
      <c r="U155" s="117"/>
      <c r="V155" s="117"/>
      <c r="W155" s="117"/>
      <c r="X155" s="117"/>
      <c r="Y155" s="117"/>
    </row>
    <row r="156" spans="3:25" s="5" customFormat="1" outlineLevel="1" x14ac:dyDescent="0.25">
      <c r="C156" s="56" t="s">
        <v>205</v>
      </c>
      <c r="D156" s="57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P156" s="117"/>
      <c r="Q156" s="117"/>
      <c r="R156" s="117"/>
      <c r="S156" s="117"/>
      <c r="T156" s="117"/>
      <c r="U156" s="117"/>
      <c r="V156" s="117"/>
      <c r="W156" s="117"/>
      <c r="X156" s="117"/>
      <c r="Y156" s="117"/>
    </row>
    <row r="157" spans="3:25" s="5" customFormat="1" outlineLevel="1" x14ac:dyDescent="0.25">
      <c r="C157" s="162" t="s">
        <v>73</v>
      </c>
      <c r="D157" s="46" t="s">
        <v>39</v>
      </c>
      <c r="G157" s="6"/>
      <c r="H157" s="6"/>
      <c r="I157" s="73"/>
      <c r="J157" s="73">
        <f>+J135/(Senior_Loan_Balance+Mezz_Balance)</f>
        <v>1.3423820616898884E-2</v>
      </c>
      <c r="K157" s="73">
        <f>+K135/(Senior_Loan_Balance+Mezz_Balance)</f>
        <v>5.6816948692586092E-2</v>
      </c>
      <c r="L157" s="73">
        <f>+L135/(Senior_Loan_Balance+Mezz_Balance)</f>
        <v>9.6685714285714291E-2</v>
      </c>
      <c r="M157" s="73">
        <f>+M135/(Senior_Loan_Balance+Mezz_Balance)</f>
        <v>6.1464701658205015E-2</v>
      </c>
      <c r="N157" s="73">
        <f>+N135/(Senior_Loan_Balance+Mezz_Balance)</f>
        <v>6.2104376843744598E-2</v>
      </c>
      <c r="P157" s="117"/>
      <c r="Q157" s="117"/>
      <c r="R157" s="117"/>
      <c r="S157" s="117"/>
      <c r="T157" s="117"/>
      <c r="U157" s="117"/>
      <c r="V157" s="117"/>
      <c r="W157" s="117"/>
      <c r="X157" s="117"/>
      <c r="Y157" s="117"/>
    </row>
    <row r="158" spans="3:25" s="5" customFormat="1" outlineLevel="1" x14ac:dyDescent="0.25">
      <c r="C158" s="99"/>
      <c r="D158" s="66"/>
      <c r="G158" s="6"/>
      <c r="H158" s="6"/>
      <c r="J158" s="6"/>
      <c r="K158" s="6"/>
      <c r="L158" s="6"/>
      <c r="M158" s="6"/>
      <c r="N158" s="6"/>
      <c r="P158" s="115"/>
      <c r="Q158" s="116"/>
      <c r="R158" s="116"/>
      <c r="S158" s="116"/>
      <c r="T158" s="116"/>
      <c r="U158" s="116"/>
      <c r="V158" s="116"/>
      <c r="W158" s="116"/>
      <c r="X158" s="116"/>
      <c r="Y158" s="117"/>
    </row>
    <row r="159" spans="3:25" s="5" customFormat="1" outlineLevel="1" x14ac:dyDescent="0.25">
      <c r="C159" s="162" t="s">
        <v>166</v>
      </c>
      <c r="D159" s="46" t="s">
        <v>74</v>
      </c>
      <c r="G159" s="6"/>
      <c r="H159" s="6"/>
      <c r="I159" s="78"/>
      <c r="J159" s="78">
        <f>-J135/SUM(J144:J145)</f>
        <v>0.38372431036806187</v>
      </c>
      <c r="K159" s="78">
        <f t="shared" ref="K159:N159" si="17">-K135/SUM(K144:K145)</f>
        <v>1.6406661974908416</v>
      </c>
      <c r="L159" s="78">
        <f t="shared" si="17"/>
        <v>2.8215690866865826</v>
      </c>
      <c r="M159" s="78">
        <f t="shared" si="17"/>
        <v>1.8135813853006153</v>
      </c>
      <c r="N159" s="78">
        <f t="shared" si="17"/>
        <v>1.8536334400183698</v>
      </c>
      <c r="P159" s="117"/>
      <c r="Q159" s="117"/>
      <c r="R159" s="117"/>
      <c r="S159" s="117"/>
      <c r="T159" s="117"/>
      <c r="U159" s="117"/>
      <c r="V159" s="117"/>
      <c r="W159" s="117"/>
      <c r="X159" s="117"/>
      <c r="Y159" s="117"/>
    </row>
    <row r="160" spans="3:25" s="5" customFormat="1" outlineLevel="1" x14ac:dyDescent="0.25">
      <c r="C160" s="162" t="s">
        <v>167</v>
      </c>
      <c r="D160" s="46" t="s">
        <v>74</v>
      </c>
      <c r="G160" s="6"/>
      <c r="H160" s="6"/>
      <c r="I160" s="78"/>
      <c r="J160" s="78">
        <f>-J141/SUM(J144:J145)</f>
        <v>0.31886263967410361</v>
      </c>
      <c r="K160" s="78">
        <f t="shared" ref="K160:N160" si="18">-K141/SUM(K144:K145)</f>
        <v>1.6406661974908416</v>
      </c>
      <c r="L160" s="78">
        <f t="shared" si="18"/>
        <v>2.8215690866865826</v>
      </c>
      <c r="M160" s="78">
        <f t="shared" si="18"/>
        <v>1.8135813853006153</v>
      </c>
      <c r="N160" s="78">
        <f t="shared" si="18"/>
        <v>1.8508272257386584</v>
      </c>
      <c r="P160" s="117"/>
      <c r="Q160" s="117"/>
      <c r="R160" s="117"/>
      <c r="S160" s="117"/>
      <c r="T160" s="117"/>
      <c r="U160" s="117"/>
      <c r="V160" s="117"/>
      <c r="W160" s="117"/>
      <c r="X160" s="117"/>
      <c r="Y160" s="117"/>
    </row>
    <row r="161" spans="2:26" s="5" customFormat="1" outlineLevel="1" x14ac:dyDescent="0.25">
      <c r="C161" s="99"/>
      <c r="D161" s="66"/>
      <c r="G161" s="6"/>
      <c r="H161" s="6"/>
      <c r="J161" s="6"/>
      <c r="K161" s="6"/>
      <c r="L161" s="6"/>
      <c r="M161" s="6"/>
      <c r="N161" s="6"/>
      <c r="P161" s="117"/>
      <c r="Q161" s="117"/>
      <c r="R161" s="117"/>
      <c r="S161" s="117"/>
      <c r="T161" s="117"/>
      <c r="U161" s="117"/>
      <c r="V161" s="117"/>
      <c r="W161" s="117"/>
      <c r="X161" s="117"/>
      <c r="Y161" s="117"/>
    </row>
    <row r="162" spans="2:26" s="5" customFormat="1" outlineLevel="1" x14ac:dyDescent="0.25">
      <c r="C162" s="162" t="s">
        <v>75</v>
      </c>
      <c r="D162" s="46" t="s">
        <v>74</v>
      </c>
      <c r="G162" s="6"/>
      <c r="H162" s="6"/>
      <c r="I162" s="78"/>
      <c r="J162" s="78">
        <f>-J135/SUM(J144:J146)</f>
        <v>0.26021721951594173</v>
      </c>
      <c r="K162" s="78">
        <f t="shared" ref="K162:N162" si="19">-K135/SUM(K144:K146)</f>
        <v>1.0965230829080019</v>
      </c>
      <c r="L162" s="78">
        <f t="shared" si="19"/>
        <v>1.8574379938732848</v>
      </c>
      <c r="M162" s="78">
        <f t="shared" si="19"/>
        <v>1.1752223125219892</v>
      </c>
      <c r="N162" s="78">
        <f t="shared" si="19"/>
        <v>1.1816440610384553</v>
      </c>
      <c r="P162" s="117"/>
      <c r="Q162" s="117"/>
      <c r="R162" s="117"/>
      <c r="S162" s="117"/>
      <c r="T162" s="117"/>
      <c r="U162" s="117"/>
      <c r="V162" s="117"/>
      <c r="W162" s="117"/>
      <c r="X162" s="117"/>
      <c r="Y162" s="117"/>
    </row>
    <row r="163" spans="2:26" s="5" customFormat="1" outlineLevel="1" x14ac:dyDescent="0.25">
      <c r="C163" s="162" t="s">
        <v>76</v>
      </c>
      <c r="D163" s="46" t="s">
        <v>74</v>
      </c>
      <c r="G163" s="6"/>
      <c r="H163" s="6"/>
      <c r="I163" s="78"/>
      <c r="J163" s="78">
        <f>-J141/SUM(J144:J146)</f>
        <v>0.21623219395175153</v>
      </c>
      <c r="K163" s="78">
        <f t="shared" ref="K163:N163" si="20">-K141/SUM(K144:K146)</f>
        <v>1.0965230829080019</v>
      </c>
      <c r="L163" s="78">
        <f t="shared" si="20"/>
        <v>1.8574379938732848</v>
      </c>
      <c r="M163" s="78">
        <f t="shared" si="20"/>
        <v>1.1752223125219892</v>
      </c>
      <c r="N163" s="78">
        <f t="shared" si="20"/>
        <v>1.1798551709774359</v>
      </c>
      <c r="P163" s="117"/>
      <c r="Q163" s="117"/>
      <c r="R163" s="117"/>
      <c r="S163" s="117"/>
      <c r="T163" s="117"/>
      <c r="U163" s="117"/>
      <c r="V163" s="117"/>
      <c r="W163" s="117"/>
      <c r="X163" s="117"/>
      <c r="Y163" s="117"/>
    </row>
    <row r="164" spans="2:26" s="5" customFormat="1" x14ac:dyDescent="0.25">
      <c r="P164" s="117"/>
      <c r="Q164" s="117"/>
      <c r="R164" s="117"/>
      <c r="S164" s="117"/>
      <c r="T164" s="117"/>
      <c r="U164" s="117"/>
      <c r="V164" s="117"/>
      <c r="W164" s="117"/>
      <c r="X164" s="117"/>
      <c r="Y164" s="117"/>
    </row>
    <row r="165" spans="2:26" x14ac:dyDescent="0.25">
      <c r="B165" s="49"/>
      <c r="C165" s="49"/>
      <c r="D165" s="50"/>
      <c r="E165" s="49"/>
      <c r="F165" s="51" t="str">
        <f>$F$68</f>
        <v>Construction Period:</v>
      </c>
      <c r="G165" s="51"/>
      <c r="H165" s="51"/>
      <c r="I165" s="51"/>
      <c r="J165" s="219" t="str">
        <f>$J$68</f>
        <v>Operational Period:</v>
      </c>
      <c r="K165" s="51"/>
      <c r="L165" s="51"/>
      <c r="M165" s="51"/>
      <c r="N165" s="51"/>
      <c r="P165" s="117"/>
      <c r="Q165" s="117"/>
      <c r="R165" s="117"/>
      <c r="S165" s="117"/>
      <c r="T165" s="117"/>
      <c r="U165" s="117"/>
      <c r="V165" s="117"/>
      <c r="W165" s="117"/>
      <c r="X165" s="117"/>
      <c r="Y165" s="117"/>
    </row>
    <row r="166" spans="2:26" x14ac:dyDescent="0.25">
      <c r="B166" s="52" t="s">
        <v>232</v>
      </c>
      <c r="C166" s="52"/>
      <c r="D166" s="40" t="str">
        <f>+$D$5</f>
        <v>Units:</v>
      </c>
      <c r="E166" s="52"/>
      <c r="F166" s="148">
        <f>$F$69</f>
        <v>42521</v>
      </c>
      <c r="G166" s="53">
        <f>$G$69</f>
        <v>42886</v>
      </c>
      <c r="H166" s="148">
        <f>$H$69</f>
        <v>43251</v>
      </c>
      <c r="I166" s="166">
        <f>$I$69</f>
        <v>43616</v>
      </c>
      <c r="J166" s="53">
        <f>$J$69</f>
        <v>43982</v>
      </c>
      <c r="K166" s="53">
        <f>$K$69</f>
        <v>44347</v>
      </c>
      <c r="L166" s="53">
        <f>$L$69</f>
        <v>44712</v>
      </c>
      <c r="M166" s="148">
        <f>$M$69</f>
        <v>45077</v>
      </c>
      <c r="N166" s="53">
        <f>$N$69</f>
        <v>45443</v>
      </c>
      <c r="P166" s="117"/>
      <c r="Q166" s="117"/>
      <c r="R166" s="117"/>
      <c r="S166" s="117"/>
      <c r="T166" s="117"/>
      <c r="U166" s="117"/>
      <c r="V166" s="117"/>
      <c r="W166" s="117"/>
      <c r="X166" s="117"/>
      <c r="Y166" s="117"/>
    </row>
    <row r="167" spans="2:26" outlineLevel="1" x14ac:dyDescent="0.25">
      <c r="M167" s="220"/>
      <c r="P167" s="117"/>
      <c r="Q167" s="117"/>
      <c r="R167" s="117"/>
      <c r="S167" s="117"/>
      <c r="T167" s="117"/>
      <c r="U167" s="117"/>
      <c r="V167" s="117"/>
      <c r="W167" s="117"/>
      <c r="X167" s="117"/>
      <c r="Y167" s="117"/>
    </row>
    <row r="168" spans="2:26" outlineLevel="1" x14ac:dyDescent="0.25">
      <c r="C168" s="202" t="s">
        <v>170</v>
      </c>
      <c r="D168" s="47" t="s">
        <v>107</v>
      </c>
      <c r="F168" s="218">
        <f ca="1">SUMIF(Monthly!$F$9:$DI$9,Annual!F$72,Monthly!$F$220:$CW$220)</f>
        <v>0</v>
      </c>
      <c r="G168" s="218">
        <f ca="1">SUMIF(Monthly!$F$9:$DI$9,Annual!G$72,Monthly!$F$220:$CW$220)</f>
        <v>0</v>
      </c>
      <c r="H168" s="218">
        <f ca="1">SUMIF(Monthly!$F$9:$DI$9,Annual!H$72,Monthly!$F$220:$CW$220)</f>
        <v>0</v>
      </c>
      <c r="I168" s="218">
        <f ca="1">SUMIF(Monthly!$F$9:$DI$9,Annual!I$72,Monthly!$F$220:$CW$220)</f>
        <v>-115053586.56252167</v>
      </c>
      <c r="J168" s="218">
        <f ca="1">SUMIF(Monthly!$F$9:$DI$9,Annual!J$72,Monthly!$F$220:$CW$220)</f>
        <v>4648629.7601019582</v>
      </c>
      <c r="K168" s="218">
        <f ca="1">SUMIF(Monthly!$F$9:$DI$9,Annual!K$72,Monthly!$F$220:$CW$220)</f>
        <v>4834574.950506039</v>
      </c>
      <c r="L168" s="218">
        <f ca="1">SUMIF(Monthly!$F$9:$DI$9,Annual!L$72,Monthly!$F$220:$CW$220)</f>
        <v>135840831.08428419</v>
      </c>
      <c r="M168" s="218">
        <f ca="1">SUMIF(Monthly!$F$9:$DI$9,Annual!M$72,Monthly!$F$220:$CW$220)</f>
        <v>0</v>
      </c>
      <c r="N168" s="218">
        <f ca="1">SUMIF(Monthly!$F$9:$DI$9,Annual!N$72,Monthly!$F$220:$CW$220)</f>
        <v>0</v>
      </c>
      <c r="P168" s="117"/>
      <c r="Q168" s="117"/>
      <c r="R168" s="117"/>
      <c r="S168" s="117"/>
      <c r="T168" s="117"/>
      <c r="U168" s="117"/>
      <c r="V168" s="117"/>
      <c r="W168" s="117"/>
      <c r="X168" s="117"/>
      <c r="Y168" s="117"/>
    </row>
    <row r="169" spans="2:26" outlineLevel="1" x14ac:dyDescent="0.25">
      <c r="C169" s="216" t="s">
        <v>31</v>
      </c>
      <c r="D169" s="65" t="s">
        <v>39</v>
      </c>
      <c r="E169" s="205">
        <f>Monthly!E222</f>
        <v>0.12288394570350644</v>
      </c>
      <c r="F169" s="218"/>
      <c r="G169" s="218"/>
      <c r="H169" s="218"/>
      <c r="I169" s="218"/>
      <c r="J169" s="218"/>
      <c r="K169" s="218"/>
      <c r="L169" s="218"/>
      <c r="M169" s="218"/>
      <c r="N169" s="218"/>
      <c r="P169" s="117"/>
      <c r="Q169" s="117"/>
      <c r="R169" s="117"/>
      <c r="S169" s="117"/>
      <c r="T169" s="117"/>
      <c r="U169" s="117"/>
      <c r="V169" s="117"/>
      <c r="W169" s="117"/>
      <c r="X169" s="117"/>
      <c r="Y169" s="117"/>
      <c r="Z169" s="5"/>
    </row>
    <row r="170" spans="2:26" outlineLevel="1" x14ac:dyDescent="0.25">
      <c r="C170" s="216" t="s">
        <v>179</v>
      </c>
      <c r="D170" s="47" t="s">
        <v>107</v>
      </c>
      <c r="E170" s="35">
        <f>Monthly!E224</f>
        <v>145324035.79489219</v>
      </c>
      <c r="P170" s="117"/>
      <c r="Q170" s="117"/>
      <c r="R170" s="117"/>
      <c r="S170" s="117"/>
      <c r="T170" s="117"/>
      <c r="U170" s="117"/>
      <c r="V170" s="117"/>
      <c r="W170" s="117"/>
      <c r="X170" s="117"/>
      <c r="Y170" s="117"/>
      <c r="Z170" s="5"/>
    </row>
    <row r="171" spans="2:26" outlineLevel="1" x14ac:dyDescent="0.25">
      <c r="C171" s="216" t="s">
        <v>178</v>
      </c>
      <c r="D171" s="47" t="s">
        <v>107</v>
      </c>
      <c r="E171" s="35">
        <f>Monthly!E225</f>
        <v>115053586.56252167</v>
      </c>
      <c r="P171" s="117"/>
      <c r="Q171" s="117"/>
      <c r="R171" s="117"/>
      <c r="S171" s="117"/>
      <c r="T171" s="117"/>
      <c r="U171" s="117"/>
      <c r="V171" s="117"/>
      <c r="W171" s="117"/>
      <c r="X171" s="117"/>
      <c r="Y171" s="117"/>
      <c r="Z171" s="5"/>
    </row>
    <row r="172" spans="2:26" outlineLevel="1" x14ac:dyDescent="0.25">
      <c r="C172" s="216" t="s">
        <v>83</v>
      </c>
      <c r="D172" s="89" t="s">
        <v>74</v>
      </c>
      <c r="E172" s="217">
        <f>Monthly!E226</f>
        <v>1.2630987015421824</v>
      </c>
      <c r="P172" s="117"/>
      <c r="Q172" s="117"/>
      <c r="R172" s="117"/>
      <c r="S172" s="117"/>
      <c r="T172" s="117"/>
      <c r="U172" s="117"/>
      <c r="V172" s="117"/>
      <c r="W172" s="117"/>
      <c r="X172" s="117"/>
      <c r="Y172" s="117"/>
      <c r="Z172" s="5"/>
    </row>
    <row r="173" spans="2:26" outlineLevel="1" x14ac:dyDescent="0.25">
      <c r="P173" s="117"/>
      <c r="Q173" s="117"/>
      <c r="R173" s="117"/>
      <c r="S173" s="117"/>
      <c r="T173" s="117"/>
      <c r="U173" s="117"/>
      <c r="V173" s="117"/>
      <c r="W173" s="117"/>
      <c r="X173" s="117"/>
      <c r="Y173" s="117"/>
      <c r="Z173" s="5"/>
    </row>
    <row r="174" spans="2:26" outlineLevel="1" x14ac:dyDescent="0.25">
      <c r="C174" s="202" t="s">
        <v>233</v>
      </c>
      <c r="D174" s="47" t="s">
        <v>107</v>
      </c>
      <c r="F174" s="30">
        <f ca="1">SUMIF(Monthly!$F$9:$DI$9,Annual!F$72,Monthly!$F$269:$CW$269)</f>
        <v>-228390000</v>
      </c>
      <c r="G174" s="30">
        <f ca="1">SUMIF(Monthly!$F$9:$DI$9,Annual!G$72,Monthly!$F$269:$CW$269)</f>
        <v>-500580000</v>
      </c>
      <c r="H174" s="30">
        <f ca="1">SUMIF(Monthly!$F$9:$DI$9,Annual!H$72,Monthly!$F$269:$CW$269)</f>
        <v>-139770000</v>
      </c>
      <c r="I174" s="30">
        <f ca="1">SUMIF(Monthly!$F$9:$DI$9,Annual!I$72,Monthly!$F$269:$CW$269)</f>
        <v>-99630000</v>
      </c>
      <c r="J174" s="30">
        <f ca="1">SUMIF(Monthly!$F$9:$DI$9,Annual!J$72,Monthly!$F$269:$CW$269)</f>
        <v>9074515.9788373951</v>
      </c>
      <c r="K174" s="30">
        <f ca="1">SUMIF(Monthly!$F$9:$DI$9,Annual!K$72,Monthly!$F$269:$CW$269)</f>
        <v>46221167.749844104</v>
      </c>
      <c r="L174" s="30">
        <f ca="1">SUMIF(Monthly!$F$9:$DI$9,Annual!L$72,Monthly!$F$269:$CW$269)</f>
        <v>1611975518.5120401</v>
      </c>
      <c r="M174" s="30">
        <f ca="1">SUMIF(Monthly!$F$9:$DI$9,Annual!M$72,Monthly!$F$269:$CW$269)</f>
        <v>0</v>
      </c>
      <c r="N174" s="30">
        <f ca="1">SUMIF(Monthly!$F$9:$DI$9,Annual!N$72,Monthly!$F$269:$CW$269)</f>
        <v>0</v>
      </c>
      <c r="P174" s="117"/>
      <c r="Q174" s="117"/>
      <c r="R174" s="117"/>
      <c r="S174" s="117"/>
      <c r="T174" s="117"/>
      <c r="U174" s="117"/>
      <c r="V174" s="117"/>
      <c r="W174" s="117"/>
      <c r="X174" s="117"/>
      <c r="Y174" s="117"/>
      <c r="Z174" s="5"/>
    </row>
    <row r="175" spans="2:26" outlineLevel="1" x14ac:dyDescent="0.25">
      <c r="C175" s="81" t="s">
        <v>31</v>
      </c>
      <c r="D175" s="65" t="s">
        <v>39</v>
      </c>
      <c r="E175" s="205">
        <f>Monthly!E270</f>
        <v>0.12862233519554134</v>
      </c>
      <c r="P175" s="117"/>
      <c r="Q175" s="117"/>
      <c r="R175" s="117"/>
      <c r="S175" s="117"/>
      <c r="T175" s="117"/>
      <c r="U175" s="117"/>
      <c r="V175" s="117"/>
      <c r="W175" s="117"/>
      <c r="X175" s="117"/>
      <c r="Y175" s="117"/>
      <c r="Z175" s="5"/>
    </row>
    <row r="176" spans="2:26" outlineLevel="1" x14ac:dyDescent="0.25">
      <c r="C176" s="81" t="s">
        <v>234</v>
      </c>
      <c r="D176" s="47" t="s">
        <v>107</v>
      </c>
      <c r="E176" s="35">
        <f>Monthly!E271</f>
        <v>1672880329.402297</v>
      </c>
      <c r="P176" s="117"/>
      <c r="Q176" s="117"/>
      <c r="R176" s="117"/>
      <c r="S176" s="117"/>
      <c r="T176" s="117"/>
      <c r="U176" s="117"/>
      <c r="V176" s="117"/>
      <c r="W176" s="117"/>
      <c r="X176" s="117"/>
      <c r="Y176" s="117"/>
      <c r="Z176" s="5"/>
    </row>
    <row r="177" spans="3:25" outlineLevel="1" x14ac:dyDescent="0.25">
      <c r="C177" s="81" t="s">
        <v>235</v>
      </c>
      <c r="D177" s="47" t="s">
        <v>107</v>
      </c>
      <c r="E177" s="35">
        <f>Monthly!E272</f>
        <v>973979127.16157532</v>
      </c>
      <c r="P177" s="117"/>
      <c r="Q177" s="117"/>
      <c r="R177" s="117"/>
      <c r="S177" s="117"/>
      <c r="T177" s="117"/>
      <c r="U177" s="117"/>
      <c r="V177" s="117"/>
      <c r="W177" s="117"/>
      <c r="X177" s="117"/>
      <c r="Y177" s="117"/>
    </row>
    <row r="178" spans="3:25" outlineLevel="1" x14ac:dyDescent="0.25">
      <c r="C178" s="81" t="s">
        <v>83</v>
      </c>
      <c r="D178" s="89" t="s">
        <v>74</v>
      </c>
      <c r="E178" s="217">
        <f>Monthly!E273</f>
        <v>1.7175730801105551</v>
      </c>
      <c r="P178" s="117"/>
      <c r="Q178" s="117"/>
      <c r="R178" s="117"/>
      <c r="S178" s="117"/>
      <c r="T178" s="117"/>
      <c r="U178" s="117"/>
      <c r="V178" s="117"/>
      <c r="W178" s="117"/>
      <c r="X178" s="117"/>
      <c r="Y178" s="117"/>
    </row>
    <row r="179" spans="3:25" outlineLevel="1" x14ac:dyDescent="0.25">
      <c r="P179" s="117"/>
      <c r="Q179" s="117"/>
      <c r="R179" s="117"/>
      <c r="S179" s="117"/>
      <c r="T179" s="117"/>
      <c r="U179" s="117"/>
      <c r="V179" s="117"/>
      <c r="W179" s="117"/>
      <c r="X179" s="117"/>
      <c r="Y179" s="117"/>
    </row>
    <row r="180" spans="3:25" outlineLevel="1" x14ac:dyDescent="0.25">
      <c r="C180" s="202" t="s">
        <v>30</v>
      </c>
      <c r="D180" s="47" t="s">
        <v>107</v>
      </c>
      <c r="F180" s="30">
        <f ca="1">SUMIF(Monthly!$F$9:$DI$9,Annual!F$72,Monthly!$F$275:$CW$275)</f>
        <v>-228390000</v>
      </c>
      <c r="G180" s="30">
        <f ca="1">SUMIF(Monthly!$F$9:$DI$9,Annual!G$72,Monthly!$F$275:$CW$275)</f>
        <v>-186847056</v>
      </c>
      <c r="H180" s="30">
        <f ca="1">SUMIF(Monthly!$F$9:$DI$9,Annual!H$72,Monthly!$F$275:$CW$275)</f>
        <v>0</v>
      </c>
      <c r="I180" s="30">
        <f ca="1">SUMIF(Monthly!$F$9:$DI$9,Annual!I$72,Monthly!$F$275:$CW$275)</f>
        <v>195972697.55504143</v>
      </c>
      <c r="J180" s="30">
        <f ca="1">SUMIF(Monthly!$F$9:$DI$9,Annual!J$72,Monthly!$F$275:$CW$275)</f>
        <v>-32892019.221107073</v>
      </c>
      <c r="K180" s="30">
        <f ca="1">SUMIF(Monthly!$F$9:$DI$9,Annual!K$72,Monthly!$F$275:$CW$275)</f>
        <v>4068687.3594955625</v>
      </c>
      <c r="L180" s="30">
        <f ca="1">SUMIF(Monthly!$F$9:$DI$9,Annual!L$72,Monthly!$F$275:$CW$275)</f>
        <v>797718886.42465794</v>
      </c>
      <c r="M180" s="30">
        <f ca="1">SUMIF(Monthly!$F$9:$DI$9,Annual!M$72,Monthly!$F$275:$CW$275)</f>
        <v>0</v>
      </c>
      <c r="N180" s="30">
        <f ca="1">SUMIF(Monthly!$F$9:$DI$9,Annual!N$72,Monthly!$F$275:$CW$275)</f>
        <v>0</v>
      </c>
      <c r="P180" s="117"/>
      <c r="Q180" s="117"/>
      <c r="R180" s="117"/>
      <c r="S180" s="117"/>
      <c r="T180" s="117"/>
      <c r="U180" s="117"/>
      <c r="V180" s="117"/>
      <c r="W180" s="117"/>
      <c r="X180" s="117"/>
      <c r="Y180" s="117"/>
    </row>
    <row r="181" spans="3:25" outlineLevel="1" x14ac:dyDescent="0.25">
      <c r="C181" s="81" t="s">
        <v>31</v>
      </c>
      <c r="D181" s="65" t="s">
        <v>39</v>
      </c>
      <c r="E181" s="205">
        <f>Monthly!E276</f>
        <v>0.18959111571311948</v>
      </c>
      <c r="P181" s="117"/>
      <c r="Q181" s="117"/>
      <c r="R181" s="117"/>
      <c r="S181" s="117"/>
      <c r="T181" s="117"/>
      <c r="U181" s="117"/>
      <c r="V181" s="117"/>
      <c r="W181" s="117"/>
      <c r="X181" s="117"/>
      <c r="Y181" s="117"/>
    </row>
    <row r="182" spans="3:25" outlineLevel="1" x14ac:dyDescent="0.25">
      <c r="C182" s="81" t="s">
        <v>234</v>
      </c>
      <c r="D182" s="47" t="s">
        <v>107</v>
      </c>
      <c r="E182" s="35">
        <f>Monthly!E277</f>
        <v>998275207.38887072</v>
      </c>
      <c r="P182" s="117"/>
      <c r="Q182" s="117"/>
      <c r="R182" s="117"/>
      <c r="S182" s="117"/>
      <c r="T182" s="117"/>
      <c r="U182" s="117"/>
      <c r="V182" s="117"/>
      <c r="W182" s="117"/>
      <c r="X182" s="117"/>
      <c r="Y182" s="117"/>
    </row>
    <row r="183" spans="3:25" outlineLevel="1" x14ac:dyDescent="0.25">
      <c r="C183" s="81" t="s">
        <v>82</v>
      </c>
      <c r="D183" s="47" t="s">
        <v>107</v>
      </c>
      <c r="E183" s="35">
        <f>Monthly!E278</f>
        <v>448644011.27078283</v>
      </c>
    </row>
    <row r="184" spans="3:25" outlineLevel="1" x14ac:dyDescent="0.25">
      <c r="C184" s="81" t="s">
        <v>83</v>
      </c>
      <c r="D184" s="89" t="s">
        <v>74</v>
      </c>
      <c r="E184" s="217">
        <f>Monthly!E279</f>
        <v>2.2250942446802293</v>
      </c>
    </row>
    <row r="185" spans="3:25" outlineLevel="1" x14ac:dyDescent="0.25"/>
    <row r="186" spans="3:25" outlineLevel="1" x14ac:dyDescent="0.25">
      <c r="C186" s="202" t="s">
        <v>237</v>
      </c>
      <c r="D186" s="47" t="s">
        <v>107</v>
      </c>
      <c r="F186" s="30">
        <f ca="1">SUMIF(Monthly!$F$9:$DI$9,Annual!F$72,Monthly!$F$296:$CW$296)</f>
        <v>-199841250</v>
      </c>
      <c r="G186" s="30">
        <f ca="1">SUMIF(Monthly!$F$9:$DI$9,Annual!G$72,Monthly!$F$296:$CW$296)</f>
        <v>-163491174</v>
      </c>
      <c r="H186" s="30">
        <f ca="1">SUMIF(Monthly!$F$9:$DI$9,Annual!H$72,Monthly!$F$296:$CW$296)</f>
        <v>0</v>
      </c>
      <c r="I186" s="30">
        <f ca="1">SUMIF(Monthly!$F$9:$DI$9,Annual!I$72,Monthly!$F$296:$CW$296)</f>
        <v>171476110.36066124</v>
      </c>
      <c r="J186" s="30">
        <f ca="1">SUMIF(Monthly!$F$9:$DI$9,Annual!J$72,Monthly!$F$296:$CW$296)</f>
        <v>-28780516.81846869</v>
      </c>
      <c r="K186" s="30">
        <f ca="1">SUMIF(Monthly!$F$9:$DI$9,Annual!K$72,Monthly!$F$296:$CW$296)</f>
        <v>3560101.4395586168</v>
      </c>
      <c r="L186" s="30">
        <f ca="1">SUMIF(Monthly!$F$9:$DI$9,Annual!L$72,Monthly!$F$296:$CW$296)</f>
        <v>736884853.60322428</v>
      </c>
      <c r="M186" s="30">
        <f ca="1">SUMIF(Monthly!$F$9:$DI$9,Annual!M$72,Monthly!$F$296:$CW$296)</f>
        <v>0</v>
      </c>
      <c r="N186" s="30">
        <f ca="1">SUMIF(Monthly!$F$9:$DI$9,Annual!N$72,Monthly!$F$296:$CW$296)</f>
        <v>0</v>
      </c>
    </row>
    <row r="187" spans="3:25" outlineLevel="1" x14ac:dyDescent="0.25">
      <c r="C187" s="81" t="str">
        <f>$C$181</f>
        <v>Internal Rate of Return (IRR):</v>
      </c>
      <c r="D187" s="65" t="s">
        <v>39</v>
      </c>
      <c r="E187" s="205">
        <f>Investor_IRR</f>
        <v>0.19994452595710754</v>
      </c>
    </row>
    <row r="188" spans="3:25" outlineLevel="1" x14ac:dyDescent="0.25">
      <c r="C188" s="81" t="str">
        <f>$C$182</f>
        <v>Positive Cash Flows:</v>
      </c>
      <c r="D188" s="47" t="s">
        <v>107</v>
      </c>
      <c r="E188" s="35">
        <f>Monthly!E298</f>
        <v>912371634.44691038</v>
      </c>
    </row>
    <row r="189" spans="3:25" outlineLevel="1" x14ac:dyDescent="0.25">
      <c r="C189" s="81" t="str">
        <f>$C$183</f>
        <v>Invested Equity:</v>
      </c>
      <c r="D189" s="47" t="s">
        <v>107</v>
      </c>
      <c r="E189" s="35">
        <f>Monthly!E299</f>
        <v>392563509.86193502</v>
      </c>
    </row>
    <row r="190" spans="3:25" outlineLevel="1" x14ac:dyDescent="0.25">
      <c r="C190" s="81" t="str">
        <f>$C$184</f>
        <v>Cash-on-Cash Multiple:</v>
      </c>
      <c r="D190" s="89" t="s">
        <v>74</v>
      </c>
      <c r="E190" s="217">
        <f>Monthly!E300</f>
        <v>2.3241376529565683</v>
      </c>
    </row>
    <row r="191" spans="3:25" outlineLevel="1" x14ac:dyDescent="0.25">
      <c r="C191" s="80"/>
    </row>
    <row r="192" spans="3:25" outlineLevel="1" x14ac:dyDescent="0.25">
      <c r="C192" s="202" t="s">
        <v>238</v>
      </c>
      <c r="D192" s="47" t="s">
        <v>107</v>
      </c>
      <c r="F192" s="30">
        <f ca="1">SUMIF(Monthly!$F$9:$DI$9,Annual!F$72,Monthly!$F$302:$CW$3020)</f>
        <v>-28548750</v>
      </c>
      <c r="G192" s="30">
        <f ca="1">SUMIF(Monthly!$F$9:$DI$9,Annual!G$72,Monthly!$F$302:$CW$3020)</f>
        <v>-23355882</v>
      </c>
      <c r="H192" s="30">
        <f ca="1">SUMIF(Monthly!$F$9:$DI$9,Annual!H$72,Monthly!$F$302:$CW$3020)</f>
        <v>0</v>
      </c>
      <c r="I192" s="30">
        <f ca="1">SUMIF(Monthly!$F$9:$DI$9,Annual!I$72,Monthly!$F$302:$CW$3020)</f>
        <v>24496587.194380172</v>
      </c>
      <c r="J192" s="30">
        <f ca="1">SUMIF(Monthly!$F$9:$DI$9,Annual!J$72,Monthly!$F$302:$CW$3020)</f>
        <v>-4111502.4026383841</v>
      </c>
      <c r="K192" s="30">
        <f ca="1">SUMIF(Monthly!$F$9:$DI$9,Annual!K$72,Monthly!$F$302:$CW$3020)</f>
        <v>508585.91993694531</v>
      </c>
      <c r="L192" s="30">
        <f ca="1">SUMIF(Monthly!$F$9:$DI$9,Annual!L$72,Monthly!$F$302:$CW$3020)</f>
        <v>60834032.821433663</v>
      </c>
      <c r="M192" s="30">
        <f ca="1">SUMIF(Monthly!$F$9:$DI$9,Annual!M$72,Monthly!$F$302:$CW$3020)</f>
        <v>0</v>
      </c>
      <c r="N192" s="30">
        <f ca="1">SUMIF(Monthly!$F$9:$DI$9,Annual!N$72,Monthly!$F$302:$CW$3020)</f>
        <v>0</v>
      </c>
    </row>
    <row r="193" spans="2:13" outlineLevel="1" x14ac:dyDescent="0.25">
      <c r="C193" s="81" t="str">
        <f>$C$181</f>
        <v>Internal Rate of Return (IRR):</v>
      </c>
      <c r="D193" s="65" t="s">
        <v>39</v>
      </c>
      <c r="E193" s="205">
        <f>Developer_IRR</f>
        <v>0.10164434313774107</v>
      </c>
      <c r="M193" s="220"/>
    </row>
    <row r="194" spans="2:13" outlineLevel="1" x14ac:dyDescent="0.25">
      <c r="C194" s="81" t="str">
        <f>$C$182</f>
        <v>Positive Cash Flows:</v>
      </c>
      <c r="D194" s="47" t="s">
        <v>107</v>
      </c>
      <c r="E194" s="35">
        <f>Monthly!E304</f>
        <v>85903572.941960245</v>
      </c>
      <c r="M194" s="220"/>
    </row>
    <row r="195" spans="2:13" outlineLevel="1" x14ac:dyDescent="0.25">
      <c r="C195" s="81" t="str">
        <f>$C$183</f>
        <v>Invested Equity:</v>
      </c>
      <c r="D195" s="47" t="s">
        <v>107</v>
      </c>
      <c r="E195" s="35">
        <f>Monthly!E305</f>
        <v>56080501.408847854</v>
      </c>
      <c r="M195" s="220"/>
    </row>
    <row r="196" spans="2:13" outlineLevel="1" x14ac:dyDescent="0.25">
      <c r="C196" s="81" t="str">
        <f>$C$184</f>
        <v>Cash-on-Cash Multiple:</v>
      </c>
      <c r="D196" s="89" t="s">
        <v>74</v>
      </c>
      <c r="E196" s="217">
        <f>Monthly!E306</f>
        <v>1.53179038674585</v>
      </c>
      <c r="M196" s="220"/>
    </row>
    <row r="198" spans="2:13" x14ac:dyDescent="0.25">
      <c r="B198" s="238" t="s">
        <v>273</v>
      </c>
      <c r="C198" s="238"/>
      <c r="D198" s="238"/>
      <c r="E198" s="238"/>
      <c r="F198" s="238"/>
      <c r="G198" s="238"/>
      <c r="H198" s="238"/>
      <c r="I198" s="238"/>
      <c r="J198" s="238"/>
      <c r="K198" s="238"/>
      <c r="L198" s="238"/>
    </row>
    <row r="199" spans="2:13" outlineLevel="1" x14ac:dyDescent="0.25"/>
    <row r="200" spans="2:13" outlineLevel="1" x14ac:dyDescent="0.25">
      <c r="C200" s="239" t="s">
        <v>274</v>
      </c>
      <c r="D200" s="62"/>
      <c r="E200" s="62"/>
      <c r="F200" s="62"/>
      <c r="G200" s="62"/>
      <c r="H200" s="62"/>
      <c r="I200" s="62"/>
      <c r="J200" s="62"/>
      <c r="K200" s="62"/>
    </row>
    <row r="201" spans="2:13" outlineLevel="1" x14ac:dyDescent="0.25">
      <c r="C201" s="62"/>
      <c r="D201" s="62"/>
      <c r="E201" s="62"/>
      <c r="F201" s="62"/>
      <c r="G201" s="62"/>
      <c r="H201" s="62"/>
      <c r="I201" s="62"/>
      <c r="J201" s="62"/>
      <c r="K201" s="62"/>
    </row>
    <row r="202" spans="2:13" outlineLevel="1" x14ac:dyDescent="0.25">
      <c r="C202" s="240" t="s">
        <v>186</v>
      </c>
      <c r="D202" s="241" t="str">
        <f>"Exit Prime Office Yield (Exit Date of "&amp;TEXT(Exit_Date,"mmm YY")&amp;"):"</f>
        <v>Exit Prime Office Yield (Exit Date of May 21):</v>
      </c>
      <c r="E202" s="241"/>
      <c r="F202" s="241"/>
      <c r="G202" s="241"/>
      <c r="H202" s="241"/>
      <c r="I202" s="241"/>
      <c r="J202" s="241"/>
      <c r="K202" s="242"/>
      <c r="L202" s="242"/>
    </row>
    <row r="203" spans="2:13" outlineLevel="1" x14ac:dyDescent="0.25">
      <c r="C203" s="243">
        <f>$E$187</f>
        <v>0.19994452595710754</v>
      </c>
      <c r="D203" s="267">
        <v>0.04</v>
      </c>
      <c r="E203" s="244">
        <f>+D203+0.2%</f>
        <v>4.2000000000000003E-2</v>
      </c>
      <c r="F203" s="244">
        <f t="shared" ref="F203:L203" si="21">+E203+0.2%</f>
        <v>4.4000000000000004E-2</v>
      </c>
      <c r="G203" s="244">
        <f t="shared" si="21"/>
        <v>4.6000000000000006E-2</v>
      </c>
      <c r="H203" s="245">
        <f t="shared" si="21"/>
        <v>4.8000000000000008E-2</v>
      </c>
      <c r="I203" s="244">
        <f t="shared" si="21"/>
        <v>5.000000000000001E-2</v>
      </c>
      <c r="J203" s="244">
        <f t="shared" si="21"/>
        <v>5.2000000000000011E-2</v>
      </c>
      <c r="K203" s="244">
        <f t="shared" si="21"/>
        <v>5.4000000000000013E-2</v>
      </c>
      <c r="L203" s="255">
        <f t="shared" si="21"/>
        <v>5.6000000000000015E-2</v>
      </c>
    </row>
    <row r="204" spans="2:13" outlineLevel="1" x14ac:dyDescent="0.25">
      <c r="C204" s="246" t="str">
        <f>$C$75</f>
        <v>Upside</v>
      </c>
      <c r="D204" s="263">
        <f t="dataTable" ref="D204:L206" dt2D="1" dtr="1" r1="L78" r2="J16" ca="1"/>
        <v>0.28192130923271186</v>
      </c>
      <c r="E204" s="247">
        <v>0.26809040904045101</v>
      </c>
      <c r="F204" s="249">
        <v>0.25482715964317315</v>
      </c>
      <c r="G204" s="249">
        <v>0.24207002520561216</v>
      </c>
      <c r="H204" s="249">
        <v>0.22976534962654113</v>
      </c>
      <c r="I204" s="249">
        <v>0.21786597371101379</v>
      </c>
      <c r="J204" s="249">
        <v>0.20633016228675841</v>
      </c>
      <c r="K204" s="249">
        <v>0.19376512169837953</v>
      </c>
      <c r="L204" s="249">
        <v>0.18110983967781069</v>
      </c>
    </row>
    <row r="205" spans="2:13" outlineLevel="1" x14ac:dyDescent="0.25">
      <c r="C205" s="250" t="str">
        <f>$C$76</f>
        <v>Base</v>
      </c>
      <c r="D205" s="251">
        <v>0.25068133473396303</v>
      </c>
      <c r="E205" s="247">
        <v>0.23715247511863705</v>
      </c>
      <c r="F205" s="249">
        <v>0.22422612309455875</v>
      </c>
      <c r="G205" s="249">
        <v>0.21184114813804625</v>
      </c>
      <c r="H205" s="248">
        <v>0.19994452595710754</v>
      </c>
      <c r="I205" s="249">
        <v>0.18848994374275208</v>
      </c>
      <c r="J205" s="249">
        <v>0.17682846188545231</v>
      </c>
      <c r="K205" s="249">
        <v>0.16381269097328185</v>
      </c>
      <c r="L205" s="249">
        <v>0.15013781189918521</v>
      </c>
    </row>
    <row r="206" spans="2:13" outlineLevel="1" x14ac:dyDescent="0.25">
      <c r="C206" s="252" t="str">
        <f>$C$77</f>
        <v>Downside</v>
      </c>
      <c r="D206" s="251">
        <v>0.18383983969688414</v>
      </c>
      <c r="E206" s="247">
        <v>0.17111049294471739</v>
      </c>
      <c r="F206" s="249">
        <v>0.15591703057289127</v>
      </c>
      <c r="G206" s="249">
        <v>0.1406952083110809</v>
      </c>
      <c r="H206" s="249">
        <v>0.12595092654228207</v>
      </c>
      <c r="I206" s="249">
        <v>0.11163275837898257</v>
      </c>
      <c r="J206" s="249">
        <v>9.7695022821426392E-2</v>
      </c>
      <c r="K206" s="249">
        <v>8.4096780419349662E-2</v>
      </c>
      <c r="L206" s="248">
        <v>7.0801118016242975E-2</v>
      </c>
    </row>
    <row r="207" spans="2:13" outlineLevel="1" x14ac:dyDescent="0.25"/>
    <row r="208" spans="2:13" outlineLevel="1" x14ac:dyDescent="0.25">
      <c r="C208" s="239" t="s">
        <v>275</v>
      </c>
      <c r="D208" s="62"/>
      <c r="E208" s="62"/>
      <c r="F208" s="62"/>
      <c r="G208" s="62"/>
      <c r="H208" s="62"/>
      <c r="I208" s="62"/>
      <c r="J208" s="62"/>
      <c r="K208" s="62"/>
    </row>
    <row r="209" spans="3:12" outlineLevel="1" x14ac:dyDescent="0.25">
      <c r="C209" s="62"/>
      <c r="D209" s="62"/>
      <c r="E209" s="62"/>
      <c r="F209" s="62"/>
      <c r="G209" s="62"/>
      <c r="H209" s="62"/>
      <c r="I209" s="62"/>
      <c r="J209" s="62"/>
      <c r="K209" s="62"/>
    </row>
    <row r="210" spans="3:12" outlineLevel="1" x14ac:dyDescent="0.25">
      <c r="C210" s="240" t="s">
        <v>186</v>
      </c>
      <c r="D210" s="241" t="str">
        <f>"Exit Prime Office Yield (Exit Date of "&amp;TEXT(Exit_Date,"mmm YY")&amp;"):"</f>
        <v>Exit Prime Office Yield (Exit Date of May 21):</v>
      </c>
      <c r="E210" s="241"/>
      <c r="F210" s="241"/>
      <c r="G210" s="241"/>
      <c r="H210" s="241"/>
      <c r="I210" s="241"/>
      <c r="J210" s="241"/>
      <c r="K210" s="242"/>
      <c r="L210" s="242"/>
    </row>
    <row r="211" spans="3:12" outlineLevel="1" x14ac:dyDescent="0.25">
      <c r="C211" s="243">
        <f>$E$193</f>
        <v>0.10164434313774107</v>
      </c>
      <c r="D211" s="268">
        <f>+D203</f>
        <v>0.04</v>
      </c>
      <c r="E211" s="244">
        <f t="shared" ref="E211:L211" si="22">+E203</f>
        <v>4.2000000000000003E-2</v>
      </c>
      <c r="F211" s="244">
        <f t="shared" si="22"/>
        <v>4.4000000000000004E-2</v>
      </c>
      <c r="G211" s="244">
        <f t="shared" si="22"/>
        <v>4.6000000000000006E-2</v>
      </c>
      <c r="H211" s="245">
        <f t="shared" si="22"/>
        <v>4.8000000000000008E-2</v>
      </c>
      <c r="I211" s="244">
        <f t="shared" si="22"/>
        <v>5.000000000000001E-2</v>
      </c>
      <c r="J211" s="244">
        <f t="shared" si="22"/>
        <v>5.2000000000000011E-2</v>
      </c>
      <c r="K211" s="244">
        <f t="shared" si="22"/>
        <v>5.4000000000000013E-2</v>
      </c>
      <c r="L211" s="255">
        <f t="shared" si="22"/>
        <v>5.6000000000000015E-2</v>
      </c>
    </row>
    <row r="212" spans="3:12" outlineLevel="1" x14ac:dyDescent="0.25">
      <c r="C212" s="246" t="str">
        <f>$C$75</f>
        <v>Upside</v>
      </c>
      <c r="D212" s="263">
        <f t="dataTable" ref="D212:L214" dt2D="1" dtr="1" r1="L78" r2="J16" ca="1"/>
        <v>0.34574155211448676</v>
      </c>
      <c r="E212" s="247">
        <v>0.30745462775230414</v>
      </c>
      <c r="F212" s="249">
        <v>0.2670739948749542</v>
      </c>
      <c r="G212" s="249">
        <v>0.2235675275325775</v>
      </c>
      <c r="H212" s="249">
        <v>0.17531297802925117</v>
      </c>
      <c r="I212" s="249">
        <v>0.11942190527915952</v>
      </c>
      <c r="J212" s="249">
        <v>4.9658802151680004E-2</v>
      </c>
      <c r="K212" s="249">
        <v>-2.188712060451508E-2</v>
      </c>
      <c r="L212" s="249" t="e">
        <v>#NUM!</v>
      </c>
    </row>
    <row r="213" spans="3:12" outlineLevel="1" x14ac:dyDescent="0.25">
      <c r="C213" s="250" t="str">
        <f>$C$76</f>
        <v>Base</v>
      </c>
      <c r="D213" s="251">
        <v>0.29020327925682077</v>
      </c>
      <c r="E213" s="247">
        <v>0.24874020218849183</v>
      </c>
      <c r="F213" s="249">
        <v>0.20453476309776311</v>
      </c>
      <c r="G213" s="249">
        <v>0.1562399208545685</v>
      </c>
      <c r="H213" s="248">
        <v>0.10164434313774107</v>
      </c>
      <c r="I213" s="249">
        <v>3.6570772528648376E-2</v>
      </c>
      <c r="J213" s="249">
        <v>-3.7331227958202366E-2</v>
      </c>
      <c r="K213" s="249">
        <v>-9.9343270063400269E-2</v>
      </c>
      <c r="L213" s="249">
        <v>2.9802322387695314E-9</v>
      </c>
    </row>
    <row r="214" spans="3:12" outlineLevel="1" x14ac:dyDescent="0.25">
      <c r="C214" s="252" t="str">
        <f>$C$77</f>
        <v>Downside</v>
      </c>
      <c r="D214" s="251">
        <v>7.3556771874427815E-2</v>
      </c>
      <c r="E214" s="247">
        <v>9.1662108898162855E-4</v>
      </c>
      <c r="F214" s="249">
        <v>-3.9339005202054994E-2</v>
      </c>
      <c r="G214" s="249">
        <v>-7.3542682081460961E-2</v>
      </c>
      <c r="H214" s="249">
        <v>2.9802322387695314E-9</v>
      </c>
      <c r="I214" s="249">
        <v>2.9802322387695314E-9</v>
      </c>
      <c r="J214" s="249">
        <v>2.9802322387695314E-9</v>
      </c>
      <c r="K214" s="249">
        <v>2.9802322387695314E-9</v>
      </c>
      <c r="L214" s="248">
        <v>2.9802322387695314E-9</v>
      </c>
    </row>
    <row r="215" spans="3:12" outlineLevel="1" x14ac:dyDescent="0.25"/>
    <row r="216" spans="3:12" outlineLevel="1" x14ac:dyDescent="0.25">
      <c r="C216" s="239" t="s">
        <v>276</v>
      </c>
      <c r="D216" s="62"/>
      <c r="E216" s="62"/>
      <c r="F216" s="62"/>
      <c r="G216" s="62"/>
      <c r="H216" s="62"/>
      <c r="I216" s="62"/>
      <c r="J216" s="62"/>
      <c r="K216" s="62"/>
    </row>
    <row r="217" spans="3:12" outlineLevel="1" x14ac:dyDescent="0.25">
      <c r="C217" s="62"/>
      <c r="D217" s="62"/>
      <c r="E217" s="62"/>
      <c r="F217" s="62"/>
      <c r="G217" s="62"/>
      <c r="H217" s="62"/>
      <c r="I217" s="62"/>
      <c r="J217" s="62"/>
      <c r="K217" s="62"/>
    </row>
    <row r="218" spans="3:12" outlineLevel="1" x14ac:dyDescent="0.25">
      <c r="C218" s="240" t="s">
        <v>186</v>
      </c>
      <c r="D218" s="241" t="str">
        <f>"Exit Prime Office Yield (Exit Date of "&amp;TEXT(Exit_Date,"mmm YY")&amp;"):"</f>
        <v>Exit Prime Office Yield (Exit Date of May 21):</v>
      </c>
      <c r="E218" s="241"/>
      <c r="F218" s="241"/>
      <c r="G218" s="241"/>
      <c r="H218" s="241"/>
      <c r="I218" s="241"/>
      <c r="J218" s="241"/>
      <c r="K218" s="242"/>
      <c r="L218" s="242"/>
    </row>
    <row r="219" spans="3:12" outlineLevel="1" x14ac:dyDescent="0.25">
      <c r="C219" s="243">
        <f>$E$169</f>
        <v>0.12288394570350644</v>
      </c>
      <c r="D219" s="268">
        <f>+D211</f>
        <v>0.04</v>
      </c>
      <c r="E219" s="244">
        <f t="shared" ref="E219:L219" si="23">+E211</f>
        <v>4.2000000000000003E-2</v>
      </c>
      <c r="F219" s="244">
        <f t="shared" si="23"/>
        <v>4.4000000000000004E-2</v>
      </c>
      <c r="G219" s="244">
        <f t="shared" si="23"/>
        <v>4.6000000000000006E-2</v>
      </c>
      <c r="H219" s="245">
        <f t="shared" si="23"/>
        <v>4.8000000000000008E-2</v>
      </c>
      <c r="I219" s="244">
        <f t="shared" si="23"/>
        <v>5.000000000000001E-2</v>
      </c>
      <c r="J219" s="244">
        <f t="shared" si="23"/>
        <v>5.2000000000000011E-2</v>
      </c>
      <c r="K219" s="244">
        <f t="shared" si="23"/>
        <v>5.4000000000000013E-2</v>
      </c>
      <c r="L219" s="255">
        <f t="shared" si="23"/>
        <v>5.6000000000000015E-2</v>
      </c>
    </row>
    <row r="220" spans="3:12" outlineLevel="1" x14ac:dyDescent="0.25">
      <c r="C220" s="246" t="str">
        <f>$C$75</f>
        <v>Upside</v>
      </c>
      <c r="D220" s="263">
        <f t="dataTable" ref="D220:L222" dt2D="1" dtr="1" r1="L78" r2="J16" ca="1"/>
        <v>0.12273029685020445</v>
      </c>
      <c r="E220" s="247">
        <v>0.11981597542762754</v>
      </c>
      <c r="F220" s="249">
        <v>0.11715922951698302</v>
      </c>
      <c r="G220" s="249">
        <v>0.11472733616828917</v>
      </c>
      <c r="H220" s="249">
        <v>0.1124928891658783</v>
      </c>
      <c r="I220" s="249">
        <v>0.1104327619075775</v>
      </c>
      <c r="J220" s="249">
        <v>0.10852732062339782</v>
      </c>
      <c r="K220" s="249">
        <v>0.10675976872444154</v>
      </c>
      <c r="L220" s="249">
        <v>0.10511563420295716</v>
      </c>
    </row>
    <row r="221" spans="3:12" outlineLevel="1" x14ac:dyDescent="0.25">
      <c r="C221" s="250" t="str">
        <f>$C$76</f>
        <v>Base</v>
      </c>
      <c r="D221" s="251">
        <v>0.13505533337593084</v>
      </c>
      <c r="E221" s="247">
        <v>0.13159268498420715</v>
      </c>
      <c r="F221" s="249">
        <v>0.12843454480171207</v>
      </c>
      <c r="G221" s="249">
        <v>0.12554238438606261</v>
      </c>
      <c r="H221" s="248">
        <v>0.12288394570350644</v>
      </c>
      <c r="I221" s="249">
        <v>0.12043196558952332</v>
      </c>
      <c r="J221" s="249">
        <v>0.11816328167915344</v>
      </c>
      <c r="K221" s="249">
        <v>0.11605805754661561</v>
      </c>
      <c r="L221" s="249">
        <v>0.11409922242164613</v>
      </c>
    </row>
    <row r="222" spans="3:12" outlineLevel="1" x14ac:dyDescent="0.25">
      <c r="C222" s="252" t="str">
        <f>$C$77</f>
        <v>Downside</v>
      </c>
      <c r="D222" s="251">
        <v>0.15156413912773134</v>
      </c>
      <c r="E222" s="247">
        <v>0.1473775446414948</v>
      </c>
      <c r="F222" s="249">
        <v>0.14355672001838685</v>
      </c>
      <c r="G222" s="249">
        <v>0.14005567431449889</v>
      </c>
      <c r="H222" s="249">
        <v>0.13683583140373232</v>
      </c>
      <c r="I222" s="249">
        <v>0.13386455178260806</v>
      </c>
      <c r="J222" s="249">
        <v>0.13111411929130551</v>
      </c>
      <c r="K222" s="249">
        <v>0.12856075167655942</v>
      </c>
      <c r="L222" s="248">
        <v>0.12618399262428281</v>
      </c>
    </row>
    <row r="223" spans="3:12" outlineLevel="1" x14ac:dyDescent="0.25"/>
    <row r="224" spans="3:12" outlineLevel="1" x14ac:dyDescent="0.25">
      <c r="C224" s="239" t="s">
        <v>277</v>
      </c>
      <c r="D224" s="62"/>
      <c r="E224" s="62"/>
      <c r="F224" s="62"/>
      <c r="G224" s="62"/>
      <c r="H224" s="62"/>
      <c r="I224" s="62"/>
      <c r="J224" s="62"/>
      <c r="K224" s="62"/>
    </row>
    <row r="225" spans="3:16" outlineLevel="1" x14ac:dyDescent="0.25">
      <c r="C225" s="62"/>
      <c r="D225" s="62"/>
      <c r="E225" s="62"/>
      <c r="F225" s="62"/>
      <c r="G225" s="62"/>
      <c r="H225" s="62"/>
      <c r="I225" s="62"/>
      <c r="J225" s="62"/>
      <c r="K225" s="62"/>
    </row>
    <row r="226" spans="3:16" outlineLevel="1" x14ac:dyDescent="0.25">
      <c r="C226" s="240" t="s">
        <v>186</v>
      </c>
      <c r="D226" s="241" t="s">
        <v>278</v>
      </c>
      <c r="E226" s="241"/>
      <c r="F226" s="241"/>
      <c r="G226" s="241"/>
      <c r="H226" s="241"/>
      <c r="I226" s="241"/>
      <c r="J226" s="241"/>
      <c r="K226" s="242"/>
      <c r="L226" s="242"/>
      <c r="M226" s="242"/>
      <c r="N226" s="242"/>
      <c r="O226" s="242"/>
    </row>
    <row r="227" spans="3:16" outlineLevel="1" x14ac:dyDescent="0.25">
      <c r="C227" s="243">
        <f>$E$187</f>
        <v>0.19994452595710754</v>
      </c>
      <c r="D227" s="269">
        <f>Monthly!$BZ$5</f>
        <v>44347</v>
      </c>
      <c r="E227" s="258">
        <f>Monthly!$CA$5</f>
        <v>44377</v>
      </c>
      <c r="F227" s="258">
        <f>Monthly!$CB$5</f>
        <v>44408</v>
      </c>
      <c r="G227" s="258">
        <f>Monthly!$CC$5</f>
        <v>44439</v>
      </c>
      <c r="H227" s="258">
        <f>Monthly!$CD$5</f>
        <v>44469</v>
      </c>
      <c r="I227" s="258">
        <f>Monthly!$CE$5</f>
        <v>44500</v>
      </c>
      <c r="J227" s="258">
        <f>Monthly!$CF$5</f>
        <v>44530</v>
      </c>
      <c r="K227" s="258">
        <f>Monthly!$CG$5</f>
        <v>44561</v>
      </c>
      <c r="L227" s="261">
        <f>Monthly!$CH$5</f>
        <v>44592</v>
      </c>
      <c r="M227" s="261">
        <f>Monthly!$CI$5</f>
        <v>44620</v>
      </c>
      <c r="N227" s="261">
        <f>Monthly!$CJ$5</f>
        <v>44651</v>
      </c>
      <c r="O227" s="259">
        <f>Monthly!$CK$5</f>
        <v>44681</v>
      </c>
      <c r="P227" s="260"/>
    </row>
    <row r="228" spans="3:16" outlineLevel="1" x14ac:dyDescent="0.25">
      <c r="C228" s="246" t="str">
        <f>$C$75</f>
        <v>Upside</v>
      </c>
      <c r="D228" s="263">
        <f t="dataTable" ref="D228:O230" dt2D="1" dtr="1" r1="E37" r2="J16" ca="1"/>
        <v>0.28192130923271186</v>
      </c>
      <c r="E228" s="247">
        <v>0.26816261410713194</v>
      </c>
      <c r="F228" s="249">
        <v>0.25430774092674246</v>
      </c>
      <c r="G228" s="249">
        <v>0.24041060805320738</v>
      </c>
      <c r="H228" s="249">
        <v>0.22647987008094791</v>
      </c>
      <c r="I228" s="249">
        <v>0.21228560805320743</v>
      </c>
      <c r="J228" s="249">
        <v>0.20740637183189389</v>
      </c>
      <c r="K228" s="249">
        <v>0.20256505608558653</v>
      </c>
      <c r="L228" s="249">
        <v>0.19782046675682072</v>
      </c>
      <c r="M228" s="249">
        <v>0.1933264076709747</v>
      </c>
      <c r="N228" s="249">
        <v>0.18877484202384948</v>
      </c>
      <c r="O228" s="249">
        <v>0.184019273519516</v>
      </c>
    </row>
    <row r="229" spans="3:16" outlineLevel="1" x14ac:dyDescent="0.25">
      <c r="C229" s="250" t="str">
        <f>$C$76</f>
        <v>Base</v>
      </c>
      <c r="D229" s="264">
        <v>0.19994452595710754</v>
      </c>
      <c r="E229" s="247">
        <v>0.18661401867866517</v>
      </c>
      <c r="F229" s="249">
        <v>0.17253651022911073</v>
      </c>
      <c r="G229" s="249">
        <v>0.15562824606895445</v>
      </c>
      <c r="H229" s="249">
        <v>0.13780624270439149</v>
      </c>
      <c r="I229" s="249">
        <v>0.11920050978660582</v>
      </c>
      <c r="J229" s="249">
        <v>9.9660164117813088E-2</v>
      </c>
      <c r="K229" s="249">
        <v>7.8779777884483357E-2</v>
      </c>
      <c r="L229" s="249">
        <v>6.7122945189476008E-2</v>
      </c>
      <c r="M229" s="249">
        <v>5.9051933884620669E-2</v>
      </c>
      <c r="N229" s="249">
        <v>5.0807204842567441E-2</v>
      </c>
      <c r="O229" s="249">
        <v>4.2384347319602972E-2</v>
      </c>
    </row>
    <row r="230" spans="3:16" outlineLevel="1" x14ac:dyDescent="0.25">
      <c r="C230" s="252" t="str">
        <f>$C$77</f>
        <v>Downside</v>
      </c>
      <c r="D230" s="264">
        <v>7.0801118016242975E-2</v>
      </c>
      <c r="E230" s="247">
        <v>5.3794220089912428E-2</v>
      </c>
      <c r="F230" s="249">
        <v>3.6226072907447823E-2</v>
      </c>
      <c r="G230" s="249">
        <v>1.794913709163666E-2</v>
      </c>
      <c r="H230" s="249">
        <v>-1.2617483735084534E-3</v>
      </c>
      <c r="I230" s="249">
        <v>-2.1710215508937841E-2</v>
      </c>
      <c r="J230" s="249">
        <v>-4.3811519443988811E-2</v>
      </c>
      <c r="K230" s="249">
        <v>-6.8123054131865535E-2</v>
      </c>
      <c r="L230" s="249">
        <v>2.9802322387695314E-9</v>
      </c>
      <c r="M230" s="249">
        <v>2.9802322387695314E-9</v>
      </c>
      <c r="N230" s="249">
        <v>2.9802322387695314E-9</v>
      </c>
      <c r="O230" s="249">
        <v>2.9802322387695314E-9</v>
      </c>
    </row>
    <row r="231" spans="3:16" outlineLevel="1" x14ac:dyDescent="0.25"/>
    <row r="232" spans="3:16" outlineLevel="1" x14ac:dyDescent="0.25">
      <c r="C232" s="239" t="s">
        <v>279</v>
      </c>
      <c r="D232" s="62"/>
      <c r="E232" s="62"/>
      <c r="F232" s="62"/>
      <c r="G232" s="62"/>
      <c r="H232" s="62"/>
      <c r="I232" s="62"/>
      <c r="J232" s="62"/>
      <c r="K232" s="62"/>
    </row>
    <row r="233" spans="3:16" outlineLevel="1" x14ac:dyDescent="0.25">
      <c r="C233" s="62"/>
      <c r="D233" s="62"/>
      <c r="E233" s="62"/>
      <c r="F233" s="62"/>
      <c r="G233" s="62"/>
      <c r="H233" s="62"/>
      <c r="I233" s="62"/>
      <c r="J233" s="62"/>
      <c r="K233" s="62"/>
    </row>
    <row r="234" spans="3:16" outlineLevel="1" x14ac:dyDescent="0.25">
      <c r="C234" s="240" t="s">
        <v>186</v>
      </c>
      <c r="D234" s="241" t="s">
        <v>278</v>
      </c>
      <c r="E234" s="241"/>
      <c r="F234" s="241"/>
      <c r="G234" s="241"/>
      <c r="H234" s="241"/>
      <c r="I234" s="241"/>
      <c r="J234" s="241"/>
      <c r="K234" s="242"/>
      <c r="L234" s="242"/>
      <c r="M234" s="242"/>
      <c r="N234" s="242"/>
      <c r="O234" s="242"/>
    </row>
    <row r="235" spans="3:16" outlineLevel="1" x14ac:dyDescent="0.25">
      <c r="C235" s="243">
        <f>$E$193</f>
        <v>0.10164434313774107</v>
      </c>
      <c r="D235" s="269">
        <f>Monthly!$BZ$5</f>
        <v>44347</v>
      </c>
      <c r="E235" s="258">
        <f>Monthly!$CA$5</f>
        <v>44377</v>
      </c>
      <c r="F235" s="258">
        <f>Monthly!$CB$5</f>
        <v>44408</v>
      </c>
      <c r="G235" s="258">
        <f>Monthly!$CC$5</f>
        <v>44439</v>
      </c>
      <c r="H235" s="258">
        <f>Monthly!$CD$5</f>
        <v>44469</v>
      </c>
      <c r="I235" s="258">
        <f>Monthly!$CE$5</f>
        <v>44500</v>
      </c>
      <c r="J235" s="258">
        <f>Monthly!$CF$5</f>
        <v>44530</v>
      </c>
      <c r="K235" s="258">
        <f>Monthly!$CG$5</f>
        <v>44561</v>
      </c>
      <c r="L235" s="261">
        <f>Monthly!$CH$5</f>
        <v>44592</v>
      </c>
      <c r="M235" s="261">
        <f>Monthly!$CI$5</f>
        <v>44620</v>
      </c>
      <c r="N235" s="261">
        <f>Monthly!$CJ$5</f>
        <v>44651</v>
      </c>
      <c r="O235" s="259">
        <f>Monthly!$CK$5</f>
        <v>44681</v>
      </c>
    </row>
    <row r="236" spans="3:16" outlineLevel="1" x14ac:dyDescent="0.25">
      <c r="C236" s="246" t="str">
        <f>$C$75</f>
        <v>Upside</v>
      </c>
      <c r="D236" s="263">
        <f t="dataTable" ref="D236:O238" dt2D="1" dtr="1" r1="E37" r2="J16"/>
        <v>0.34574155211448676</v>
      </c>
      <c r="E236" s="247">
        <v>0.30949756503105175</v>
      </c>
      <c r="F236" s="249">
        <v>0.27053564190864565</v>
      </c>
      <c r="G236" s="249">
        <v>0.2278263866901398</v>
      </c>
      <c r="H236" s="249">
        <v>0.17950658202171327</v>
      </c>
      <c r="I236" s="249">
        <v>0.12161144614219666</v>
      </c>
      <c r="J236" s="249">
        <v>0.10239139199256897</v>
      </c>
      <c r="K236" s="249">
        <v>8.2240816950798046E-2</v>
      </c>
      <c r="L236" s="249">
        <v>6.0997566580772405E-2</v>
      </c>
      <c r="M236" s="249">
        <v>3.8422784209251409E-2</v>
      </c>
      <c r="N236" s="249">
        <v>1.404413878917694E-2</v>
      </c>
      <c r="O236" s="249">
        <v>-6.9484345614910124E-3</v>
      </c>
    </row>
    <row r="237" spans="3:16" outlineLevel="1" x14ac:dyDescent="0.25">
      <c r="C237" s="250" t="str">
        <f>$C$76</f>
        <v>Base</v>
      </c>
      <c r="D237" s="264">
        <v>0.10164434313774107</v>
      </c>
      <c r="E237" s="247">
        <v>3.4867903590202337E-2</v>
      </c>
      <c r="F237" s="249">
        <v>-4.3571172654628752E-2</v>
      </c>
      <c r="G237" s="249">
        <v>-9.3437237292528133E-2</v>
      </c>
      <c r="H237" s="249">
        <v>2.9802322387695314E-9</v>
      </c>
      <c r="I237" s="249">
        <v>2.9802322387695314E-9</v>
      </c>
      <c r="J237" s="249">
        <v>2.9802322387695314E-9</v>
      </c>
      <c r="K237" s="249">
        <v>2.9802322387695314E-9</v>
      </c>
      <c r="L237" s="249">
        <v>2.9802322387695314E-9</v>
      </c>
      <c r="M237" s="249">
        <v>2.9802322387695314E-9</v>
      </c>
      <c r="N237" s="249">
        <v>2.9802322387695314E-9</v>
      </c>
      <c r="O237" s="249">
        <v>2.9802322387695314E-9</v>
      </c>
    </row>
    <row r="238" spans="3:16" outlineLevel="1" x14ac:dyDescent="0.25">
      <c r="C238" s="252" t="str">
        <f>$C$77</f>
        <v>Downside</v>
      </c>
      <c r="D238" s="264">
        <v>2.9802322387695314E-9</v>
      </c>
      <c r="E238" s="247">
        <v>2.9802322387695314E-9</v>
      </c>
      <c r="F238" s="249">
        <v>2.9802322387695314E-9</v>
      </c>
      <c r="G238" s="249">
        <v>2.9802322387695314E-9</v>
      </c>
      <c r="H238" s="249">
        <v>2.9802322387695314E-9</v>
      </c>
      <c r="I238" s="249">
        <v>2.9802322387695314E-9</v>
      </c>
      <c r="J238" s="249">
        <v>2.9802322387695314E-9</v>
      </c>
      <c r="K238" s="249">
        <v>2.9802322387695314E-9</v>
      </c>
      <c r="L238" s="249">
        <v>2.9802322387695314E-9</v>
      </c>
      <c r="M238" s="249">
        <v>2.9802322387695314E-9</v>
      </c>
      <c r="N238" s="249">
        <v>2.9802322387695314E-9</v>
      </c>
      <c r="O238" s="249">
        <v>2.9802322387695314E-9</v>
      </c>
    </row>
    <row r="239" spans="3:16" outlineLevel="1" x14ac:dyDescent="0.25"/>
    <row r="240" spans="3:16" outlineLevel="1" x14ac:dyDescent="0.25">
      <c r="C240" s="239" t="s">
        <v>280</v>
      </c>
      <c r="D240" s="62"/>
      <c r="E240" s="62"/>
      <c r="F240" s="62"/>
      <c r="G240" s="62"/>
      <c r="H240" s="62"/>
      <c r="I240" s="62"/>
      <c r="J240" s="62"/>
      <c r="K240" s="62"/>
    </row>
    <row r="241" spans="3:15" outlineLevel="1" x14ac:dyDescent="0.25">
      <c r="C241" s="62"/>
      <c r="D241" s="62"/>
      <c r="E241" s="62"/>
      <c r="F241" s="62"/>
      <c r="G241" s="62"/>
      <c r="H241" s="62"/>
      <c r="I241" s="62"/>
      <c r="J241" s="62"/>
      <c r="K241" s="62"/>
    </row>
    <row r="242" spans="3:15" outlineLevel="1" x14ac:dyDescent="0.25">
      <c r="C242" s="240" t="s">
        <v>186</v>
      </c>
      <c r="D242" s="241" t="s">
        <v>278</v>
      </c>
      <c r="E242" s="241"/>
      <c r="F242" s="241"/>
      <c r="G242" s="241"/>
      <c r="H242" s="241"/>
      <c r="I242" s="241"/>
      <c r="J242" s="241"/>
      <c r="K242" s="242"/>
      <c r="L242" s="242"/>
      <c r="M242" s="242"/>
      <c r="N242" s="242"/>
      <c r="O242" s="242"/>
    </row>
    <row r="243" spans="3:15" outlineLevel="1" x14ac:dyDescent="0.25">
      <c r="C243" s="243">
        <f>$E$169</f>
        <v>0.12288394570350644</v>
      </c>
      <c r="D243" s="269">
        <f>Monthly!$BZ$5</f>
        <v>44347</v>
      </c>
      <c r="E243" s="258">
        <f>Monthly!$CA$5</f>
        <v>44377</v>
      </c>
      <c r="F243" s="258">
        <f>Monthly!$CB$5</f>
        <v>44408</v>
      </c>
      <c r="G243" s="258">
        <f>Monthly!$CC$5</f>
        <v>44439</v>
      </c>
      <c r="H243" s="258">
        <f>Monthly!$CD$5</f>
        <v>44469</v>
      </c>
      <c r="I243" s="258">
        <f>Monthly!$CE$5</f>
        <v>44500</v>
      </c>
      <c r="J243" s="258">
        <f>Monthly!$CF$5</f>
        <v>44530</v>
      </c>
      <c r="K243" s="258">
        <f>Monthly!$CG$5</f>
        <v>44561</v>
      </c>
      <c r="L243" s="261">
        <f>Monthly!$CH$5</f>
        <v>44592</v>
      </c>
      <c r="M243" s="261">
        <f>Monthly!$CI$5</f>
        <v>44620</v>
      </c>
      <c r="N243" s="261">
        <f>Monthly!$CJ$5</f>
        <v>44651</v>
      </c>
      <c r="O243" s="259">
        <f>Monthly!$CK$5</f>
        <v>44681</v>
      </c>
    </row>
    <row r="244" spans="3:15" outlineLevel="1" x14ac:dyDescent="0.25">
      <c r="C244" s="246" t="str">
        <f>$C$75</f>
        <v>Upside</v>
      </c>
      <c r="D244" s="263">
        <f t="dataTable" ref="D244:O246" dt2D="1" dtr="1" r1="E37" r2="J16" ca="1"/>
        <v>0.12273029685020445</v>
      </c>
      <c r="E244" s="247">
        <v>0.11885605454444884</v>
      </c>
      <c r="F244" s="249">
        <v>0.11506217122077944</v>
      </c>
      <c r="G244" s="249">
        <v>0.11156530976295473</v>
      </c>
      <c r="H244" s="249">
        <v>0.1084563672542572</v>
      </c>
      <c r="I244" s="249">
        <v>0.10545331835746766</v>
      </c>
      <c r="J244" s="249">
        <v>0.10413308739662169</v>
      </c>
      <c r="K244" s="249">
        <v>0.10279476046562194</v>
      </c>
      <c r="L244" s="249">
        <v>0.10154458880424497</v>
      </c>
      <c r="M244" s="249">
        <v>0.10066384673118589</v>
      </c>
      <c r="N244" s="249">
        <v>9.9558800458908081E-2</v>
      </c>
      <c r="O244" s="249">
        <v>9.8608273267745988E-2</v>
      </c>
    </row>
    <row r="245" spans="3:15" outlineLevel="1" x14ac:dyDescent="0.25">
      <c r="C245" s="250" t="str">
        <f>$C$76</f>
        <v>Base</v>
      </c>
      <c r="D245" s="264">
        <v>0.12288394570350644</v>
      </c>
      <c r="E245" s="247">
        <v>0.11889106631278992</v>
      </c>
      <c r="F245" s="249">
        <v>0.11497151255607607</v>
      </c>
      <c r="G245" s="249">
        <v>0.11135881543159484</v>
      </c>
      <c r="H245" s="249">
        <v>0.10814234614372253</v>
      </c>
      <c r="I245" s="249">
        <v>0.1050398170948029</v>
      </c>
      <c r="J245" s="249">
        <v>0.10226569771766666</v>
      </c>
      <c r="K245" s="249">
        <v>9.9575847387313843E-2</v>
      </c>
      <c r="L245" s="249">
        <v>9.7924083471298218E-2</v>
      </c>
      <c r="M245" s="249">
        <v>9.6952468156814575E-2</v>
      </c>
      <c r="N245" s="249">
        <v>9.577318727970123E-2</v>
      </c>
      <c r="O245" s="249">
        <v>9.4750550389289867E-2</v>
      </c>
    </row>
    <row r="246" spans="3:15" outlineLevel="1" x14ac:dyDescent="0.25">
      <c r="C246" s="252" t="str">
        <f>$C$77</f>
        <v>Downside</v>
      </c>
      <c r="D246" s="264">
        <v>0.12618399262428281</v>
      </c>
      <c r="E246" s="247">
        <v>0.1216695725917816</v>
      </c>
      <c r="F246" s="249">
        <v>0.11724460721015931</v>
      </c>
      <c r="G246" s="249">
        <v>0.11316588521003723</v>
      </c>
      <c r="H246" s="249">
        <v>0.10951997637748717</v>
      </c>
      <c r="I246" s="249">
        <v>0.10601690411567691</v>
      </c>
      <c r="J246" s="249">
        <v>0.10287079215049744</v>
      </c>
      <c r="K246" s="249">
        <v>9.9832910299301136E-2</v>
      </c>
      <c r="L246" s="249">
        <v>9.6997803449630743E-2</v>
      </c>
      <c r="M246" s="249">
        <v>9.4617679715156569E-2</v>
      </c>
      <c r="N246" s="249">
        <v>9.2120185494422926E-2</v>
      </c>
      <c r="O246" s="249">
        <v>9.053491055965425E-2</v>
      </c>
    </row>
  </sheetData>
  <dataValidations disablePrompts="1" count="2">
    <dataValidation type="decimal" allowBlank="1" showInputMessage="1" showErrorMessage="1" sqref="D41:E41 E42:E43 E47:E48 E52:E53" xr:uid="{00000000-0002-0000-0000-000001000000}">
      <formula1>0</formula1>
      <formula2>1</formula2>
    </dataValidation>
    <dataValidation type="list" allowBlank="1" showInputMessage="1" showErrorMessage="1" sqref="J16" xr:uid="{00000000-0002-0000-0000-000000000000}">
      <formula1>$C$75:$C$77</formula1>
    </dataValidation>
  </dataValidations>
  <pageMargins left="0.7" right="0.7" top="0.75" bottom="0.75" header="0.3" footer="0.3"/>
  <pageSetup scale="38" orientation="portrait" horizontalDpi="1200" verticalDpi="1200" r:id="rId1"/>
  <rowBreaks count="4" manualBreakCount="4">
    <brk id="67" max="14" man="1"/>
    <brk id="116" max="14" man="1"/>
    <brk id="164" max="14" man="1"/>
    <brk id="197" max="14" man="1"/>
  </rowBreaks>
  <ignoredErrors>
    <ignoredError sqref="E32 E35 E42:E53 J64 E100:E110 F90:N90 F78:N89 F91:N96 J27 J44 J55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2000000}">
          <x14:formula1>
            <xm:f>Monthly!$BZ$5:$CK$5</xm:f>
          </x14:formula1>
          <xm:sqref>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2:DI307"/>
  <sheetViews>
    <sheetView showGridLines="0" zoomScaleNormal="100" workbookViewId="0">
      <pane xSplit="5" ySplit="5" topLeftCell="BY6" activePane="bottomRight" state="frozen"/>
      <selection pane="topRight" activeCell="F1" sqref="F1"/>
      <selection pane="bottomLeft" activeCell="A6" sqref="A6"/>
      <selection pane="bottomRight" activeCell="F9" sqref="F9:DI9"/>
    </sheetView>
  </sheetViews>
  <sheetFormatPr defaultColWidth="11" defaultRowHeight="15.75" outlineLevelRow="1" x14ac:dyDescent="0.25"/>
  <cols>
    <col min="1" max="2" width="2.625" style="5" customWidth="1"/>
    <col min="3" max="3" width="42.625" style="5" bestFit="1" customWidth="1"/>
    <col min="4" max="113" width="14.375" style="5" customWidth="1"/>
    <col min="114" max="114" width="2.625" style="5" customWidth="1"/>
    <col min="115" max="16384" width="11" style="5"/>
  </cols>
  <sheetData>
    <row r="2" spans="2:113" ht="18.75" x14ac:dyDescent="0.3">
      <c r="B2" s="13" t="s">
        <v>101</v>
      </c>
      <c r="C2" s="2"/>
      <c r="D2" s="2"/>
      <c r="E2" s="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2:113" x14ac:dyDescent="0.25">
      <c r="B3" s="5" t="str">
        <f>+Annual!$B$3</f>
        <v>(£ in GBP as Stated)</v>
      </c>
      <c r="F3" s="8"/>
      <c r="G3" s="9"/>
      <c r="H3" s="9"/>
      <c r="I3" s="9"/>
      <c r="J3" s="9"/>
      <c r="K3" s="9"/>
      <c r="L3" s="9"/>
      <c r="M3" s="9"/>
      <c r="N3" s="9"/>
      <c r="O3" s="9"/>
      <c r="P3" s="9"/>
      <c r="Q3" s="9"/>
    </row>
    <row r="4" spans="2:113" x14ac:dyDescent="0.25"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</row>
    <row r="5" spans="2:113" x14ac:dyDescent="0.25">
      <c r="B5" s="44" t="s">
        <v>13</v>
      </c>
      <c r="C5" s="44"/>
      <c r="D5" s="69" t="str">
        <f>+Annual!$D$5</f>
        <v>Units:</v>
      </c>
      <c r="E5" s="69"/>
      <c r="F5" s="120">
        <f>Constr_Start_Date</f>
        <v>42155</v>
      </c>
      <c r="G5" s="120">
        <f>EOMONTH(F5,1)</f>
        <v>42185</v>
      </c>
      <c r="H5" s="120">
        <f t="shared" ref="H5:BS5" si="0">EOMONTH(G5,1)</f>
        <v>42216</v>
      </c>
      <c r="I5" s="120">
        <f t="shared" si="0"/>
        <v>42247</v>
      </c>
      <c r="J5" s="120">
        <f t="shared" si="0"/>
        <v>42277</v>
      </c>
      <c r="K5" s="120">
        <f t="shared" si="0"/>
        <v>42308</v>
      </c>
      <c r="L5" s="120">
        <f t="shared" si="0"/>
        <v>42338</v>
      </c>
      <c r="M5" s="120">
        <f t="shared" si="0"/>
        <v>42369</v>
      </c>
      <c r="N5" s="120">
        <f t="shared" si="0"/>
        <v>42400</v>
      </c>
      <c r="O5" s="120">
        <f t="shared" si="0"/>
        <v>42429</v>
      </c>
      <c r="P5" s="120">
        <f t="shared" si="0"/>
        <v>42460</v>
      </c>
      <c r="Q5" s="120">
        <f t="shared" si="0"/>
        <v>42490</v>
      </c>
      <c r="R5" s="120">
        <f t="shared" si="0"/>
        <v>42521</v>
      </c>
      <c r="S5" s="120">
        <f t="shared" si="0"/>
        <v>42551</v>
      </c>
      <c r="T5" s="120">
        <f t="shared" si="0"/>
        <v>42582</v>
      </c>
      <c r="U5" s="120">
        <f t="shared" si="0"/>
        <v>42613</v>
      </c>
      <c r="V5" s="120">
        <f t="shared" si="0"/>
        <v>42643</v>
      </c>
      <c r="W5" s="120">
        <f t="shared" si="0"/>
        <v>42674</v>
      </c>
      <c r="X5" s="120">
        <f t="shared" si="0"/>
        <v>42704</v>
      </c>
      <c r="Y5" s="120">
        <f t="shared" si="0"/>
        <v>42735</v>
      </c>
      <c r="Z5" s="120">
        <f t="shared" si="0"/>
        <v>42766</v>
      </c>
      <c r="AA5" s="120">
        <f t="shared" si="0"/>
        <v>42794</v>
      </c>
      <c r="AB5" s="120">
        <f t="shared" si="0"/>
        <v>42825</v>
      </c>
      <c r="AC5" s="120">
        <f t="shared" si="0"/>
        <v>42855</v>
      </c>
      <c r="AD5" s="120">
        <f t="shared" si="0"/>
        <v>42886</v>
      </c>
      <c r="AE5" s="120">
        <f t="shared" si="0"/>
        <v>42916</v>
      </c>
      <c r="AF5" s="120">
        <f t="shared" si="0"/>
        <v>42947</v>
      </c>
      <c r="AG5" s="120">
        <f t="shared" si="0"/>
        <v>42978</v>
      </c>
      <c r="AH5" s="120">
        <f t="shared" si="0"/>
        <v>43008</v>
      </c>
      <c r="AI5" s="120">
        <f t="shared" si="0"/>
        <v>43039</v>
      </c>
      <c r="AJ5" s="120">
        <f t="shared" si="0"/>
        <v>43069</v>
      </c>
      <c r="AK5" s="120">
        <f t="shared" si="0"/>
        <v>43100</v>
      </c>
      <c r="AL5" s="120">
        <f t="shared" si="0"/>
        <v>43131</v>
      </c>
      <c r="AM5" s="120">
        <f t="shared" si="0"/>
        <v>43159</v>
      </c>
      <c r="AN5" s="120">
        <f t="shared" si="0"/>
        <v>43190</v>
      </c>
      <c r="AO5" s="120">
        <f t="shared" si="0"/>
        <v>43220</v>
      </c>
      <c r="AP5" s="120">
        <f t="shared" si="0"/>
        <v>43251</v>
      </c>
      <c r="AQ5" s="120">
        <f t="shared" si="0"/>
        <v>43281</v>
      </c>
      <c r="AR5" s="120">
        <f t="shared" si="0"/>
        <v>43312</v>
      </c>
      <c r="AS5" s="120">
        <f t="shared" si="0"/>
        <v>43343</v>
      </c>
      <c r="AT5" s="120">
        <f t="shared" si="0"/>
        <v>43373</v>
      </c>
      <c r="AU5" s="120">
        <f t="shared" si="0"/>
        <v>43404</v>
      </c>
      <c r="AV5" s="120">
        <f t="shared" si="0"/>
        <v>43434</v>
      </c>
      <c r="AW5" s="120">
        <f t="shared" si="0"/>
        <v>43465</v>
      </c>
      <c r="AX5" s="120">
        <f t="shared" si="0"/>
        <v>43496</v>
      </c>
      <c r="AY5" s="120">
        <f t="shared" si="0"/>
        <v>43524</v>
      </c>
      <c r="AZ5" s="120">
        <f t="shared" si="0"/>
        <v>43555</v>
      </c>
      <c r="BA5" s="120">
        <f t="shared" si="0"/>
        <v>43585</v>
      </c>
      <c r="BB5" s="120">
        <f t="shared" si="0"/>
        <v>43616</v>
      </c>
      <c r="BC5" s="120">
        <f t="shared" si="0"/>
        <v>43646</v>
      </c>
      <c r="BD5" s="120">
        <f t="shared" si="0"/>
        <v>43677</v>
      </c>
      <c r="BE5" s="120">
        <f t="shared" si="0"/>
        <v>43708</v>
      </c>
      <c r="BF5" s="120">
        <f t="shared" si="0"/>
        <v>43738</v>
      </c>
      <c r="BG5" s="120">
        <f t="shared" si="0"/>
        <v>43769</v>
      </c>
      <c r="BH5" s="120">
        <f t="shared" si="0"/>
        <v>43799</v>
      </c>
      <c r="BI5" s="120">
        <f t="shared" si="0"/>
        <v>43830</v>
      </c>
      <c r="BJ5" s="120">
        <f t="shared" si="0"/>
        <v>43861</v>
      </c>
      <c r="BK5" s="120">
        <f t="shared" si="0"/>
        <v>43890</v>
      </c>
      <c r="BL5" s="120">
        <f t="shared" si="0"/>
        <v>43921</v>
      </c>
      <c r="BM5" s="120">
        <f t="shared" si="0"/>
        <v>43951</v>
      </c>
      <c r="BN5" s="120">
        <f t="shared" si="0"/>
        <v>43982</v>
      </c>
      <c r="BO5" s="120">
        <f t="shared" si="0"/>
        <v>44012</v>
      </c>
      <c r="BP5" s="120">
        <f t="shared" si="0"/>
        <v>44043</v>
      </c>
      <c r="BQ5" s="120">
        <f t="shared" si="0"/>
        <v>44074</v>
      </c>
      <c r="BR5" s="120">
        <f t="shared" si="0"/>
        <v>44104</v>
      </c>
      <c r="BS5" s="120">
        <f t="shared" si="0"/>
        <v>44135</v>
      </c>
      <c r="BT5" s="120">
        <f t="shared" ref="BT5:CL5" si="1">EOMONTH(BS5,1)</f>
        <v>44165</v>
      </c>
      <c r="BU5" s="120">
        <f t="shared" si="1"/>
        <v>44196</v>
      </c>
      <c r="BV5" s="120">
        <f t="shared" si="1"/>
        <v>44227</v>
      </c>
      <c r="BW5" s="120">
        <f t="shared" si="1"/>
        <v>44255</v>
      </c>
      <c r="BX5" s="120">
        <f t="shared" si="1"/>
        <v>44286</v>
      </c>
      <c r="BY5" s="120">
        <f t="shared" si="1"/>
        <v>44316</v>
      </c>
      <c r="BZ5" s="120">
        <f t="shared" si="1"/>
        <v>44347</v>
      </c>
      <c r="CA5" s="120">
        <f t="shared" si="1"/>
        <v>44377</v>
      </c>
      <c r="CB5" s="120">
        <f t="shared" si="1"/>
        <v>44408</v>
      </c>
      <c r="CC5" s="120">
        <f t="shared" si="1"/>
        <v>44439</v>
      </c>
      <c r="CD5" s="120">
        <f t="shared" si="1"/>
        <v>44469</v>
      </c>
      <c r="CE5" s="120">
        <f t="shared" si="1"/>
        <v>44500</v>
      </c>
      <c r="CF5" s="120">
        <f t="shared" si="1"/>
        <v>44530</v>
      </c>
      <c r="CG5" s="120">
        <f t="shared" si="1"/>
        <v>44561</v>
      </c>
      <c r="CH5" s="120">
        <f t="shared" si="1"/>
        <v>44592</v>
      </c>
      <c r="CI5" s="120">
        <f t="shared" si="1"/>
        <v>44620</v>
      </c>
      <c r="CJ5" s="120">
        <f t="shared" si="1"/>
        <v>44651</v>
      </c>
      <c r="CK5" s="120">
        <f t="shared" si="1"/>
        <v>44681</v>
      </c>
      <c r="CL5" s="120">
        <f t="shared" si="1"/>
        <v>44712</v>
      </c>
      <c r="CM5" s="120">
        <f t="shared" ref="CM5" si="2">EOMONTH(CL5,1)</f>
        <v>44742</v>
      </c>
      <c r="CN5" s="120">
        <f t="shared" ref="CN5" si="3">EOMONTH(CM5,1)</f>
        <v>44773</v>
      </c>
      <c r="CO5" s="120">
        <f t="shared" ref="CO5" si="4">EOMONTH(CN5,1)</f>
        <v>44804</v>
      </c>
      <c r="CP5" s="120">
        <f t="shared" ref="CP5" si="5">EOMONTH(CO5,1)</f>
        <v>44834</v>
      </c>
      <c r="CQ5" s="120">
        <f t="shared" ref="CQ5" si="6">EOMONTH(CP5,1)</f>
        <v>44865</v>
      </c>
      <c r="CR5" s="120">
        <f t="shared" ref="CR5" si="7">EOMONTH(CQ5,1)</f>
        <v>44895</v>
      </c>
      <c r="CS5" s="120">
        <f t="shared" ref="CS5" si="8">EOMONTH(CR5,1)</f>
        <v>44926</v>
      </c>
      <c r="CT5" s="120">
        <f t="shared" ref="CT5" si="9">EOMONTH(CS5,1)</f>
        <v>44957</v>
      </c>
      <c r="CU5" s="120">
        <f t="shared" ref="CU5" si="10">EOMONTH(CT5,1)</f>
        <v>44985</v>
      </c>
      <c r="CV5" s="120">
        <f t="shared" ref="CV5:CW5" si="11">EOMONTH(CU5,1)</f>
        <v>45016</v>
      </c>
      <c r="CW5" s="120">
        <f t="shared" si="11"/>
        <v>45046</v>
      </c>
      <c r="CX5" s="120">
        <f t="shared" ref="CX5" si="12">EOMONTH(CW5,1)</f>
        <v>45077</v>
      </c>
      <c r="CY5" s="120">
        <f t="shared" ref="CY5" si="13">EOMONTH(CX5,1)</f>
        <v>45107</v>
      </c>
      <c r="CZ5" s="120">
        <f t="shared" ref="CZ5" si="14">EOMONTH(CY5,1)</f>
        <v>45138</v>
      </c>
      <c r="DA5" s="120">
        <f t="shared" ref="DA5" si="15">EOMONTH(CZ5,1)</f>
        <v>45169</v>
      </c>
      <c r="DB5" s="120">
        <f t="shared" ref="DB5" si="16">EOMONTH(DA5,1)</f>
        <v>45199</v>
      </c>
      <c r="DC5" s="120">
        <f t="shared" ref="DC5" si="17">EOMONTH(DB5,1)</f>
        <v>45230</v>
      </c>
      <c r="DD5" s="120">
        <f t="shared" ref="DD5" si="18">EOMONTH(DC5,1)</f>
        <v>45260</v>
      </c>
      <c r="DE5" s="120">
        <f t="shared" ref="DE5" si="19">EOMONTH(DD5,1)</f>
        <v>45291</v>
      </c>
      <c r="DF5" s="120">
        <f t="shared" ref="DF5" si="20">EOMONTH(DE5,1)</f>
        <v>45322</v>
      </c>
      <c r="DG5" s="120">
        <f t="shared" ref="DG5" si="21">EOMONTH(DF5,1)</f>
        <v>45351</v>
      </c>
      <c r="DH5" s="120">
        <f t="shared" ref="DH5" si="22">EOMONTH(DG5,1)</f>
        <v>45382</v>
      </c>
      <c r="DI5" s="120">
        <f t="shared" ref="DI5" si="23">EOMONTH(DH5,1)</f>
        <v>45412</v>
      </c>
    </row>
    <row r="6" spans="2:113" outlineLevel="1" x14ac:dyDescent="0.25">
      <c r="B6" s="10"/>
      <c r="C6" s="10"/>
      <c r="D6" s="10"/>
      <c r="E6" s="10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2:113" outlineLevel="1" x14ac:dyDescent="0.25">
      <c r="B7" s="10"/>
      <c r="C7" s="79" t="s">
        <v>137</v>
      </c>
      <c r="D7" s="152" t="s">
        <v>44</v>
      </c>
      <c r="E7" s="10"/>
      <c r="F7" s="37">
        <v>1</v>
      </c>
      <c r="G7" s="150">
        <f>+F7+1</f>
        <v>2</v>
      </c>
      <c r="H7" s="150">
        <f t="shared" ref="H7:BS7" si="24">+G7+1</f>
        <v>3</v>
      </c>
      <c r="I7" s="150">
        <f t="shared" si="24"/>
        <v>4</v>
      </c>
      <c r="J7" s="150">
        <f t="shared" si="24"/>
        <v>5</v>
      </c>
      <c r="K7" s="150">
        <f t="shared" si="24"/>
        <v>6</v>
      </c>
      <c r="L7" s="150">
        <f t="shared" si="24"/>
        <v>7</v>
      </c>
      <c r="M7" s="150">
        <f t="shared" si="24"/>
        <v>8</v>
      </c>
      <c r="N7" s="150">
        <f t="shared" si="24"/>
        <v>9</v>
      </c>
      <c r="O7" s="150">
        <f t="shared" si="24"/>
        <v>10</v>
      </c>
      <c r="P7" s="150">
        <f t="shared" si="24"/>
        <v>11</v>
      </c>
      <c r="Q7" s="150">
        <f t="shared" si="24"/>
        <v>12</v>
      </c>
      <c r="R7" s="150">
        <f t="shared" si="24"/>
        <v>13</v>
      </c>
      <c r="S7" s="150">
        <f t="shared" si="24"/>
        <v>14</v>
      </c>
      <c r="T7" s="150">
        <f t="shared" si="24"/>
        <v>15</v>
      </c>
      <c r="U7" s="150">
        <f t="shared" si="24"/>
        <v>16</v>
      </c>
      <c r="V7" s="150">
        <f t="shared" si="24"/>
        <v>17</v>
      </c>
      <c r="W7" s="150">
        <f t="shared" si="24"/>
        <v>18</v>
      </c>
      <c r="X7" s="150">
        <f t="shared" si="24"/>
        <v>19</v>
      </c>
      <c r="Y7" s="150">
        <f t="shared" si="24"/>
        <v>20</v>
      </c>
      <c r="Z7" s="150">
        <f t="shared" si="24"/>
        <v>21</v>
      </c>
      <c r="AA7" s="150">
        <f t="shared" si="24"/>
        <v>22</v>
      </c>
      <c r="AB7" s="150">
        <f t="shared" si="24"/>
        <v>23</v>
      </c>
      <c r="AC7" s="150">
        <f t="shared" si="24"/>
        <v>24</v>
      </c>
      <c r="AD7" s="150">
        <f t="shared" si="24"/>
        <v>25</v>
      </c>
      <c r="AE7" s="150">
        <f t="shared" si="24"/>
        <v>26</v>
      </c>
      <c r="AF7" s="150">
        <f t="shared" si="24"/>
        <v>27</v>
      </c>
      <c r="AG7" s="150">
        <f t="shared" si="24"/>
        <v>28</v>
      </c>
      <c r="AH7" s="150">
        <f t="shared" si="24"/>
        <v>29</v>
      </c>
      <c r="AI7" s="150">
        <f t="shared" si="24"/>
        <v>30</v>
      </c>
      <c r="AJ7" s="150">
        <f t="shared" si="24"/>
        <v>31</v>
      </c>
      <c r="AK7" s="150">
        <f t="shared" si="24"/>
        <v>32</v>
      </c>
      <c r="AL7" s="150">
        <f t="shared" si="24"/>
        <v>33</v>
      </c>
      <c r="AM7" s="150">
        <f t="shared" si="24"/>
        <v>34</v>
      </c>
      <c r="AN7" s="150">
        <f t="shared" si="24"/>
        <v>35</v>
      </c>
      <c r="AO7" s="150">
        <f t="shared" si="24"/>
        <v>36</v>
      </c>
      <c r="AP7" s="150">
        <f t="shared" si="24"/>
        <v>37</v>
      </c>
      <c r="AQ7" s="150">
        <f t="shared" si="24"/>
        <v>38</v>
      </c>
      <c r="AR7" s="150">
        <f t="shared" si="24"/>
        <v>39</v>
      </c>
      <c r="AS7" s="150">
        <f t="shared" si="24"/>
        <v>40</v>
      </c>
      <c r="AT7" s="150">
        <f t="shared" si="24"/>
        <v>41</v>
      </c>
      <c r="AU7" s="150">
        <f t="shared" si="24"/>
        <v>42</v>
      </c>
      <c r="AV7" s="150">
        <f t="shared" si="24"/>
        <v>43</v>
      </c>
      <c r="AW7" s="150">
        <f t="shared" si="24"/>
        <v>44</v>
      </c>
      <c r="AX7" s="150">
        <f t="shared" si="24"/>
        <v>45</v>
      </c>
      <c r="AY7" s="150">
        <f t="shared" si="24"/>
        <v>46</v>
      </c>
      <c r="AZ7" s="150">
        <f t="shared" si="24"/>
        <v>47</v>
      </c>
      <c r="BA7" s="150">
        <f t="shared" si="24"/>
        <v>48</v>
      </c>
      <c r="BB7" s="150">
        <f t="shared" si="24"/>
        <v>49</v>
      </c>
      <c r="BC7" s="150">
        <f t="shared" si="24"/>
        <v>50</v>
      </c>
      <c r="BD7" s="150">
        <f t="shared" si="24"/>
        <v>51</v>
      </c>
      <c r="BE7" s="150">
        <f t="shared" si="24"/>
        <v>52</v>
      </c>
      <c r="BF7" s="150">
        <f t="shared" si="24"/>
        <v>53</v>
      </c>
      <c r="BG7" s="150">
        <f t="shared" si="24"/>
        <v>54</v>
      </c>
      <c r="BH7" s="150">
        <f t="shared" si="24"/>
        <v>55</v>
      </c>
      <c r="BI7" s="150">
        <f t="shared" si="24"/>
        <v>56</v>
      </c>
      <c r="BJ7" s="150">
        <f t="shared" si="24"/>
        <v>57</v>
      </c>
      <c r="BK7" s="150">
        <f t="shared" si="24"/>
        <v>58</v>
      </c>
      <c r="BL7" s="150">
        <f t="shared" si="24"/>
        <v>59</v>
      </c>
      <c r="BM7" s="150">
        <f t="shared" si="24"/>
        <v>60</v>
      </c>
      <c r="BN7" s="150">
        <f t="shared" si="24"/>
        <v>61</v>
      </c>
      <c r="BO7" s="150">
        <f t="shared" si="24"/>
        <v>62</v>
      </c>
      <c r="BP7" s="150">
        <f t="shared" si="24"/>
        <v>63</v>
      </c>
      <c r="BQ7" s="150">
        <f t="shared" si="24"/>
        <v>64</v>
      </c>
      <c r="BR7" s="150">
        <f t="shared" si="24"/>
        <v>65</v>
      </c>
      <c r="BS7" s="150">
        <f t="shared" si="24"/>
        <v>66</v>
      </c>
      <c r="BT7" s="150">
        <f t="shared" ref="BT7:CW7" si="25">+BS7+1</f>
        <v>67</v>
      </c>
      <c r="BU7" s="150">
        <f t="shared" si="25"/>
        <v>68</v>
      </c>
      <c r="BV7" s="150">
        <f t="shared" si="25"/>
        <v>69</v>
      </c>
      <c r="BW7" s="150">
        <f t="shared" si="25"/>
        <v>70</v>
      </c>
      <c r="BX7" s="150">
        <f t="shared" si="25"/>
        <v>71</v>
      </c>
      <c r="BY7" s="150">
        <f t="shared" si="25"/>
        <v>72</v>
      </c>
      <c r="BZ7" s="150">
        <f t="shared" si="25"/>
        <v>73</v>
      </c>
      <c r="CA7" s="150">
        <f t="shared" si="25"/>
        <v>74</v>
      </c>
      <c r="CB7" s="150">
        <f t="shared" si="25"/>
        <v>75</v>
      </c>
      <c r="CC7" s="150">
        <f t="shared" si="25"/>
        <v>76</v>
      </c>
      <c r="CD7" s="150">
        <f t="shared" si="25"/>
        <v>77</v>
      </c>
      <c r="CE7" s="150">
        <f t="shared" si="25"/>
        <v>78</v>
      </c>
      <c r="CF7" s="150">
        <f t="shared" si="25"/>
        <v>79</v>
      </c>
      <c r="CG7" s="150">
        <f t="shared" si="25"/>
        <v>80</v>
      </c>
      <c r="CH7" s="150">
        <f t="shared" si="25"/>
        <v>81</v>
      </c>
      <c r="CI7" s="150">
        <f t="shared" si="25"/>
        <v>82</v>
      </c>
      <c r="CJ7" s="150">
        <f t="shared" si="25"/>
        <v>83</v>
      </c>
      <c r="CK7" s="150">
        <f t="shared" si="25"/>
        <v>84</v>
      </c>
      <c r="CL7" s="150">
        <f t="shared" si="25"/>
        <v>85</v>
      </c>
      <c r="CM7" s="150">
        <f t="shared" si="25"/>
        <v>86</v>
      </c>
      <c r="CN7" s="150">
        <f t="shared" si="25"/>
        <v>87</v>
      </c>
      <c r="CO7" s="150">
        <f t="shared" si="25"/>
        <v>88</v>
      </c>
      <c r="CP7" s="150">
        <f t="shared" si="25"/>
        <v>89</v>
      </c>
      <c r="CQ7" s="150">
        <f t="shared" si="25"/>
        <v>90</v>
      </c>
      <c r="CR7" s="150">
        <f t="shared" si="25"/>
        <v>91</v>
      </c>
      <c r="CS7" s="150">
        <f t="shared" si="25"/>
        <v>92</v>
      </c>
      <c r="CT7" s="150">
        <f t="shared" si="25"/>
        <v>93</v>
      </c>
      <c r="CU7" s="150">
        <f t="shared" si="25"/>
        <v>94</v>
      </c>
      <c r="CV7" s="150">
        <f t="shared" si="25"/>
        <v>95</v>
      </c>
      <c r="CW7" s="150">
        <f t="shared" si="25"/>
        <v>96</v>
      </c>
      <c r="CX7" s="150">
        <f t="shared" ref="CX7" si="26">+CW7+1</f>
        <v>97</v>
      </c>
      <c r="CY7" s="150">
        <f t="shared" ref="CY7" si="27">+CX7+1</f>
        <v>98</v>
      </c>
      <c r="CZ7" s="150">
        <f t="shared" ref="CZ7" si="28">+CY7+1</f>
        <v>99</v>
      </c>
      <c r="DA7" s="150">
        <f t="shared" ref="DA7" si="29">+CZ7+1</f>
        <v>100</v>
      </c>
      <c r="DB7" s="150">
        <f t="shared" ref="DB7" si="30">+DA7+1</f>
        <v>101</v>
      </c>
      <c r="DC7" s="150">
        <f t="shared" ref="DC7" si="31">+DB7+1</f>
        <v>102</v>
      </c>
      <c r="DD7" s="150">
        <f t="shared" ref="DD7" si="32">+DC7+1</f>
        <v>103</v>
      </c>
      <c r="DE7" s="150">
        <f t="shared" ref="DE7" si="33">+DD7+1</f>
        <v>104</v>
      </c>
      <c r="DF7" s="150">
        <f t="shared" ref="DF7" si="34">+DE7+1</f>
        <v>105</v>
      </c>
      <c r="DG7" s="150">
        <f t="shared" ref="DG7" si="35">+DF7+1</f>
        <v>106</v>
      </c>
      <c r="DH7" s="150">
        <f t="shared" ref="DH7" si="36">+DG7+1</f>
        <v>107</v>
      </c>
      <c r="DI7" s="150">
        <f t="shared" ref="DI7" si="37">+DH7+1</f>
        <v>108</v>
      </c>
    </row>
    <row r="8" spans="2:113" outlineLevel="1" x14ac:dyDescent="0.25">
      <c r="B8" s="10"/>
      <c r="C8" s="151" t="s">
        <v>55</v>
      </c>
      <c r="D8" s="152" t="s">
        <v>56</v>
      </c>
      <c r="E8" s="10"/>
      <c r="F8" s="149">
        <f>YEAR(F5)</f>
        <v>2015</v>
      </c>
      <c r="G8" s="149">
        <f t="shared" ref="G8:BR8" si="38">YEAR(G5)</f>
        <v>2015</v>
      </c>
      <c r="H8" s="149">
        <f t="shared" si="38"/>
        <v>2015</v>
      </c>
      <c r="I8" s="149">
        <f t="shared" si="38"/>
        <v>2015</v>
      </c>
      <c r="J8" s="149">
        <f t="shared" si="38"/>
        <v>2015</v>
      </c>
      <c r="K8" s="149">
        <f t="shared" si="38"/>
        <v>2015</v>
      </c>
      <c r="L8" s="149">
        <f t="shared" si="38"/>
        <v>2015</v>
      </c>
      <c r="M8" s="149">
        <f t="shared" si="38"/>
        <v>2015</v>
      </c>
      <c r="N8" s="149">
        <f t="shared" si="38"/>
        <v>2016</v>
      </c>
      <c r="O8" s="149">
        <f t="shared" si="38"/>
        <v>2016</v>
      </c>
      <c r="P8" s="149">
        <f t="shared" si="38"/>
        <v>2016</v>
      </c>
      <c r="Q8" s="149">
        <f t="shared" si="38"/>
        <v>2016</v>
      </c>
      <c r="R8" s="149">
        <f t="shared" si="38"/>
        <v>2016</v>
      </c>
      <c r="S8" s="149">
        <f t="shared" si="38"/>
        <v>2016</v>
      </c>
      <c r="T8" s="149">
        <f t="shared" si="38"/>
        <v>2016</v>
      </c>
      <c r="U8" s="149">
        <f t="shared" si="38"/>
        <v>2016</v>
      </c>
      <c r="V8" s="149">
        <f t="shared" si="38"/>
        <v>2016</v>
      </c>
      <c r="W8" s="149">
        <f t="shared" si="38"/>
        <v>2016</v>
      </c>
      <c r="X8" s="149">
        <f t="shared" si="38"/>
        <v>2016</v>
      </c>
      <c r="Y8" s="149">
        <f t="shared" si="38"/>
        <v>2016</v>
      </c>
      <c r="Z8" s="149">
        <f t="shared" si="38"/>
        <v>2017</v>
      </c>
      <c r="AA8" s="149">
        <f t="shared" si="38"/>
        <v>2017</v>
      </c>
      <c r="AB8" s="149">
        <f t="shared" si="38"/>
        <v>2017</v>
      </c>
      <c r="AC8" s="149">
        <f t="shared" si="38"/>
        <v>2017</v>
      </c>
      <c r="AD8" s="149">
        <f t="shared" si="38"/>
        <v>2017</v>
      </c>
      <c r="AE8" s="149">
        <f t="shared" si="38"/>
        <v>2017</v>
      </c>
      <c r="AF8" s="149">
        <f t="shared" si="38"/>
        <v>2017</v>
      </c>
      <c r="AG8" s="149">
        <f t="shared" si="38"/>
        <v>2017</v>
      </c>
      <c r="AH8" s="149">
        <f t="shared" si="38"/>
        <v>2017</v>
      </c>
      <c r="AI8" s="149">
        <f t="shared" si="38"/>
        <v>2017</v>
      </c>
      <c r="AJ8" s="149">
        <f t="shared" si="38"/>
        <v>2017</v>
      </c>
      <c r="AK8" s="149">
        <f t="shared" si="38"/>
        <v>2017</v>
      </c>
      <c r="AL8" s="149">
        <f t="shared" si="38"/>
        <v>2018</v>
      </c>
      <c r="AM8" s="149">
        <f t="shared" si="38"/>
        <v>2018</v>
      </c>
      <c r="AN8" s="149">
        <f t="shared" si="38"/>
        <v>2018</v>
      </c>
      <c r="AO8" s="149">
        <f t="shared" si="38"/>
        <v>2018</v>
      </c>
      <c r="AP8" s="149">
        <f t="shared" si="38"/>
        <v>2018</v>
      </c>
      <c r="AQ8" s="149">
        <f t="shared" si="38"/>
        <v>2018</v>
      </c>
      <c r="AR8" s="149">
        <f t="shared" si="38"/>
        <v>2018</v>
      </c>
      <c r="AS8" s="149">
        <f t="shared" si="38"/>
        <v>2018</v>
      </c>
      <c r="AT8" s="149">
        <f t="shared" si="38"/>
        <v>2018</v>
      </c>
      <c r="AU8" s="149">
        <f t="shared" si="38"/>
        <v>2018</v>
      </c>
      <c r="AV8" s="149">
        <f t="shared" si="38"/>
        <v>2018</v>
      </c>
      <c r="AW8" s="149">
        <f t="shared" si="38"/>
        <v>2018</v>
      </c>
      <c r="AX8" s="149">
        <f t="shared" si="38"/>
        <v>2019</v>
      </c>
      <c r="AY8" s="149">
        <f t="shared" si="38"/>
        <v>2019</v>
      </c>
      <c r="AZ8" s="149">
        <f t="shared" si="38"/>
        <v>2019</v>
      </c>
      <c r="BA8" s="149">
        <f t="shared" si="38"/>
        <v>2019</v>
      </c>
      <c r="BB8" s="149">
        <f t="shared" si="38"/>
        <v>2019</v>
      </c>
      <c r="BC8" s="149">
        <f t="shared" si="38"/>
        <v>2019</v>
      </c>
      <c r="BD8" s="149">
        <f t="shared" si="38"/>
        <v>2019</v>
      </c>
      <c r="BE8" s="149">
        <f t="shared" si="38"/>
        <v>2019</v>
      </c>
      <c r="BF8" s="149">
        <f t="shared" si="38"/>
        <v>2019</v>
      </c>
      <c r="BG8" s="149">
        <f t="shared" si="38"/>
        <v>2019</v>
      </c>
      <c r="BH8" s="149">
        <f t="shared" si="38"/>
        <v>2019</v>
      </c>
      <c r="BI8" s="149">
        <f t="shared" si="38"/>
        <v>2019</v>
      </c>
      <c r="BJ8" s="149">
        <f t="shared" si="38"/>
        <v>2020</v>
      </c>
      <c r="BK8" s="149">
        <f t="shared" si="38"/>
        <v>2020</v>
      </c>
      <c r="BL8" s="149">
        <f t="shared" si="38"/>
        <v>2020</v>
      </c>
      <c r="BM8" s="149">
        <f t="shared" si="38"/>
        <v>2020</v>
      </c>
      <c r="BN8" s="149">
        <f t="shared" si="38"/>
        <v>2020</v>
      </c>
      <c r="BO8" s="149">
        <f t="shared" si="38"/>
        <v>2020</v>
      </c>
      <c r="BP8" s="149">
        <f t="shared" si="38"/>
        <v>2020</v>
      </c>
      <c r="BQ8" s="149">
        <f t="shared" si="38"/>
        <v>2020</v>
      </c>
      <c r="BR8" s="149">
        <f t="shared" si="38"/>
        <v>2020</v>
      </c>
      <c r="BS8" s="149">
        <f t="shared" ref="BS8:CW8" si="39">YEAR(BS5)</f>
        <v>2020</v>
      </c>
      <c r="BT8" s="149">
        <f t="shared" si="39"/>
        <v>2020</v>
      </c>
      <c r="BU8" s="149">
        <f t="shared" si="39"/>
        <v>2020</v>
      </c>
      <c r="BV8" s="149">
        <f t="shared" si="39"/>
        <v>2021</v>
      </c>
      <c r="BW8" s="149">
        <f t="shared" si="39"/>
        <v>2021</v>
      </c>
      <c r="BX8" s="149">
        <f t="shared" si="39"/>
        <v>2021</v>
      </c>
      <c r="BY8" s="149">
        <f t="shared" si="39"/>
        <v>2021</v>
      </c>
      <c r="BZ8" s="149">
        <f t="shared" si="39"/>
        <v>2021</v>
      </c>
      <c r="CA8" s="149">
        <f t="shared" si="39"/>
        <v>2021</v>
      </c>
      <c r="CB8" s="149">
        <f t="shared" si="39"/>
        <v>2021</v>
      </c>
      <c r="CC8" s="149">
        <f t="shared" si="39"/>
        <v>2021</v>
      </c>
      <c r="CD8" s="149">
        <f t="shared" si="39"/>
        <v>2021</v>
      </c>
      <c r="CE8" s="149">
        <f t="shared" si="39"/>
        <v>2021</v>
      </c>
      <c r="CF8" s="149">
        <f t="shared" si="39"/>
        <v>2021</v>
      </c>
      <c r="CG8" s="149">
        <f t="shared" si="39"/>
        <v>2021</v>
      </c>
      <c r="CH8" s="149">
        <f t="shared" si="39"/>
        <v>2022</v>
      </c>
      <c r="CI8" s="149">
        <f t="shared" si="39"/>
        <v>2022</v>
      </c>
      <c r="CJ8" s="149">
        <f t="shared" si="39"/>
        <v>2022</v>
      </c>
      <c r="CK8" s="149">
        <f t="shared" si="39"/>
        <v>2022</v>
      </c>
      <c r="CL8" s="149">
        <f t="shared" si="39"/>
        <v>2022</v>
      </c>
      <c r="CM8" s="149">
        <f t="shared" si="39"/>
        <v>2022</v>
      </c>
      <c r="CN8" s="149">
        <f t="shared" si="39"/>
        <v>2022</v>
      </c>
      <c r="CO8" s="149">
        <f t="shared" si="39"/>
        <v>2022</v>
      </c>
      <c r="CP8" s="149">
        <f t="shared" si="39"/>
        <v>2022</v>
      </c>
      <c r="CQ8" s="149">
        <f t="shared" si="39"/>
        <v>2022</v>
      </c>
      <c r="CR8" s="149">
        <f t="shared" si="39"/>
        <v>2022</v>
      </c>
      <c r="CS8" s="149">
        <f t="shared" si="39"/>
        <v>2022</v>
      </c>
      <c r="CT8" s="149">
        <f t="shared" si="39"/>
        <v>2023</v>
      </c>
      <c r="CU8" s="149">
        <f t="shared" si="39"/>
        <v>2023</v>
      </c>
      <c r="CV8" s="149">
        <f t="shared" si="39"/>
        <v>2023</v>
      </c>
      <c r="CW8" s="149">
        <f t="shared" si="39"/>
        <v>2023</v>
      </c>
      <c r="CX8" s="149">
        <f t="shared" ref="CX8:DI8" si="40">YEAR(CX5)</f>
        <v>2023</v>
      </c>
      <c r="CY8" s="149">
        <f t="shared" si="40"/>
        <v>2023</v>
      </c>
      <c r="CZ8" s="149">
        <f t="shared" si="40"/>
        <v>2023</v>
      </c>
      <c r="DA8" s="149">
        <f t="shared" si="40"/>
        <v>2023</v>
      </c>
      <c r="DB8" s="149">
        <f t="shared" si="40"/>
        <v>2023</v>
      </c>
      <c r="DC8" s="149">
        <f t="shared" si="40"/>
        <v>2023</v>
      </c>
      <c r="DD8" s="149">
        <f t="shared" si="40"/>
        <v>2023</v>
      </c>
      <c r="DE8" s="149">
        <f t="shared" si="40"/>
        <v>2023</v>
      </c>
      <c r="DF8" s="149">
        <f t="shared" si="40"/>
        <v>2024</v>
      </c>
      <c r="DG8" s="149">
        <f t="shared" si="40"/>
        <v>2024</v>
      </c>
      <c r="DH8" s="149">
        <f t="shared" si="40"/>
        <v>2024</v>
      </c>
      <c r="DI8" s="149">
        <f t="shared" si="40"/>
        <v>2024</v>
      </c>
    </row>
    <row r="9" spans="2:113" outlineLevel="1" x14ac:dyDescent="0.25">
      <c r="B9" s="10"/>
      <c r="C9" s="79" t="s">
        <v>134</v>
      </c>
      <c r="D9" s="152" t="s">
        <v>44</v>
      </c>
      <c r="E9" s="10"/>
      <c r="F9" s="150">
        <f t="shared" ref="F9:AK9" si="41">ROUNDUP(F7/Months,0)</f>
        <v>1</v>
      </c>
      <c r="G9" s="150">
        <f t="shared" si="41"/>
        <v>1</v>
      </c>
      <c r="H9" s="150">
        <f t="shared" si="41"/>
        <v>1</v>
      </c>
      <c r="I9" s="150">
        <f t="shared" si="41"/>
        <v>1</v>
      </c>
      <c r="J9" s="150">
        <f t="shared" si="41"/>
        <v>1</v>
      </c>
      <c r="K9" s="150">
        <f t="shared" si="41"/>
        <v>1</v>
      </c>
      <c r="L9" s="150">
        <f t="shared" si="41"/>
        <v>1</v>
      </c>
      <c r="M9" s="150">
        <f t="shared" si="41"/>
        <v>1</v>
      </c>
      <c r="N9" s="150">
        <f t="shared" si="41"/>
        <v>1</v>
      </c>
      <c r="O9" s="150">
        <f t="shared" si="41"/>
        <v>1</v>
      </c>
      <c r="P9" s="150">
        <f t="shared" si="41"/>
        <v>1</v>
      </c>
      <c r="Q9" s="150">
        <f t="shared" si="41"/>
        <v>1</v>
      </c>
      <c r="R9" s="150">
        <f t="shared" si="41"/>
        <v>2</v>
      </c>
      <c r="S9" s="150">
        <f t="shared" si="41"/>
        <v>2</v>
      </c>
      <c r="T9" s="150">
        <f t="shared" si="41"/>
        <v>2</v>
      </c>
      <c r="U9" s="150">
        <f t="shared" si="41"/>
        <v>2</v>
      </c>
      <c r="V9" s="150">
        <f t="shared" si="41"/>
        <v>2</v>
      </c>
      <c r="W9" s="150">
        <f t="shared" si="41"/>
        <v>2</v>
      </c>
      <c r="X9" s="150">
        <f t="shared" si="41"/>
        <v>2</v>
      </c>
      <c r="Y9" s="150">
        <f t="shared" si="41"/>
        <v>2</v>
      </c>
      <c r="Z9" s="150">
        <f t="shared" si="41"/>
        <v>2</v>
      </c>
      <c r="AA9" s="150">
        <f t="shared" si="41"/>
        <v>2</v>
      </c>
      <c r="AB9" s="150">
        <f t="shared" si="41"/>
        <v>2</v>
      </c>
      <c r="AC9" s="150">
        <f t="shared" si="41"/>
        <v>2</v>
      </c>
      <c r="AD9" s="150">
        <f t="shared" si="41"/>
        <v>3</v>
      </c>
      <c r="AE9" s="150">
        <f t="shared" si="41"/>
        <v>3</v>
      </c>
      <c r="AF9" s="150">
        <f t="shared" si="41"/>
        <v>3</v>
      </c>
      <c r="AG9" s="150">
        <f t="shared" si="41"/>
        <v>3</v>
      </c>
      <c r="AH9" s="150">
        <f t="shared" si="41"/>
        <v>3</v>
      </c>
      <c r="AI9" s="150">
        <f t="shared" si="41"/>
        <v>3</v>
      </c>
      <c r="AJ9" s="150">
        <f t="shared" si="41"/>
        <v>3</v>
      </c>
      <c r="AK9" s="150">
        <f t="shared" si="41"/>
        <v>3</v>
      </c>
      <c r="AL9" s="150">
        <f t="shared" ref="AL9:BQ9" si="42">ROUNDUP(AL7/Months,0)</f>
        <v>3</v>
      </c>
      <c r="AM9" s="150">
        <f t="shared" si="42"/>
        <v>3</v>
      </c>
      <c r="AN9" s="150">
        <f t="shared" si="42"/>
        <v>3</v>
      </c>
      <c r="AO9" s="150">
        <f t="shared" si="42"/>
        <v>3</v>
      </c>
      <c r="AP9" s="150">
        <f t="shared" si="42"/>
        <v>4</v>
      </c>
      <c r="AQ9" s="150">
        <f t="shared" si="42"/>
        <v>4</v>
      </c>
      <c r="AR9" s="150">
        <f t="shared" si="42"/>
        <v>4</v>
      </c>
      <c r="AS9" s="150">
        <f t="shared" si="42"/>
        <v>4</v>
      </c>
      <c r="AT9" s="150">
        <f t="shared" si="42"/>
        <v>4</v>
      </c>
      <c r="AU9" s="150">
        <f t="shared" si="42"/>
        <v>4</v>
      </c>
      <c r="AV9" s="150">
        <f t="shared" si="42"/>
        <v>4</v>
      </c>
      <c r="AW9" s="150">
        <f t="shared" si="42"/>
        <v>4</v>
      </c>
      <c r="AX9" s="150">
        <f t="shared" si="42"/>
        <v>4</v>
      </c>
      <c r="AY9" s="150">
        <f t="shared" si="42"/>
        <v>4</v>
      </c>
      <c r="AZ9" s="150">
        <f t="shared" si="42"/>
        <v>4</v>
      </c>
      <c r="BA9" s="150">
        <f t="shared" si="42"/>
        <v>4</v>
      </c>
      <c r="BB9" s="150">
        <f t="shared" si="42"/>
        <v>5</v>
      </c>
      <c r="BC9" s="150">
        <f t="shared" si="42"/>
        <v>5</v>
      </c>
      <c r="BD9" s="150">
        <f t="shared" si="42"/>
        <v>5</v>
      </c>
      <c r="BE9" s="150">
        <f t="shared" si="42"/>
        <v>5</v>
      </c>
      <c r="BF9" s="150">
        <f t="shared" si="42"/>
        <v>5</v>
      </c>
      <c r="BG9" s="150">
        <f t="shared" si="42"/>
        <v>5</v>
      </c>
      <c r="BH9" s="150">
        <f t="shared" si="42"/>
        <v>5</v>
      </c>
      <c r="BI9" s="150">
        <f t="shared" si="42"/>
        <v>5</v>
      </c>
      <c r="BJ9" s="150">
        <f t="shared" si="42"/>
        <v>5</v>
      </c>
      <c r="BK9" s="150">
        <f t="shared" si="42"/>
        <v>5</v>
      </c>
      <c r="BL9" s="150">
        <f t="shared" si="42"/>
        <v>5</v>
      </c>
      <c r="BM9" s="150">
        <f t="shared" si="42"/>
        <v>5</v>
      </c>
      <c r="BN9" s="150">
        <f t="shared" si="42"/>
        <v>6</v>
      </c>
      <c r="BO9" s="150">
        <f t="shared" si="42"/>
        <v>6</v>
      </c>
      <c r="BP9" s="150">
        <f t="shared" si="42"/>
        <v>6</v>
      </c>
      <c r="BQ9" s="150">
        <f t="shared" si="42"/>
        <v>6</v>
      </c>
      <c r="BR9" s="150">
        <f t="shared" ref="BR9:CW9" si="43">ROUNDUP(BR7/Months,0)</f>
        <v>6</v>
      </c>
      <c r="BS9" s="150">
        <f t="shared" si="43"/>
        <v>6</v>
      </c>
      <c r="BT9" s="150">
        <f t="shared" si="43"/>
        <v>6</v>
      </c>
      <c r="BU9" s="150">
        <f t="shared" si="43"/>
        <v>6</v>
      </c>
      <c r="BV9" s="150">
        <f t="shared" si="43"/>
        <v>6</v>
      </c>
      <c r="BW9" s="150">
        <f t="shared" si="43"/>
        <v>6</v>
      </c>
      <c r="BX9" s="150">
        <f t="shared" si="43"/>
        <v>6</v>
      </c>
      <c r="BY9" s="150">
        <f t="shared" si="43"/>
        <v>6</v>
      </c>
      <c r="BZ9" s="150">
        <f t="shared" si="43"/>
        <v>7</v>
      </c>
      <c r="CA9" s="150">
        <f t="shared" si="43"/>
        <v>7</v>
      </c>
      <c r="CB9" s="150">
        <f t="shared" si="43"/>
        <v>7</v>
      </c>
      <c r="CC9" s="150">
        <f t="shared" si="43"/>
        <v>7</v>
      </c>
      <c r="CD9" s="150">
        <f t="shared" si="43"/>
        <v>7</v>
      </c>
      <c r="CE9" s="150">
        <f t="shared" si="43"/>
        <v>7</v>
      </c>
      <c r="CF9" s="150">
        <f t="shared" si="43"/>
        <v>7</v>
      </c>
      <c r="CG9" s="150">
        <f t="shared" si="43"/>
        <v>7</v>
      </c>
      <c r="CH9" s="150">
        <f t="shared" si="43"/>
        <v>7</v>
      </c>
      <c r="CI9" s="150">
        <f t="shared" si="43"/>
        <v>7</v>
      </c>
      <c r="CJ9" s="150">
        <f t="shared" si="43"/>
        <v>7</v>
      </c>
      <c r="CK9" s="150">
        <f t="shared" si="43"/>
        <v>7</v>
      </c>
      <c r="CL9" s="150">
        <f t="shared" si="43"/>
        <v>8</v>
      </c>
      <c r="CM9" s="150">
        <f t="shared" si="43"/>
        <v>8</v>
      </c>
      <c r="CN9" s="150">
        <f t="shared" si="43"/>
        <v>8</v>
      </c>
      <c r="CO9" s="150">
        <f t="shared" si="43"/>
        <v>8</v>
      </c>
      <c r="CP9" s="150">
        <f t="shared" si="43"/>
        <v>8</v>
      </c>
      <c r="CQ9" s="150">
        <f t="shared" si="43"/>
        <v>8</v>
      </c>
      <c r="CR9" s="150">
        <f t="shared" si="43"/>
        <v>8</v>
      </c>
      <c r="CS9" s="150">
        <f t="shared" si="43"/>
        <v>8</v>
      </c>
      <c r="CT9" s="150">
        <f t="shared" si="43"/>
        <v>8</v>
      </c>
      <c r="CU9" s="150">
        <f t="shared" si="43"/>
        <v>8</v>
      </c>
      <c r="CV9" s="150">
        <f t="shared" si="43"/>
        <v>8</v>
      </c>
      <c r="CW9" s="150">
        <f t="shared" si="43"/>
        <v>8</v>
      </c>
      <c r="CX9" s="150">
        <f t="shared" ref="CX9:DI9" si="44">ROUNDUP(CX7/Months,0)</f>
        <v>9</v>
      </c>
      <c r="CY9" s="150">
        <f t="shared" si="44"/>
        <v>9</v>
      </c>
      <c r="CZ9" s="150">
        <f t="shared" si="44"/>
        <v>9</v>
      </c>
      <c r="DA9" s="150">
        <f t="shared" si="44"/>
        <v>9</v>
      </c>
      <c r="DB9" s="150">
        <f t="shared" si="44"/>
        <v>9</v>
      </c>
      <c r="DC9" s="150">
        <f t="shared" si="44"/>
        <v>9</v>
      </c>
      <c r="DD9" s="150">
        <f t="shared" si="44"/>
        <v>9</v>
      </c>
      <c r="DE9" s="150">
        <f t="shared" si="44"/>
        <v>9</v>
      </c>
      <c r="DF9" s="150">
        <f t="shared" si="44"/>
        <v>9</v>
      </c>
      <c r="DG9" s="150">
        <f t="shared" si="44"/>
        <v>9</v>
      </c>
      <c r="DH9" s="150">
        <f t="shared" si="44"/>
        <v>9</v>
      </c>
      <c r="DI9" s="150">
        <f t="shared" si="44"/>
        <v>9</v>
      </c>
    </row>
    <row r="10" spans="2:113" outlineLevel="1" x14ac:dyDescent="0.25">
      <c r="B10" s="10"/>
      <c r="C10" s="10"/>
      <c r="D10" s="10"/>
      <c r="E10" s="10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2:113" outlineLevel="1" x14ac:dyDescent="0.25">
      <c r="B11" s="10"/>
      <c r="C11" s="5" t="s">
        <v>93</v>
      </c>
      <c r="D11" s="46" t="s">
        <v>39</v>
      </c>
      <c r="E11" s="221"/>
      <c r="F11" s="14">
        <v>0.5</v>
      </c>
      <c r="G11" s="14">
        <v>0</v>
      </c>
      <c r="H11" s="14">
        <v>0</v>
      </c>
      <c r="I11" s="14">
        <v>0</v>
      </c>
      <c r="J11" s="14">
        <v>0</v>
      </c>
      <c r="K11" s="14">
        <v>0.5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 s="14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4">
        <v>0</v>
      </c>
      <c r="AR11" s="14">
        <v>0</v>
      </c>
      <c r="AS11" s="14">
        <v>0</v>
      </c>
      <c r="AT11" s="14">
        <v>0</v>
      </c>
      <c r="AU11" s="14">
        <v>0</v>
      </c>
      <c r="AV11" s="14">
        <v>0</v>
      </c>
      <c r="AW11" s="14">
        <v>0</v>
      </c>
      <c r="AX11" s="14">
        <v>0</v>
      </c>
      <c r="AY11" s="14">
        <v>0</v>
      </c>
      <c r="AZ11" s="14">
        <v>0</v>
      </c>
      <c r="BA11" s="14">
        <v>0</v>
      </c>
      <c r="BB11" s="14">
        <v>0</v>
      </c>
      <c r="BC11" s="14">
        <v>0</v>
      </c>
      <c r="BD11" s="14">
        <v>0</v>
      </c>
      <c r="BE11" s="14">
        <v>0</v>
      </c>
      <c r="BF11" s="14">
        <v>0</v>
      </c>
      <c r="BG11" s="14">
        <v>0</v>
      </c>
      <c r="BH11" s="14">
        <v>0</v>
      </c>
      <c r="BI11" s="14">
        <v>0</v>
      </c>
      <c r="BJ11" s="14">
        <v>0</v>
      </c>
      <c r="BK11" s="14">
        <v>0</v>
      </c>
      <c r="BL11" s="14">
        <v>0</v>
      </c>
      <c r="BM11" s="14">
        <v>0</v>
      </c>
      <c r="BN11" s="14">
        <v>0</v>
      </c>
      <c r="BO11" s="14">
        <v>0</v>
      </c>
      <c r="BP11" s="14">
        <v>0</v>
      </c>
      <c r="BQ11" s="14">
        <v>0</v>
      </c>
      <c r="BR11" s="14">
        <v>0</v>
      </c>
      <c r="BS11" s="14">
        <v>0</v>
      </c>
      <c r="BT11" s="14">
        <v>0</v>
      </c>
      <c r="BU11" s="14">
        <v>0</v>
      </c>
      <c r="BV11" s="14">
        <v>0</v>
      </c>
      <c r="BW11" s="14">
        <v>0</v>
      </c>
      <c r="BX11" s="14">
        <v>0</v>
      </c>
      <c r="BY11" s="14">
        <v>0</v>
      </c>
      <c r="BZ11" s="14">
        <v>0</v>
      </c>
      <c r="CA11" s="14">
        <v>0</v>
      </c>
      <c r="CB11" s="14">
        <v>0</v>
      </c>
      <c r="CC11" s="14">
        <v>0</v>
      </c>
      <c r="CD11" s="14">
        <v>0</v>
      </c>
      <c r="CE11" s="14">
        <v>0</v>
      </c>
      <c r="CF11" s="14">
        <v>0</v>
      </c>
      <c r="CG11" s="14">
        <v>0</v>
      </c>
      <c r="CH11" s="14">
        <v>0</v>
      </c>
      <c r="CI11" s="14">
        <v>0</v>
      </c>
      <c r="CJ11" s="14">
        <v>0</v>
      </c>
      <c r="CK11" s="14">
        <v>0</v>
      </c>
      <c r="CL11" s="14">
        <v>0</v>
      </c>
      <c r="CM11" s="14">
        <v>0</v>
      </c>
      <c r="CN11" s="14">
        <v>0</v>
      </c>
      <c r="CO11" s="14">
        <v>0</v>
      </c>
      <c r="CP11" s="14">
        <v>0</v>
      </c>
      <c r="CQ11" s="14">
        <v>0</v>
      </c>
      <c r="CR11" s="14">
        <v>0</v>
      </c>
      <c r="CS11" s="14">
        <v>0</v>
      </c>
      <c r="CT11" s="14">
        <v>0</v>
      </c>
      <c r="CU11" s="14">
        <v>0</v>
      </c>
      <c r="CV11" s="14">
        <v>0</v>
      </c>
      <c r="CW11" s="14">
        <v>0</v>
      </c>
      <c r="CX11" s="14">
        <v>0</v>
      </c>
      <c r="CY11" s="14">
        <v>0</v>
      </c>
      <c r="CZ11" s="14">
        <v>0</v>
      </c>
      <c r="DA11" s="14">
        <v>0</v>
      </c>
      <c r="DB11" s="14">
        <v>0</v>
      </c>
      <c r="DC11" s="14">
        <v>0</v>
      </c>
      <c r="DD11" s="14">
        <v>0</v>
      </c>
      <c r="DE11" s="14">
        <v>0</v>
      </c>
      <c r="DF11" s="14">
        <v>0</v>
      </c>
      <c r="DG11" s="14">
        <v>0</v>
      </c>
      <c r="DH11" s="14">
        <v>0</v>
      </c>
      <c r="DI11" s="14">
        <v>0</v>
      </c>
    </row>
    <row r="12" spans="2:113" outlineLevel="1" x14ac:dyDescent="0.25">
      <c r="B12" s="10"/>
      <c r="C12" s="5" t="s">
        <v>116</v>
      </c>
      <c r="D12" s="46" t="s">
        <v>39</v>
      </c>
      <c r="E12" s="221"/>
      <c r="F12" s="14">
        <v>1E-3</v>
      </c>
      <c r="G12" s="14">
        <v>1E-3</v>
      </c>
      <c r="H12" s="14">
        <v>1E-3</v>
      </c>
      <c r="I12" s="14">
        <v>1E-3</v>
      </c>
      <c r="J12" s="14">
        <v>1E-3</v>
      </c>
      <c r="K12" s="14">
        <v>2E-3</v>
      </c>
      <c r="L12" s="14">
        <v>3.0000000000000001E-3</v>
      </c>
      <c r="M12" s="14">
        <v>4.0000000000000001E-3</v>
      </c>
      <c r="N12" s="14">
        <v>6.0000000000000001E-3</v>
      </c>
      <c r="O12" s="14">
        <v>1.0999999999999999E-2</v>
      </c>
      <c r="P12" s="14">
        <v>1.6E-2</v>
      </c>
      <c r="Q12" s="14">
        <v>0.02</v>
      </c>
      <c r="R12" s="14">
        <v>0.03</v>
      </c>
      <c r="S12" s="14">
        <v>3.5000000000000003E-2</v>
      </c>
      <c r="T12" s="14">
        <v>3.6999999999999998E-2</v>
      </c>
      <c r="U12" s="14">
        <v>0.05</v>
      </c>
      <c r="V12" s="14">
        <v>5.7000000000000002E-2</v>
      </c>
      <c r="W12" s="14">
        <v>6.4000000000000001E-2</v>
      </c>
      <c r="X12" s="14">
        <v>7.0000000000000007E-2</v>
      </c>
      <c r="Y12" s="14">
        <v>7.1999999999999995E-2</v>
      </c>
      <c r="Z12" s="14">
        <v>6.5000000000000002E-2</v>
      </c>
      <c r="AA12" s="14">
        <v>6.5000000000000002E-2</v>
      </c>
      <c r="AB12" s="14">
        <v>5.7000000000000002E-2</v>
      </c>
      <c r="AC12" s="14">
        <v>5.1999999999999998E-2</v>
      </c>
      <c r="AD12" s="14">
        <v>4.2000000000000003E-2</v>
      </c>
      <c r="AE12" s="14">
        <v>3.5000000000000003E-2</v>
      </c>
      <c r="AF12" s="14">
        <v>2.5000000000000001E-2</v>
      </c>
      <c r="AG12" s="14">
        <v>0.02</v>
      </c>
      <c r="AH12" s="14">
        <v>0.01</v>
      </c>
      <c r="AI12" s="14">
        <v>0.01</v>
      </c>
      <c r="AJ12" s="14">
        <v>7.0000000000000001E-3</v>
      </c>
      <c r="AK12" s="14">
        <v>5.0000000000000001E-3</v>
      </c>
      <c r="AL12" s="14">
        <v>4.0000000000000001E-3</v>
      </c>
      <c r="AM12" s="14">
        <v>3.0000000000000001E-3</v>
      </c>
      <c r="AN12" s="14">
        <v>5.0000000000000001E-3</v>
      </c>
      <c r="AO12" s="14">
        <v>5.0000000000000001E-3</v>
      </c>
      <c r="AP12" s="14">
        <v>0.01</v>
      </c>
      <c r="AQ12" s="14">
        <v>1.2E-2</v>
      </c>
      <c r="AR12" s="14">
        <v>6.0000000000000001E-3</v>
      </c>
      <c r="AS12" s="14">
        <v>4.0000000000000001E-3</v>
      </c>
      <c r="AT12" s="14">
        <v>1.7000000000000001E-2</v>
      </c>
      <c r="AU12" s="14">
        <v>1.2E-2</v>
      </c>
      <c r="AV12" s="14">
        <v>4.0000000000000001E-3</v>
      </c>
      <c r="AW12" s="14">
        <v>1.9E-2</v>
      </c>
      <c r="AX12" s="14">
        <v>3.0000000000000001E-3</v>
      </c>
      <c r="AY12" s="14">
        <v>5.0000000000000001E-3</v>
      </c>
      <c r="AZ12" s="14">
        <v>5.0000000000000001E-3</v>
      </c>
      <c r="BA12" s="14">
        <v>1.0999999999999999E-2</v>
      </c>
      <c r="BB12" s="14">
        <v>0</v>
      </c>
      <c r="BC12" s="14">
        <v>0</v>
      </c>
      <c r="BD12" s="14">
        <v>0</v>
      </c>
      <c r="BE12" s="14">
        <v>0</v>
      </c>
      <c r="BF12" s="14">
        <v>0</v>
      </c>
      <c r="BG12" s="14">
        <v>0</v>
      </c>
      <c r="BH12" s="14">
        <v>0</v>
      </c>
      <c r="BI12" s="14">
        <v>0</v>
      </c>
      <c r="BJ12" s="14">
        <v>0</v>
      </c>
      <c r="BK12" s="14">
        <v>0</v>
      </c>
      <c r="BL12" s="14">
        <v>0</v>
      </c>
      <c r="BM12" s="14">
        <v>0</v>
      </c>
      <c r="BN12" s="14">
        <v>0</v>
      </c>
      <c r="BO12" s="14">
        <v>0</v>
      </c>
      <c r="BP12" s="14">
        <v>0</v>
      </c>
      <c r="BQ12" s="14">
        <v>0</v>
      </c>
      <c r="BR12" s="14">
        <v>0</v>
      </c>
      <c r="BS12" s="14">
        <v>0</v>
      </c>
      <c r="BT12" s="14">
        <v>0</v>
      </c>
      <c r="BU12" s="14">
        <v>0</v>
      </c>
      <c r="BV12" s="14">
        <v>0</v>
      </c>
      <c r="BW12" s="14">
        <v>0</v>
      </c>
      <c r="BX12" s="14">
        <v>0</v>
      </c>
      <c r="BY12" s="14">
        <v>0</v>
      </c>
      <c r="BZ12" s="14">
        <v>0</v>
      </c>
      <c r="CA12" s="14">
        <v>0</v>
      </c>
      <c r="CB12" s="14">
        <v>0</v>
      </c>
      <c r="CC12" s="14">
        <v>0</v>
      </c>
      <c r="CD12" s="14">
        <v>0</v>
      </c>
      <c r="CE12" s="14">
        <v>0</v>
      </c>
      <c r="CF12" s="14">
        <v>0</v>
      </c>
      <c r="CG12" s="14">
        <v>0</v>
      </c>
      <c r="CH12" s="14">
        <v>0</v>
      </c>
      <c r="CI12" s="14">
        <v>0</v>
      </c>
      <c r="CJ12" s="14">
        <v>0</v>
      </c>
      <c r="CK12" s="14">
        <v>0</v>
      </c>
      <c r="CL12" s="14">
        <v>0</v>
      </c>
      <c r="CM12" s="14">
        <v>0</v>
      </c>
      <c r="CN12" s="14">
        <v>0</v>
      </c>
      <c r="CO12" s="14">
        <v>0</v>
      </c>
      <c r="CP12" s="14">
        <v>0</v>
      </c>
      <c r="CQ12" s="14">
        <v>0</v>
      </c>
      <c r="CR12" s="14">
        <v>0</v>
      </c>
      <c r="CS12" s="14">
        <v>0</v>
      </c>
      <c r="CT12" s="14">
        <v>0</v>
      </c>
      <c r="CU12" s="14">
        <v>0</v>
      </c>
      <c r="CV12" s="14">
        <v>0</v>
      </c>
      <c r="CW12" s="14">
        <v>0</v>
      </c>
      <c r="CX12" s="14">
        <v>0</v>
      </c>
      <c r="CY12" s="14">
        <v>0</v>
      </c>
      <c r="CZ12" s="14">
        <v>0</v>
      </c>
      <c r="DA12" s="14">
        <v>0</v>
      </c>
      <c r="DB12" s="14">
        <v>0</v>
      </c>
      <c r="DC12" s="14">
        <v>0</v>
      </c>
      <c r="DD12" s="14">
        <v>0</v>
      </c>
      <c r="DE12" s="14">
        <v>0</v>
      </c>
      <c r="DF12" s="14">
        <v>0</v>
      </c>
      <c r="DG12" s="14">
        <v>0</v>
      </c>
      <c r="DH12" s="14">
        <v>0</v>
      </c>
      <c r="DI12" s="14">
        <v>0</v>
      </c>
    </row>
    <row r="13" spans="2:113" outlineLevel="1" x14ac:dyDescent="0.25">
      <c r="B13" s="10"/>
      <c r="C13" s="5" t="s">
        <v>117</v>
      </c>
      <c r="D13" s="46" t="s">
        <v>39</v>
      </c>
      <c r="E13" s="221"/>
      <c r="F13" s="14">
        <v>2.5000000000000001E-2</v>
      </c>
      <c r="G13" s="14">
        <v>0.02</v>
      </c>
      <c r="H13" s="14">
        <v>0.04</v>
      </c>
      <c r="I13" s="14">
        <v>4.4999999999999998E-2</v>
      </c>
      <c r="J13" s="14">
        <v>2.5000000000000001E-2</v>
      </c>
      <c r="K13" s="14">
        <v>1.4999999999999999E-2</v>
      </c>
      <c r="L13" s="14">
        <v>0.06</v>
      </c>
      <c r="M13" s="14">
        <v>0.03</v>
      </c>
      <c r="N13" s="14">
        <v>2.5000000000000001E-2</v>
      </c>
      <c r="O13" s="14">
        <v>1.4999999999999999E-2</v>
      </c>
      <c r="P13" s="14">
        <v>0.02</v>
      </c>
      <c r="Q13" s="14">
        <v>1.4999999999999999E-2</v>
      </c>
      <c r="R13" s="14">
        <v>3.5000000000000003E-2</v>
      </c>
      <c r="S13" s="14">
        <v>0.03</v>
      </c>
      <c r="T13" s="14">
        <v>0.02</v>
      </c>
      <c r="U13" s="14">
        <v>6.6000000000000003E-2</v>
      </c>
      <c r="V13" s="14">
        <v>0.01</v>
      </c>
      <c r="W13" s="14">
        <v>1.4E-2</v>
      </c>
      <c r="X13" s="14">
        <v>0.03</v>
      </c>
      <c r="Y13" s="14">
        <v>3.5000000000000003E-2</v>
      </c>
      <c r="Z13" s="14">
        <v>2.5000000000000001E-2</v>
      </c>
      <c r="AA13" s="14">
        <v>0.02</v>
      </c>
      <c r="AB13" s="14">
        <v>0.03</v>
      </c>
      <c r="AC13" s="14">
        <v>1.4999999999999999E-2</v>
      </c>
      <c r="AD13" s="14">
        <v>0.01</v>
      </c>
      <c r="AE13" s="14">
        <v>0.02</v>
      </c>
      <c r="AF13" s="14">
        <v>5.0000000000000001E-3</v>
      </c>
      <c r="AG13" s="14">
        <v>0.02</v>
      </c>
      <c r="AH13" s="14">
        <v>1.4999999999999999E-2</v>
      </c>
      <c r="AI13" s="14">
        <v>5.0000000000000001E-3</v>
      </c>
      <c r="AJ13" s="14">
        <v>1.4999999999999999E-2</v>
      </c>
      <c r="AK13" s="14">
        <v>2.5000000000000001E-2</v>
      </c>
      <c r="AL13" s="14">
        <v>0.01</v>
      </c>
      <c r="AM13" s="14">
        <v>0.02</v>
      </c>
      <c r="AN13" s="14">
        <v>0.01</v>
      </c>
      <c r="AO13" s="14">
        <v>0.03</v>
      </c>
      <c r="AP13" s="14">
        <v>0.01</v>
      </c>
      <c r="AQ13" s="14">
        <v>7.0000000000000001E-3</v>
      </c>
      <c r="AR13" s="14">
        <v>2.1000000000000001E-2</v>
      </c>
      <c r="AS13" s="14">
        <v>1.2999999999999999E-2</v>
      </c>
      <c r="AT13" s="14">
        <v>4.0000000000000001E-3</v>
      </c>
      <c r="AU13" s="14">
        <v>1.7000000000000001E-2</v>
      </c>
      <c r="AV13" s="14">
        <v>8.0000000000000002E-3</v>
      </c>
      <c r="AW13" s="14">
        <v>2.5000000000000001E-2</v>
      </c>
      <c r="AX13" s="14">
        <v>1E-3</v>
      </c>
      <c r="AY13" s="14">
        <v>7.0000000000000001E-3</v>
      </c>
      <c r="AZ13" s="14">
        <v>2E-3</v>
      </c>
      <c r="BA13" s="14">
        <v>3.5000000000000003E-2</v>
      </c>
      <c r="BB13" s="14">
        <v>0</v>
      </c>
      <c r="BC13" s="14">
        <v>0</v>
      </c>
      <c r="BD13" s="14">
        <v>0</v>
      </c>
      <c r="BE13" s="14">
        <v>0</v>
      </c>
      <c r="BF13" s="14">
        <v>0</v>
      </c>
      <c r="BG13" s="14">
        <v>0</v>
      </c>
      <c r="BH13" s="14">
        <v>0</v>
      </c>
      <c r="BI13" s="14">
        <v>0</v>
      </c>
      <c r="BJ13" s="14">
        <v>0</v>
      </c>
      <c r="BK13" s="14">
        <v>0</v>
      </c>
      <c r="BL13" s="14">
        <v>0</v>
      </c>
      <c r="BM13" s="14">
        <v>0</v>
      </c>
      <c r="BN13" s="14">
        <v>0</v>
      </c>
      <c r="BO13" s="14">
        <v>0</v>
      </c>
      <c r="BP13" s="14">
        <v>0</v>
      </c>
      <c r="BQ13" s="14">
        <v>0</v>
      </c>
      <c r="BR13" s="14">
        <v>0</v>
      </c>
      <c r="BS13" s="14">
        <v>0</v>
      </c>
      <c r="BT13" s="14">
        <v>0</v>
      </c>
      <c r="BU13" s="14">
        <v>0</v>
      </c>
      <c r="BV13" s="14">
        <v>0</v>
      </c>
      <c r="BW13" s="14">
        <v>0</v>
      </c>
      <c r="BX13" s="14">
        <v>0</v>
      </c>
      <c r="BY13" s="14">
        <v>0</v>
      </c>
      <c r="BZ13" s="14">
        <v>0</v>
      </c>
      <c r="CA13" s="14">
        <v>0</v>
      </c>
      <c r="CB13" s="14">
        <v>0</v>
      </c>
      <c r="CC13" s="14">
        <v>0</v>
      </c>
      <c r="CD13" s="14">
        <v>0</v>
      </c>
      <c r="CE13" s="14">
        <v>0</v>
      </c>
      <c r="CF13" s="14">
        <v>0</v>
      </c>
      <c r="CG13" s="14">
        <v>0</v>
      </c>
      <c r="CH13" s="14">
        <v>0</v>
      </c>
      <c r="CI13" s="14">
        <v>0</v>
      </c>
      <c r="CJ13" s="14">
        <v>0</v>
      </c>
      <c r="CK13" s="14">
        <v>0</v>
      </c>
      <c r="CL13" s="14">
        <v>0</v>
      </c>
      <c r="CM13" s="14">
        <v>0</v>
      </c>
      <c r="CN13" s="14">
        <v>0</v>
      </c>
      <c r="CO13" s="14">
        <v>0</v>
      </c>
      <c r="CP13" s="14">
        <v>0</v>
      </c>
      <c r="CQ13" s="14">
        <v>0</v>
      </c>
      <c r="CR13" s="14">
        <v>0</v>
      </c>
      <c r="CS13" s="14">
        <v>0</v>
      </c>
      <c r="CT13" s="14">
        <v>0</v>
      </c>
      <c r="CU13" s="14">
        <v>0</v>
      </c>
      <c r="CV13" s="14">
        <v>0</v>
      </c>
      <c r="CW13" s="14">
        <v>0</v>
      </c>
      <c r="CX13" s="14">
        <v>0</v>
      </c>
      <c r="CY13" s="14">
        <v>0</v>
      </c>
      <c r="CZ13" s="14">
        <v>0</v>
      </c>
      <c r="DA13" s="14">
        <v>0</v>
      </c>
      <c r="DB13" s="14">
        <v>0</v>
      </c>
      <c r="DC13" s="14">
        <v>0</v>
      </c>
      <c r="DD13" s="14">
        <v>0</v>
      </c>
      <c r="DE13" s="14">
        <v>0</v>
      </c>
      <c r="DF13" s="14">
        <v>0</v>
      </c>
      <c r="DG13" s="14">
        <v>0</v>
      </c>
      <c r="DH13" s="14">
        <v>0</v>
      </c>
      <c r="DI13" s="14">
        <v>0</v>
      </c>
    </row>
    <row r="14" spans="2:113" outlineLevel="1" x14ac:dyDescent="0.25">
      <c r="B14" s="10"/>
      <c r="C14" s="5" t="s">
        <v>95</v>
      </c>
      <c r="D14" s="46" t="s">
        <v>39</v>
      </c>
      <c r="E14" s="221"/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 s="14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4">
        <v>0</v>
      </c>
      <c r="AR14" s="14">
        <v>0</v>
      </c>
      <c r="AS14" s="14">
        <v>0</v>
      </c>
      <c r="AT14" s="14">
        <v>0</v>
      </c>
      <c r="AU14" s="14">
        <v>0</v>
      </c>
      <c r="AV14" s="14">
        <v>0</v>
      </c>
      <c r="AW14" s="14">
        <v>0</v>
      </c>
      <c r="AX14" s="14">
        <v>0</v>
      </c>
      <c r="AY14" s="14">
        <v>0</v>
      </c>
      <c r="AZ14" s="14">
        <v>0</v>
      </c>
      <c r="BA14" s="14">
        <v>1</v>
      </c>
      <c r="BB14" s="14">
        <v>0</v>
      </c>
      <c r="BC14" s="14">
        <v>0</v>
      </c>
      <c r="BD14" s="14">
        <v>0</v>
      </c>
      <c r="BE14" s="14">
        <v>0</v>
      </c>
      <c r="BF14" s="14">
        <v>0</v>
      </c>
      <c r="BG14" s="14">
        <v>0</v>
      </c>
      <c r="BH14" s="14">
        <v>0</v>
      </c>
      <c r="BI14" s="14">
        <v>0</v>
      </c>
      <c r="BJ14" s="14">
        <v>0</v>
      </c>
      <c r="BK14" s="14">
        <v>0</v>
      </c>
      <c r="BL14" s="14">
        <v>0</v>
      </c>
      <c r="BM14" s="14">
        <v>0</v>
      </c>
      <c r="BN14" s="14">
        <v>0</v>
      </c>
      <c r="BO14" s="14">
        <v>0</v>
      </c>
      <c r="BP14" s="14">
        <v>0</v>
      </c>
      <c r="BQ14" s="14">
        <v>0</v>
      </c>
      <c r="BR14" s="14">
        <v>0</v>
      </c>
      <c r="BS14" s="14">
        <v>0</v>
      </c>
      <c r="BT14" s="14">
        <v>0</v>
      </c>
      <c r="BU14" s="14">
        <v>0</v>
      </c>
      <c r="BV14" s="14">
        <v>0</v>
      </c>
      <c r="BW14" s="14">
        <v>0</v>
      </c>
      <c r="BX14" s="14">
        <v>0</v>
      </c>
      <c r="BY14" s="14">
        <v>0</v>
      </c>
      <c r="BZ14" s="14">
        <v>0</v>
      </c>
      <c r="CA14" s="14">
        <v>0</v>
      </c>
      <c r="CB14" s="14">
        <v>0</v>
      </c>
      <c r="CC14" s="14">
        <v>0</v>
      </c>
      <c r="CD14" s="14">
        <v>0</v>
      </c>
      <c r="CE14" s="14">
        <v>0</v>
      </c>
      <c r="CF14" s="14">
        <v>0</v>
      </c>
      <c r="CG14" s="14">
        <v>0</v>
      </c>
      <c r="CH14" s="14">
        <v>0</v>
      </c>
      <c r="CI14" s="14">
        <v>0</v>
      </c>
      <c r="CJ14" s="14">
        <v>0</v>
      </c>
      <c r="CK14" s="14">
        <v>0</v>
      </c>
      <c r="CL14" s="14">
        <v>0</v>
      </c>
      <c r="CM14" s="14">
        <v>0</v>
      </c>
      <c r="CN14" s="14">
        <v>0</v>
      </c>
      <c r="CO14" s="14">
        <v>0</v>
      </c>
      <c r="CP14" s="14">
        <v>0</v>
      </c>
      <c r="CQ14" s="14">
        <v>0</v>
      </c>
      <c r="CR14" s="14">
        <v>0</v>
      </c>
      <c r="CS14" s="14">
        <v>0</v>
      </c>
      <c r="CT14" s="14">
        <v>0</v>
      </c>
      <c r="CU14" s="14">
        <v>0</v>
      </c>
      <c r="CV14" s="14">
        <v>0</v>
      </c>
      <c r="CW14" s="14">
        <v>0</v>
      </c>
      <c r="CX14" s="14">
        <v>0</v>
      </c>
      <c r="CY14" s="14">
        <v>0</v>
      </c>
      <c r="CZ14" s="14">
        <v>0</v>
      </c>
      <c r="DA14" s="14">
        <v>0</v>
      </c>
      <c r="DB14" s="14">
        <v>0</v>
      </c>
      <c r="DC14" s="14">
        <v>0</v>
      </c>
      <c r="DD14" s="14">
        <v>0</v>
      </c>
      <c r="DE14" s="14">
        <v>0</v>
      </c>
      <c r="DF14" s="14">
        <v>0</v>
      </c>
      <c r="DG14" s="14">
        <v>0</v>
      </c>
      <c r="DH14" s="14">
        <v>0</v>
      </c>
      <c r="DI14" s="14">
        <v>0</v>
      </c>
    </row>
    <row r="15" spans="2:113" outlineLevel="1" x14ac:dyDescent="0.25">
      <c r="B15" s="10"/>
      <c r="D15" s="46"/>
      <c r="E15" s="10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2:113" outlineLevel="1" x14ac:dyDescent="0.25">
      <c r="B16" s="10"/>
      <c r="C16" s="20" t="s">
        <v>86</v>
      </c>
      <c r="D16" s="47" t="s">
        <v>107</v>
      </c>
      <c r="E16" s="10"/>
      <c r="F16" s="131">
        <f t="shared" ref="F16:AK16" si="45">+F11*Land_Acq_Costs</f>
        <v>75000000</v>
      </c>
      <c r="G16" s="131">
        <f t="shared" si="45"/>
        <v>0</v>
      </c>
      <c r="H16" s="131">
        <f t="shared" si="45"/>
        <v>0</v>
      </c>
      <c r="I16" s="131">
        <f t="shared" si="45"/>
        <v>0</v>
      </c>
      <c r="J16" s="131">
        <f t="shared" si="45"/>
        <v>0</v>
      </c>
      <c r="K16" s="131">
        <f t="shared" si="45"/>
        <v>75000000</v>
      </c>
      <c r="L16" s="131">
        <f t="shared" si="45"/>
        <v>0</v>
      </c>
      <c r="M16" s="131">
        <f t="shared" si="45"/>
        <v>0</v>
      </c>
      <c r="N16" s="131">
        <f t="shared" si="45"/>
        <v>0</v>
      </c>
      <c r="O16" s="131">
        <f t="shared" si="45"/>
        <v>0</v>
      </c>
      <c r="P16" s="131">
        <f t="shared" si="45"/>
        <v>0</v>
      </c>
      <c r="Q16" s="131">
        <f t="shared" si="45"/>
        <v>0</v>
      </c>
      <c r="R16" s="131">
        <f t="shared" si="45"/>
        <v>0</v>
      </c>
      <c r="S16" s="131">
        <f t="shared" si="45"/>
        <v>0</v>
      </c>
      <c r="T16" s="131">
        <f t="shared" si="45"/>
        <v>0</v>
      </c>
      <c r="U16" s="131">
        <f t="shared" si="45"/>
        <v>0</v>
      </c>
      <c r="V16" s="131">
        <f t="shared" si="45"/>
        <v>0</v>
      </c>
      <c r="W16" s="131">
        <f t="shared" si="45"/>
        <v>0</v>
      </c>
      <c r="X16" s="131">
        <f t="shared" si="45"/>
        <v>0</v>
      </c>
      <c r="Y16" s="131">
        <f t="shared" si="45"/>
        <v>0</v>
      </c>
      <c r="Z16" s="131">
        <f t="shared" si="45"/>
        <v>0</v>
      </c>
      <c r="AA16" s="131">
        <f t="shared" si="45"/>
        <v>0</v>
      </c>
      <c r="AB16" s="131">
        <f t="shared" si="45"/>
        <v>0</v>
      </c>
      <c r="AC16" s="131">
        <f t="shared" si="45"/>
        <v>0</v>
      </c>
      <c r="AD16" s="131">
        <f t="shared" si="45"/>
        <v>0</v>
      </c>
      <c r="AE16" s="131">
        <f t="shared" si="45"/>
        <v>0</v>
      </c>
      <c r="AF16" s="131">
        <f t="shared" si="45"/>
        <v>0</v>
      </c>
      <c r="AG16" s="131">
        <f t="shared" si="45"/>
        <v>0</v>
      </c>
      <c r="AH16" s="131">
        <f t="shared" si="45"/>
        <v>0</v>
      </c>
      <c r="AI16" s="131">
        <f t="shared" si="45"/>
        <v>0</v>
      </c>
      <c r="AJ16" s="131">
        <f t="shared" si="45"/>
        <v>0</v>
      </c>
      <c r="AK16" s="131">
        <f t="shared" si="45"/>
        <v>0</v>
      </c>
      <c r="AL16" s="131">
        <f t="shared" ref="AL16:BQ16" si="46">+AL11*Land_Acq_Costs</f>
        <v>0</v>
      </c>
      <c r="AM16" s="131">
        <f t="shared" si="46"/>
        <v>0</v>
      </c>
      <c r="AN16" s="131">
        <f t="shared" si="46"/>
        <v>0</v>
      </c>
      <c r="AO16" s="131">
        <f t="shared" si="46"/>
        <v>0</v>
      </c>
      <c r="AP16" s="131">
        <f t="shared" si="46"/>
        <v>0</v>
      </c>
      <c r="AQ16" s="131">
        <f t="shared" si="46"/>
        <v>0</v>
      </c>
      <c r="AR16" s="131">
        <f t="shared" si="46"/>
        <v>0</v>
      </c>
      <c r="AS16" s="131">
        <f t="shared" si="46"/>
        <v>0</v>
      </c>
      <c r="AT16" s="131">
        <f t="shared" si="46"/>
        <v>0</v>
      </c>
      <c r="AU16" s="131">
        <f t="shared" si="46"/>
        <v>0</v>
      </c>
      <c r="AV16" s="131">
        <f t="shared" si="46"/>
        <v>0</v>
      </c>
      <c r="AW16" s="131">
        <f t="shared" si="46"/>
        <v>0</v>
      </c>
      <c r="AX16" s="131">
        <f t="shared" si="46"/>
        <v>0</v>
      </c>
      <c r="AY16" s="131">
        <f t="shared" si="46"/>
        <v>0</v>
      </c>
      <c r="AZ16" s="131">
        <f t="shared" si="46"/>
        <v>0</v>
      </c>
      <c r="BA16" s="131">
        <f t="shared" si="46"/>
        <v>0</v>
      </c>
      <c r="BB16" s="131">
        <f t="shared" si="46"/>
        <v>0</v>
      </c>
      <c r="BC16" s="131">
        <f t="shared" si="46"/>
        <v>0</v>
      </c>
      <c r="BD16" s="131">
        <f t="shared" si="46"/>
        <v>0</v>
      </c>
      <c r="BE16" s="131">
        <f t="shared" si="46"/>
        <v>0</v>
      </c>
      <c r="BF16" s="131">
        <f t="shared" si="46"/>
        <v>0</v>
      </c>
      <c r="BG16" s="131">
        <f t="shared" si="46"/>
        <v>0</v>
      </c>
      <c r="BH16" s="131">
        <f t="shared" si="46"/>
        <v>0</v>
      </c>
      <c r="BI16" s="131">
        <f t="shared" si="46"/>
        <v>0</v>
      </c>
      <c r="BJ16" s="131">
        <f t="shared" si="46"/>
        <v>0</v>
      </c>
      <c r="BK16" s="131">
        <f t="shared" si="46"/>
        <v>0</v>
      </c>
      <c r="BL16" s="131">
        <f t="shared" si="46"/>
        <v>0</v>
      </c>
      <c r="BM16" s="131">
        <f t="shared" si="46"/>
        <v>0</v>
      </c>
      <c r="BN16" s="131">
        <f t="shared" si="46"/>
        <v>0</v>
      </c>
      <c r="BO16" s="131">
        <f t="shared" si="46"/>
        <v>0</v>
      </c>
      <c r="BP16" s="131">
        <f t="shared" si="46"/>
        <v>0</v>
      </c>
      <c r="BQ16" s="131">
        <f t="shared" si="46"/>
        <v>0</v>
      </c>
      <c r="BR16" s="131">
        <f t="shared" ref="BR16:CW16" si="47">+BR11*Land_Acq_Costs</f>
        <v>0</v>
      </c>
      <c r="BS16" s="131">
        <f t="shared" si="47"/>
        <v>0</v>
      </c>
      <c r="BT16" s="131">
        <f t="shared" si="47"/>
        <v>0</v>
      </c>
      <c r="BU16" s="131">
        <f t="shared" si="47"/>
        <v>0</v>
      </c>
      <c r="BV16" s="131">
        <f t="shared" si="47"/>
        <v>0</v>
      </c>
      <c r="BW16" s="131">
        <f t="shared" si="47"/>
        <v>0</v>
      </c>
      <c r="BX16" s="131">
        <f t="shared" si="47"/>
        <v>0</v>
      </c>
      <c r="BY16" s="131">
        <f t="shared" si="47"/>
        <v>0</v>
      </c>
      <c r="BZ16" s="131">
        <f t="shared" si="47"/>
        <v>0</v>
      </c>
      <c r="CA16" s="131">
        <f t="shared" si="47"/>
        <v>0</v>
      </c>
      <c r="CB16" s="131">
        <f t="shared" si="47"/>
        <v>0</v>
      </c>
      <c r="CC16" s="131">
        <f t="shared" si="47"/>
        <v>0</v>
      </c>
      <c r="CD16" s="131">
        <f t="shared" si="47"/>
        <v>0</v>
      </c>
      <c r="CE16" s="131">
        <f t="shared" si="47"/>
        <v>0</v>
      </c>
      <c r="CF16" s="131">
        <f t="shared" si="47"/>
        <v>0</v>
      </c>
      <c r="CG16" s="131">
        <f t="shared" si="47"/>
        <v>0</v>
      </c>
      <c r="CH16" s="131">
        <f t="shared" si="47"/>
        <v>0</v>
      </c>
      <c r="CI16" s="131">
        <f t="shared" si="47"/>
        <v>0</v>
      </c>
      <c r="CJ16" s="131">
        <f t="shared" si="47"/>
        <v>0</v>
      </c>
      <c r="CK16" s="131">
        <f t="shared" si="47"/>
        <v>0</v>
      </c>
      <c r="CL16" s="131">
        <f t="shared" si="47"/>
        <v>0</v>
      </c>
      <c r="CM16" s="131">
        <f t="shared" si="47"/>
        <v>0</v>
      </c>
      <c r="CN16" s="131">
        <f t="shared" si="47"/>
        <v>0</v>
      </c>
      <c r="CO16" s="131">
        <f t="shared" si="47"/>
        <v>0</v>
      </c>
      <c r="CP16" s="131">
        <f t="shared" si="47"/>
        <v>0</v>
      </c>
      <c r="CQ16" s="131">
        <f t="shared" si="47"/>
        <v>0</v>
      </c>
      <c r="CR16" s="131">
        <f t="shared" si="47"/>
        <v>0</v>
      </c>
      <c r="CS16" s="131">
        <f t="shared" si="47"/>
        <v>0</v>
      </c>
      <c r="CT16" s="131">
        <f t="shared" si="47"/>
        <v>0</v>
      </c>
      <c r="CU16" s="131">
        <f t="shared" si="47"/>
        <v>0</v>
      </c>
      <c r="CV16" s="131">
        <f t="shared" si="47"/>
        <v>0</v>
      </c>
      <c r="CW16" s="131">
        <f t="shared" si="47"/>
        <v>0</v>
      </c>
      <c r="CX16" s="131">
        <f t="shared" ref="CX16:DI16" si="48">+CX11*Land_Acq_Costs</f>
        <v>0</v>
      </c>
      <c r="CY16" s="131">
        <f t="shared" si="48"/>
        <v>0</v>
      </c>
      <c r="CZ16" s="131">
        <f t="shared" si="48"/>
        <v>0</v>
      </c>
      <c r="DA16" s="131">
        <f t="shared" si="48"/>
        <v>0</v>
      </c>
      <c r="DB16" s="131">
        <f t="shared" si="48"/>
        <v>0</v>
      </c>
      <c r="DC16" s="131">
        <f t="shared" si="48"/>
        <v>0</v>
      </c>
      <c r="DD16" s="131">
        <f t="shared" si="48"/>
        <v>0</v>
      </c>
      <c r="DE16" s="131">
        <f t="shared" si="48"/>
        <v>0</v>
      </c>
      <c r="DF16" s="131">
        <f t="shared" si="48"/>
        <v>0</v>
      </c>
      <c r="DG16" s="131">
        <f t="shared" si="48"/>
        <v>0</v>
      </c>
      <c r="DH16" s="131">
        <f t="shared" si="48"/>
        <v>0</v>
      </c>
      <c r="DI16" s="131">
        <f t="shared" si="48"/>
        <v>0</v>
      </c>
    </row>
    <row r="17" spans="3:113" outlineLevel="1" x14ac:dyDescent="0.25">
      <c r="C17" s="20" t="s">
        <v>118</v>
      </c>
      <c r="D17" s="47" t="s">
        <v>107</v>
      </c>
      <c r="F17" s="88">
        <f t="shared" ref="F17:AK17" si="49">+F12*Hard_Costs</f>
        <v>720000</v>
      </c>
      <c r="G17" s="88">
        <f t="shared" si="49"/>
        <v>720000</v>
      </c>
      <c r="H17" s="88">
        <f t="shared" si="49"/>
        <v>720000</v>
      </c>
      <c r="I17" s="88">
        <f t="shared" si="49"/>
        <v>720000</v>
      </c>
      <c r="J17" s="88">
        <f t="shared" si="49"/>
        <v>720000</v>
      </c>
      <c r="K17" s="88">
        <f t="shared" si="49"/>
        <v>1440000</v>
      </c>
      <c r="L17" s="88">
        <f t="shared" si="49"/>
        <v>2160000</v>
      </c>
      <c r="M17" s="88">
        <f t="shared" si="49"/>
        <v>2880000</v>
      </c>
      <c r="N17" s="88">
        <f t="shared" si="49"/>
        <v>4320000</v>
      </c>
      <c r="O17" s="88">
        <f t="shared" si="49"/>
        <v>7920000</v>
      </c>
      <c r="P17" s="88">
        <f t="shared" si="49"/>
        <v>11520000</v>
      </c>
      <c r="Q17" s="88">
        <f t="shared" si="49"/>
        <v>14400000</v>
      </c>
      <c r="R17" s="88">
        <f t="shared" si="49"/>
        <v>21600000</v>
      </c>
      <c r="S17" s="88">
        <f t="shared" si="49"/>
        <v>25200000.000000004</v>
      </c>
      <c r="T17" s="88">
        <f t="shared" si="49"/>
        <v>26640000</v>
      </c>
      <c r="U17" s="88">
        <f t="shared" si="49"/>
        <v>36000000</v>
      </c>
      <c r="V17" s="88">
        <f t="shared" si="49"/>
        <v>41040000</v>
      </c>
      <c r="W17" s="88">
        <f t="shared" si="49"/>
        <v>46080000</v>
      </c>
      <c r="X17" s="88">
        <f t="shared" si="49"/>
        <v>50400000.000000007</v>
      </c>
      <c r="Y17" s="88">
        <f t="shared" si="49"/>
        <v>51839999.999999993</v>
      </c>
      <c r="Z17" s="88">
        <f t="shared" si="49"/>
        <v>46800000</v>
      </c>
      <c r="AA17" s="88">
        <f t="shared" si="49"/>
        <v>46800000</v>
      </c>
      <c r="AB17" s="88">
        <f t="shared" si="49"/>
        <v>41040000</v>
      </c>
      <c r="AC17" s="88">
        <f t="shared" si="49"/>
        <v>37440000</v>
      </c>
      <c r="AD17" s="88">
        <f t="shared" si="49"/>
        <v>30240000.000000004</v>
      </c>
      <c r="AE17" s="88">
        <f t="shared" si="49"/>
        <v>25200000.000000004</v>
      </c>
      <c r="AF17" s="88">
        <f t="shared" si="49"/>
        <v>18000000</v>
      </c>
      <c r="AG17" s="88">
        <f t="shared" si="49"/>
        <v>14400000</v>
      </c>
      <c r="AH17" s="88">
        <f t="shared" si="49"/>
        <v>7200000</v>
      </c>
      <c r="AI17" s="88">
        <f t="shared" si="49"/>
        <v>7200000</v>
      </c>
      <c r="AJ17" s="88">
        <f t="shared" si="49"/>
        <v>5040000</v>
      </c>
      <c r="AK17" s="88">
        <f t="shared" si="49"/>
        <v>3600000</v>
      </c>
      <c r="AL17" s="88">
        <f t="shared" ref="AL17:BQ17" si="50">+AL12*Hard_Costs</f>
        <v>2880000</v>
      </c>
      <c r="AM17" s="88">
        <f t="shared" si="50"/>
        <v>2160000</v>
      </c>
      <c r="AN17" s="88">
        <f t="shared" si="50"/>
        <v>3600000</v>
      </c>
      <c r="AO17" s="88">
        <f t="shared" si="50"/>
        <v>3600000</v>
      </c>
      <c r="AP17" s="88">
        <f t="shared" si="50"/>
        <v>7200000</v>
      </c>
      <c r="AQ17" s="88">
        <f t="shared" si="50"/>
        <v>8640000</v>
      </c>
      <c r="AR17" s="88">
        <f t="shared" si="50"/>
        <v>4320000</v>
      </c>
      <c r="AS17" s="88">
        <f t="shared" si="50"/>
        <v>2880000</v>
      </c>
      <c r="AT17" s="88">
        <f t="shared" si="50"/>
        <v>12240000</v>
      </c>
      <c r="AU17" s="88">
        <f t="shared" si="50"/>
        <v>8640000</v>
      </c>
      <c r="AV17" s="88">
        <f t="shared" si="50"/>
        <v>2880000</v>
      </c>
      <c r="AW17" s="88">
        <f t="shared" si="50"/>
        <v>13680000</v>
      </c>
      <c r="AX17" s="88">
        <f t="shared" si="50"/>
        <v>2160000</v>
      </c>
      <c r="AY17" s="88">
        <f t="shared" si="50"/>
        <v>3600000</v>
      </c>
      <c r="AZ17" s="88">
        <f t="shared" si="50"/>
        <v>3600000</v>
      </c>
      <c r="BA17" s="88">
        <f t="shared" si="50"/>
        <v>7920000</v>
      </c>
      <c r="BB17" s="88">
        <f t="shared" si="50"/>
        <v>0</v>
      </c>
      <c r="BC17" s="88">
        <f t="shared" si="50"/>
        <v>0</v>
      </c>
      <c r="BD17" s="88">
        <f t="shared" si="50"/>
        <v>0</v>
      </c>
      <c r="BE17" s="88">
        <f t="shared" si="50"/>
        <v>0</v>
      </c>
      <c r="BF17" s="88">
        <f t="shared" si="50"/>
        <v>0</v>
      </c>
      <c r="BG17" s="88">
        <f t="shared" si="50"/>
        <v>0</v>
      </c>
      <c r="BH17" s="88">
        <f t="shared" si="50"/>
        <v>0</v>
      </c>
      <c r="BI17" s="88">
        <f t="shared" si="50"/>
        <v>0</v>
      </c>
      <c r="BJ17" s="88">
        <f t="shared" si="50"/>
        <v>0</v>
      </c>
      <c r="BK17" s="88">
        <f t="shared" si="50"/>
        <v>0</v>
      </c>
      <c r="BL17" s="88">
        <f t="shared" si="50"/>
        <v>0</v>
      </c>
      <c r="BM17" s="88">
        <f t="shared" si="50"/>
        <v>0</v>
      </c>
      <c r="BN17" s="88">
        <f t="shared" si="50"/>
        <v>0</v>
      </c>
      <c r="BO17" s="88">
        <f t="shared" si="50"/>
        <v>0</v>
      </c>
      <c r="BP17" s="88">
        <f t="shared" si="50"/>
        <v>0</v>
      </c>
      <c r="BQ17" s="88">
        <f t="shared" si="50"/>
        <v>0</v>
      </c>
      <c r="BR17" s="88">
        <f t="shared" ref="BR17:CW17" si="51">+BR12*Hard_Costs</f>
        <v>0</v>
      </c>
      <c r="BS17" s="88">
        <f t="shared" si="51"/>
        <v>0</v>
      </c>
      <c r="BT17" s="88">
        <f t="shared" si="51"/>
        <v>0</v>
      </c>
      <c r="BU17" s="88">
        <f t="shared" si="51"/>
        <v>0</v>
      </c>
      <c r="BV17" s="88">
        <f t="shared" si="51"/>
        <v>0</v>
      </c>
      <c r="BW17" s="88">
        <f t="shared" si="51"/>
        <v>0</v>
      </c>
      <c r="BX17" s="88">
        <f t="shared" si="51"/>
        <v>0</v>
      </c>
      <c r="BY17" s="88">
        <f t="shared" si="51"/>
        <v>0</v>
      </c>
      <c r="BZ17" s="88">
        <f t="shared" si="51"/>
        <v>0</v>
      </c>
      <c r="CA17" s="88">
        <f t="shared" si="51"/>
        <v>0</v>
      </c>
      <c r="CB17" s="88">
        <f t="shared" si="51"/>
        <v>0</v>
      </c>
      <c r="CC17" s="88">
        <f t="shared" si="51"/>
        <v>0</v>
      </c>
      <c r="CD17" s="88">
        <f t="shared" si="51"/>
        <v>0</v>
      </c>
      <c r="CE17" s="88">
        <f t="shared" si="51"/>
        <v>0</v>
      </c>
      <c r="CF17" s="88">
        <f t="shared" si="51"/>
        <v>0</v>
      </c>
      <c r="CG17" s="88">
        <f t="shared" si="51"/>
        <v>0</v>
      </c>
      <c r="CH17" s="88">
        <f t="shared" si="51"/>
        <v>0</v>
      </c>
      <c r="CI17" s="88">
        <f t="shared" si="51"/>
        <v>0</v>
      </c>
      <c r="CJ17" s="88">
        <f t="shared" si="51"/>
        <v>0</v>
      </c>
      <c r="CK17" s="88">
        <f t="shared" si="51"/>
        <v>0</v>
      </c>
      <c r="CL17" s="88">
        <f t="shared" si="51"/>
        <v>0</v>
      </c>
      <c r="CM17" s="88">
        <f t="shared" si="51"/>
        <v>0</v>
      </c>
      <c r="CN17" s="88">
        <f t="shared" si="51"/>
        <v>0</v>
      </c>
      <c r="CO17" s="88">
        <f t="shared" si="51"/>
        <v>0</v>
      </c>
      <c r="CP17" s="88">
        <f t="shared" si="51"/>
        <v>0</v>
      </c>
      <c r="CQ17" s="88">
        <f t="shared" si="51"/>
        <v>0</v>
      </c>
      <c r="CR17" s="88">
        <f t="shared" si="51"/>
        <v>0</v>
      </c>
      <c r="CS17" s="88">
        <f t="shared" si="51"/>
        <v>0</v>
      </c>
      <c r="CT17" s="88">
        <f t="shared" si="51"/>
        <v>0</v>
      </c>
      <c r="CU17" s="88">
        <f t="shared" si="51"/>
        <v>0</v>
      </c>
      <c r="CV17" s="88">
        <f t="shared" si="51"/>
        <v>0</v>
      </c>
      <c r="CW17" s="88">
        <f t="shared" si="51"/>
        <v>0</v>
      </c>
      <c r="CX17" s="88">
        <f t="shared" ref="CX17:DI17" si="52">+CX12*Hard_Costs</f>
        <v>0</v>
      </c>
      <c r="CY17" s="88">
        <f t="shared" si="52"/>
        <v>0</v>
      </c>
      <c r="CZ17" s="88">
        <f t="shared" si="52"/>
        <v>0</v>
      </c>
      <c r="DA17" s="88">
        <f t="shared" si="52"/>
        <v>0</v>
      </c>
      <c r="DB17" s="88">
        <f t="shared" si="52"/>
        <v>0</v>
      </c>
      <c r="DC17" s="88">
        <f t="shared" si="52"/>
        <v>0</v>
      </c>
      <c r="DD17" s="88">
        <f t="shared" si="52"/>
        <v>0</v>
      </c>
      <c r="DE17" s="88">
        <f t="shared" si="52"/>
        <v>0</v>
      </c>
      <c r="DF17" s="88">
        <f t="shared" si="52"/>
        <v>0</v>
      </c>
      <c r="DG17" s="88">
        <f t="shared" si="52"/>
        <v>0</v>
      </c>
      <c r="DH17" s="88">
        <f t="shared" si="52"/>
        <v>0</v>
      </c>
      <c r="DI17" s="88">
        <f t="shared" si="52"/>
        <v>0</v>
      </c>
    </row>
    <row r="18" spans="3:113" outlineLevel="1" x14ac:dyDescent="0.25">
      <c r="C18" s="20" t="s">
        <v>119</v>
      </c>
      <c r="D18" s="47" t="s">
        <v>107</v>
      </c>
      <c r="F18" s="88">
        <f t="shared" ref="F18:AK18" si="53">+F13*Soft_Costs</f>
        <v>2250000</v>
      </c>
      <c r="G18" s="88">
        <f t="shared" si="53"/>
        <v>1800000</v>
      </c>
      <c r="H18" s="88">
        <f t="shared" si="53"/>
        <v>3600000</v>
      </c>
      <c r="I18" s="88">
        <f t="shared" si="53"/>
        <v>4050000</v>
      </c>
      <c r="J18" s="88">
        <f t="shared" si="53"/>
        <v>2250000</v>
      </c>
      <c r="K18" s="88">
        <f t="shared" si="53"/>
        <v>1350000</v>
      </c>
      <c r="L18" s="88">
        <f t="shared" si="53"/>
        <v>5400000</v>
      </c>
      <c r="M18" s="88">
        <f t="shared" si="53"/>
        <v>2700000</v>
      </c>
      <c r="N18" s="88">
        <f t="shared" si="53"/>
        <v>2250000</v>
      </c>
      <c r="O18" s="88">
        <f t="shared" si="53"/>
        <v>1350000</v>
      </c>
      <c r="P18" s="88">
        <f t="shared" si="53"/>
        <v>1800000</v>
      </c>
      <c r="Q18" s="88">
        <f t="shared" si="53"/>
        <v>1350000</v>
      </c>
      <c r="R18" s="88">
        <f t="shared" si="53"/>
        <v>3150000.0000000005</v>
      </c>
      <c r="S18" s="88">
        <f t="shared" si="53"/>
        <v>2700000</v>
      </c>
      <c r="T18" s="88">
        <f t="shared" si="53"/>
        <v>1800000</v>
      </c>
      <c r="U18" s="88">
        <f t="shared" si="53"/>
        <v>5940000</v>
      </c>
      <c r="V18" s="88">
        <f t="shared" si="53"/>
        <v>900000</v>
      </c>
      <c r="W18" s="88">
        <f t="shared" si="53"/>
        <v>1260000</v>
      </c>
      <c r="X18" s="88">
        <f t="shared" si="53"/>
        <v>2700000</v>
      </c>
      <c r="Y18" s="88">
        <f t="shared" si="53"/>
        <v>3150000.0000000005</v>
      </c>
      <c r="Z18" s="88">
        <f t="shared" si="53"/>
        <v>2250000</v>
      </c>
      <c r="AA18" s="88">
        <f t="shared" si="53"/>
        <v>1800000</v>
      </c>
      <c r="AB18" s="88">
        <f t="shared" si="53"/>
        <v>2700000</v>
      </c>
      <c r="AC18" s="88">
        <f t="shared" si="53"/>
        <v>1350000</v>
      </c>
      <c r="AD18" s="88">
        <f t="shared" si="53"/>
        <v>900000</v>
      </c>
      <c r="AE18" s="88">
        <f t="shared" si="53"/>
        <v>1800000</v>
      </c>
      <c r="AF18" s="88">
        <f t="shared" si="53"/>
        <v>450000</v>
      </c>
      <c r="AG18" s="88">
        <f t="shared" si="53"/>
        <v>1800000</v>
      </c>
      <c r="AH18" s="88">
        <f t="shared" si="53"/>
        <v>1350000</v>
      </c>
      <c r="AI18" s="88">
        <f t="shared" si="53"/>
        <v>450000</v>
      </c>
      <c r="AJ18" s="88">
        <f t="shared" si="53"/>
        <v>1350000</v>
      </c>
      <c r="AK18" s="88">
        <f t="shared" si="53"/>
        <v>2250000</v>
      </c>
      <c r="AL18" s="88">
        <f t="shared" ref="AL18:BQ18" si="54">+AL13*Soft_Costs</f>
        <v>900000</v>
      </c>
      <c r="AM18" s="88">
        <f t="shared" si="54"/>
        <v>1800000</v>
      </c>
      <c r="AN18" s="88">
        <f t="shared" si="54"/>
        <v>900000</v>
      </c>
      <c r="AO18" s="88">
        <f t="shared" si="54"/>
        <v>2700000</v>
      </c>
      <c r="AP18" s="88">
        <f t="shared" si="54"/>
        <v>900000</v>
      </c>
      <c r="AQ18" s="88">
        <f t="shared" si="54"/>
        <v>630000</v>
      </c>
      <c r="AR18" s="88">
        <f t="shared" si="54"/>
        <v>1890000.0000000002</v>
      </c>
      <c r="AS18" s="88">
        <f t="shared" si="54"/>
        <v>1170000</v>
      </c>
      <c r="AT18" s="88">
        <f t="shared" si="54"/>
        <v>360000</v>
      </c>
      <c r="AU18" s="88">
        <f t="shared" si="54"/>
        <v>1530000</v>
      </c>
      <c r="AV18" s="88">
        <f t="shared" si="54"/>
        <v>720000</v>
      </c>
      <c r="AW18" s="88">
        <f t="shared" si="54"/>
        <v>2250000</v>
      </c>
      <c r="AX18" s="88">
        <f t="shared" si="54"/>
        <v>90000</v>
      </c>
      <c r="AY18" s="88">
        <f t="shared" si="54"/>
        <v>630000</v>
      </c>
      <c r="AZ18" s="88">
        <f t="shared" si="54"/>
        <v>180000</v>
      </c>
      <c r="BA18" s="88">
        <f t="shared" si="54"/>
        <v>3150000.0000000005</v>
      </c>
      <c r="BB18" s="88">
        <f t="shared" si="54"/>
        <v>0</v>
      </c>
      <c r="BC18" s="88">
        <f t="shared" si="54"/>
        <v>0</v>
      </c>
      <c r="BD18" s="88">
        <f t="shared" si="54"/>
        <v>0</v>
      </c>
      <c r="BE18" s="88">
        <f t="shared" si="54"/>
        <v>0</v>
      </c>
      <c r="BF18" s="88">
        <f t="shared" si="54"/>
        <v>0</v>
      </c>
      <c r="BG18" s="88">
        <f t="shared" si="54"/>
        <v>0</v>
      </c>
      <c r="BH18" s="88">
        <f t="shared" si="54"/>
        <v>0</v>
      </c>
      <c r="BI18" s="88">
        <f t="shared" si="54"/>
        <v>0</v>
      </c>
      <c r="BJ18" s="88">
        <f t="shared" si="54"/>
        <v>0</v>
      </c>
      <c r="BK18" s="88">
        <f t="shared" si="54"/>
        <v>0</v>
      </c>
      <c r="BL18" s="88">
        <f t="shared" si="54"/>
        <v>0</v>
      </c>
      <c r="BM18" s="88">
        <f t="shared" si="54"/>
        <v>0</v>
      </c>
      <c r="BN18" s="88">
        <f t="shared" si="54"/>
        <v>0</v>
      </c>
      <c r="BO18" s="88">
        <f t="shared" si="54"/>
        <v>0</v>
      </c>
      <c r="BP18" s="88">
        <f t="shared" si="54"/>
        <v>0</v>
      </c>
      <c r="BQ18" s="88">
        <f t="shared" si="54"/>
        <v>0</v>
      </c>
      <c r="BR18" s="88">
        <f t="shared" ref="BR18:CW18" si="55">+BR13*Soft_Costs</f>
        <v>0</v>
      </c>
      <c r="BS18" s="88">
        <f t="shared" si="55"/>
        <v>0</v>
      </c>
      <c r="BT18" s="88">
        <f t="shared" si="55"/>
        <v>0</v>
      </c>
      <c r="BU18" s="88">
        <f t="shared" si="55"/>
        <v>0</v>
      </c>
      <c r="BV18" s="88">
        <f t="shared" si="55"/>
        <v>0</v>
      </c>
      <c r="BW18" s="88">
        <f t="shared" si="55"/>
        <v>0</v>
      </c>
      <c r="BX18" s="88">
        <f t="shared" si="55"/>
        <v>0</v>
      </c>
      <c r="BY18" s="88">
        <f t="shared" si="55"/>
        <v>0</v>
      </c>
      <c r="BZ18" s="88">
        <f t="shared" si="55"/>
        <v>0</v>
      </c>
      <c r="CA18" s="88">
        <f t="shared" si="55"/>
        <v>0</v>
      </c>
      <c r="CB18" s="88">
        <f t="shared" si="55"/>
        <v>0</v>
      </c>
      <c r="CC18" s="88">
        <f t="shared" si="55"/>
        <v>0</v>
      </c>
      <c r="CD18" s="88">
        <f t="shared" si="55"/>
        <v>0</v>
      </c>
      <c r="CE18" s="88">
        <f t="shared" si="55"/>
        <v>0</v>
      </c>
      <c r="CF18" s="88">
        <f t="shared" si="55"/>
        <v>0</v>
      </c>
      <c r="CG18" s="88">
        <f t="shared" si="55"/>
        <v>0</v>
      </c>
      <c r="CH18" s="88">
        <f t="shared" si="55"/>
        <v>0</v>
      </c>
      <c r="CI18" s="88">
        <f t="shared" si="55"/>
        <v>0</v>
      </c>
      <c r="CJ18" s="88">
        <f t="shared" si="55"/>
        <v>0</v>
      </c>
      <c r="CK18" s="88">
        <f t="shared" si="55"/>
        <v>0</v>
      </c>
      <c r="CL18" s="88">
        <f t="shared" si="55"/>
        <v>0</v>
      </c>
      <c r="CM18" s="88">
        <f t="shared" si="55"/>
        <v>0</v>
      </c>
      <c r="CN18" s="88">
        <f t="shared" si="55"/>
        <v>0</v>
      </c>
      <c r="CO18" s="88">
        <f t="shared" si="55"/>
        <v>0</v>
      </c>
      <c r="CP18" s="88">
        <f t="shared" si="55"/>
        <v>0</v>
      </c>
      <c r="CQ18" s="88">
        <f t="shared" si="55"/>
        <v>0</v>
      </c>
      <c r="CR18" s="88">
        <f t="shared" si="55"/>
        <v>0</v>
      </c>
      <c r="CS18" s="88">
        <f t="shared" si="55"/>
        <v>0</v>
      </c>
      <c r="CT18" s="88">
        <f t="shared" si="55"/>
        <v>0</v>
      </c>
      <c r="CU18" s="88">
        <f t="shared" si="55"/>
        <v>0</v>
      </c>
      <c r="CV18" s="88">
        <f t="shared" si="55"/>
        <v>0</v>
      </c>
      <c r="CW18" s="88">
        <f t="shared" si="55"/>
        <v>0</v>
      </c>
      <c r="CX18" s="88">
        <f t="shared" ref="CX18:DI18" si="56">+CX13*Soft_Costs</f>
        <v>0</v>
      </c>
      <c r="CY18" s="88">
        <f t="shared" si="56"/>
        <v>0</v>
      </c>
      <c r="CZ18" s="88">
        <f t="shared" si="56"/>
        <v>0</v>
      </c>
      <c r="DA18" s="88">
        <f t="shared" si="56"/>
        <v>0</v>
      </c>
      <c r="DB18" s="88">
        <f t="shared" si="56"/>
        <v>0</v>
      </c>
      <c r="DC18" s="88">
        <f t="shared" si="56"/>
        <v>0</v>
      </c>
      <c r="DD18" s="88">
        <f t="shared" si="56"/>
        <v>0</v>
      </c>
      <c r="DE18" s="88">
        <f t="shared" si="56"/>
        <v>0</v>
      </c>
      <c r="DF18" s="88">
        <f t="shared" si="56"/>
        <v>0</v>
      </c>
      <c r="DG18" s="88">
        <f t="shared" si="56"/>
        <v>0</v>
      </c>
      <c r="DH18" s="88">
        <f t="shared" si="56"/>
        <v>0</v>
      </c>
      <c r="DI18" s="88">
        <f t="shared" si="56"/>
        <v>0</v>
      </c>
    </row>
    <row r="19" spans="3:113" outlineLevel="1" x14ac:dyDescent="0.25">
      <c r="C19" s="20" t="s">
        <v>96</v>
      </c>
      <c r="D19" s="130" t="s">
        <v>107</v>
      </c>
      <c r="F19" s="88">
        <f>+F14*Annual!$J$64</f>
        <v>0</v>
      </c>
      <c r="G19" s="88">
        <f>+G14*Annual!$J$64</f>
        <v>0</v>
      </c>
      <c r="H19" s="88">
        <f>+H14*Annual!$J$64</f>
        <v>0</v>
      </c>
      <c r="I19" s="88">
        <f>+I14*Annual!$J$64</f>
        <v>0</v>
      </c>
      <c r="J19" s="88">
        <f>+J14*Annual!$J$64</f>
        <v>0</v>
      </c>
      <c r="K19" s="88">
        <f>+K14*Annual!$J$64</f>
        <v>0</v>
      </c>
      <c r="L19" s="88">
        <f>+L14*Annual!$J$64</f>
        <v>0</v>
      </c>
      <c r="M19" s="88">
        <f>+M14*Annual!$J$64</f>
        <v>0</v>
      </c>
      <c r="N19" s="88">
        <f>+N14*Annual!$J$64</f>
        <v>0</v>
      </c>
      <c r="O19" s="88">
        <f>+O14*Annual!$J$64</f>
        <v>0</v>
      </c>
      <c r="P19" s="88">
        <f>+P14*Annual!$J$64</f>
        <v>0</v>
      </c>
      <c r="Q19" s="88">
        <f>+Q14*Annual!$J$64</f>
        <v>0</v>
      </c>
      <c r="R19" s="88">
        <f>+R14*Annual!$J$64</f>
        <v>0</v>
      </c>
      <c r="S19" s="88">
        <f>+S14*Annual!$J$64</f>
        <v>0</v>
      </c>
      <c r="T19" s="88">
        <f>+T14*Annual!$J$64</f>
        <v>0</v>
      </c>
      <c r="U19" s="88">
        <f>+U14*Annual!$J$64</f>
        <v>0</v>
      </c>
      <c r="V19" s="88">
        <f>+V14*Annual!$J$64</f>
        <v>0</v>
      </c>
      <c r="W19" s="88">
        <f>+W14*Annual!$J$64</f>
        <v>0</v>
      </c>
      <c r="X19" s="88">
        <f>+X14*Annual!$J$64</f>
        <v>0</v>
      </c>
      <c r="Y19" s="88">
        <f>+Y14*Annual!$J$64</f>
        <v>0</v>
      </c>
      <c r="Z19" s="88">
        <f>+Z14*Annual!$J$64</f>
        <v>0</v>
      </c>
      <c r="AA19" s="88">
        <f>+AA14*Annual!$J$64</f>
        <v>0</v>
      </c>
      <c r="AB19" s="88">
        <f>+AB14*Annual!$J$64</f>
        <v>0</v>
      </c>
      <c r="AC19" s="88">
        <f>+AC14*Annual!$J$64</f>
        <v>0</v>
      </c>
      <c r="AD19" s="88">
        <f>+AD14*Annual!$J$64</f>
        <v>0</v>
      </c>
      <c r="AE19" s="88">
        <f>+AE14*Annual!$J$64</f>
        <v>0</v>
      </c>
      <c r="AF19" s="88">
        <f>+AF14*Annual!$J$64</f>
        <v>0</v>
      </c>
      <c r="AG19" s="88">
        <f>+AG14*Annual!$J$64</f>
        <v>0</v>
      </c>
      <c r="AH19" s="88">
        <f>+AH14*Annual!$J$64</f>
        <v>0</v>
      </c>
      <c r="AI19" s="88">
        <f>+AI14*Annual!$J$64</f>
        <v>0</v>
      </c>
      <c r="AJ19" s="88">
        <f>+AJ14*Annual!$J$64</f>
        <v>0</v>
      </c>
      <c r="AK19" s="88">
        <f>+AK14*Annual!$J$64</f>
        <v>0</v>
      </c>
      <c r="AL19" s="88">
        <f>+AL14*Annual!$J$64</f>
        <v>0</v>
      </c>
      <c r="AM19" s="88">
        <f>+AM14*Annual!$J$64</f>
        <v>0</v>
      </c>
      <c r="AN19" s="88">
        <f>+AN14*Annual!$J$64</f>
        <v>0</v>
      </c>
      <c r="AO19" s="88">
        <f>+AO14*Annual!$J$64</f>
        <v>0</v>
      </c>
      <c r="AP19" s="88">
        <f>+AP14*Annual!$J$64</f>
        <v>0</v>
      </c>
      <c r="AQ19" s="88">
        <f>+AQ14*Annual!$J$64</f>
        <v>0</v>
      </c>
      <c r="AR19" s="88">
        <f>+AR14*Annual!$J$64</f>
        <v>0</v>
      </c>
      <c r="AS19" s="88">
        <f>+AS14*Annual!$J$64</f>
        <v>0</v>
      </c>
      <c r="AT19" s="88">
        <f>+AT14*Annual!$J$64</f>
        <v>0</v>
      </c>
      <c r="AU19" s="88">
        <f>+AU14*Annual!$J$64</f>
        <v>0</v>
      </c>
      <c r="AV19" s="88">
        <f>+AV14*Annual!$J$64</f>
        <v>0</v>
      </c>
      <c r="AW19" s="88">
        <f>+AW14*Annual!$J$64</f>
        <v>0</v>
      </c>
      <c r="AX19" s="88">
        <f>+AX14*Annual!$J$64</f>
        <v>0</v>
      </c>
      <c r="AY19" s="88">
        <f>+AY14*Annual!$J$64</f>
        <v>0</v>
      </c>
      <c r="AZ19" s="88">
        <f>+AZ14*Annual!$J$64</f>
        <v>0</v>
      </c>
      <c r="BA19" s="88">
        <f>+BA14*Annual!$J$64</f>
        <v>8370000</v>
      </c>
      <c r="BB19" s="88">
        <f>+BB14*Annual!$J$64</f>
        <v>0</v>
      </c>
      <c r="BC19" s="88">
        <f>+BC14*Annual!$J$64</f>
        <v>0</v>
      </c>
      <c r="BD19" s="88">
        <f>+BD14*Annual!$J$64</f>
        <v>0</v>
      </c>
      <c r="BE19" s="88">
        <f>+BE14*Annual!$J$64</f>
        <v>0</v>
      </c>
      <c r="BF19" s="88">
        <f>+BF14*Annual!$J$64</f>
        <v>0</v>
      </c>
      <c r="BG19" s="88">
        <f>+BG14*Annual!$J$64</f>
        <v>0</v>
      </c>
      <c r="BH19" s="88">
        <f>+BH14*Annual!$J$64</f>
        <v>0</v>
      </c>
      <c r="BI19" s="88">
        <f>+BI14*Annual!$J$64</f>
        <v>0</v>
      </c>
      <c r="BJ19" s="88">
        <f>+BJ14*Annual!$J$64</f>
        <v>0</v>
      </c>
      <c r="BK19" s="88">
        <f>+BK14*Annual!$J$64</f>
        <v>0</v>
      </c>
      <c r="BL19" s="88">
        <f>+BL14*Annual!$J$64</f>
        <v>0</v>
      </c>
      <c r="BM19" s="88">
        <f>+BM14*Annual!$J$64</f>
        <v>0</v>
      </c>
      <c r="BN19" s="88">
        <f>+BN14*Annual!$J$64</f>
        <v>0</v>
      </c>
      <c r="BO19" s="88">
        <f>+BO14*Annual!$J$64</f>
        <v>0</v>
      </c>
      <c r="BP19" s="88">
        <f>+BP14*Annual!$J$64</f>
        <v>0</v>
      </c>
      <c r="BQ19" s="88">
        <f>+BQ14*Annual!$J$64</f>
        <v>0</v>
      </c>
      <c r="BR19" s="88">
        <f>+BR14*Annual!$J$64</f>
        <v>0</v>
      </c>
      <c r="BS19" s="88">
        <f>+BS14*Annual!$J$64</f>
        <v>0</v>
      </c>
      <c r="BT19" s="88">
        <f>+BT14*Annual!$J$64</f>
        <v>0</v>
      </c>
      <c r="BU19" s="88">
        <f>+BU14*Annual!$J$64</f>
        <v>0</v>
      </c>
      <c r="BV19" s="88">
        <f>+BV14*Annual!$J$64</f>
        <v>0</v>
      </c>
      <c r="BW19" s="88">
        <f>+BW14*Annual!$J$64</f>
        <v>0</v>
      </c>
      <c r="BX19" s="88">
        <f>+BX14*Annual!$J$64</f>
        <v>0</v>
      </c>
      <c r="BY19" s="88">
        <f>+BY14*Annual!$J$64</f>
        <v>0</v>
      </c>
      <c r="BZ19" s="88">
        <f>+BZ14*Annual!$J$64</f>
        <v>0</v>
      </c>
      <c r="CA19" s="88">
        <f>+CA14*Annual!$J$64</f>
        <v>0</v>
      </c>
      <c r="CB19" s="88">
        <f>+CB14*Annual!$J$64</f>
        <v>0</v>
      </c>
      <c r="CC19" s="88">
        <f>+CC14*Annual!$J$64</f>
        <v>0</v>
      </c>
      <c r="CD19" s="88">
        <f>+CD14*Annual!$J$64</f>
        <v>0</v>
      </c>
      <c r="CE19" s="88">
        <f>+CE14*Annual!$J$64</f>
        <v>0</v>
      </c>
      <c r="CF19" s="88">
        <f>+CF14*Annual!$J$64</f>
        <v>0</v>
      </c>
      <c r="CG19" s="88">
        <f>+CG14*Annual!$J$64</f>
        <v>0</v>
      </c>
      <c r="CH19" s="88">
        <f>+CH14*Annual!$J$64</f>
        <v>0</v>
      </c>
      <c r="CI19" s="88">
        <f>+CI14*Annual!$J$64</f>
        <v>0</v>
      </c>
      <c r="CJ19" s="88">
        <f>+CJ14*Annual!$J$64</f>
        <v>0</v>
      </c>
      <c r="CK19" s="88">
        <f>+CK14*Annual!$J$64</f>
        <v>0</v>
      </c>
      <c r="CL19" s="88">
        <f>+CL14*Annual!$J$64</f>
        <v>0</v>
      </c>
      <c r="CM19" s="88">
        <f>+CM14*Annual!$J$64</f>
        <v>0</v>
      </c>
      <c r="CN19" s="88">
        <f>+CN14*Annual!$J$64</f>
        <v>0</v>
      </c>
      <c r="CO19" s="88">
        <f>+CO14*Annual!$J$64</f>
        <v>0</v>
      </c>
      <c r="CP19" s="88">
        <f>+CP14*Annual!$J$64</f>
        <v>0</v>
      </c>
      <c r="CQ19" s="88">
        <f>+CQ14*Annual!$J$64</f>
        <v>0</v>
      </c>
      <c r="CR19" s="88">
        <f>+CR14*Annual!$J$64</f>
        <v>0</v>
      </c>
      <c r="CS19" s="88">
        <f>+CS14*Annual!$J$64</f>
        <v>0</v>
      </c>
      <c r="CT19" s="88">
        <f>+CT14*Annual!$J$64</f>
        <v>0</v>
      </c>
      <c r="CU19" s="88">
        <f>+CU14*Annual!$J$64</f>
        <v>0</v>
      </c>
      <c r="CV19" s="88">
        <f>+CV14*Annual!$J$64</f>
        <v>0</v>
      </c>
      <c r="CW19" s="88">
        <f>+CW14*Annual!$J$64</f>
        <v>0</v>
      </c>
      <c r="CX19" s="88">
        <f>+CX14*Annual!$J$64</f>
        <v>0</v>
      </c>
      <c r="CY19" s="88">
        <f>+CY14*Annual!$J$64</f>
        <v>0</v>
      </c>
      <c r="CZ19" s="88">
        <f>+CZ14*Annual!$J$64</f>
        <v>0</v>
      </c>
      <c r="DA19" s="88">
        <f>+DA14*Annual!$J$64</f>
        <v>0</v>
      </c>
      <c r="DB19" s="88">
        <f>+DB14*Annual!$J$64</f>
        <v>0</v>
      </c>
      <c r="DC19" s="88">
        <f>+DC14*Annual!$J$64</f>
        <v>0</v>
      </c>
      <c r="DD19" s="88">
        <f>+DD14*Annual!$J$64</f>
        <v>0</v>
      </c>
      <c r="DE19" s="88">
        <f>+DE14*Annual!$J$64</f>
        <v>0</v>
      </c>
      <c r="DF19" s="88">
        <f>+DF14*Annual!$J$64</f>
        <v>0</v>
      </c>
      <c r="DG19" s="88">
        <f>+DG14*Annual!$J$64</f>
        <v>0</v>
      </c>
      <c r="DH19" s="88">
        <f>+DH14*Annual!$J$64</f>
        <v>0</v>
      </c>
      <c r="DI19" s="88">
        <f>+DI14*Annual!$J$64</f>
        <v>0</v>
      </c>
    </row>
    <row r="20" spans="3:113" outlineLevel="1" x14ac:dyDescent="0.25">
      <c r="C20" s="38" t="s">
        <v>87</v>
      </c>
      <c r="D20" s="47" t="s">
        <v>107</v>
      </c>
      <c r="E20" s="87"/>
      <c r="F20" s="161">
        <f>SUM(F16:F19)</f>
        <v>77970000</v>
      </c>
      <c r="G20" s="161">
        <f t="shared" ref="G20:BR20" si="57">SUM(G16:G19)</f>
        <v>2520000</v>
      </c>
      <c r="H20" s="161">
        <f t="shared" si="57"/>
        <v>4320000</v>
      </c>
      <c r="I20" s="161">
        <f t="shared" si="57"/>
        <v>4770000</v>
      </c>
      <c r="J20" s="161">
        <f t="shared" si="57"/>
        <v>2970000</v>
      </c>
      <c r="K20" s="161">
        <f t="shared" si="57"/>
        <v>77790000</v>
      </c>
      <c r="L20" s="161">
        <f t="shared" si="57"/>
        <v>7560000</v>
      </c>
      <c r="M20" s="161">
        <f t="shared" si="57"/>
        <v>5580000</v>
      </c>
      <c r="N20" s="161">
        <f t="shared" si="57"/>
        <v>6570000</v>
      </c>
      <c r="O20" s="161">
        <f t="shared" si="57"/>
        <v>9270000</v>
      </c>
      <c r="P20" s="161">
        <f t="shared" si="57"/>
        <v>13320000</v>
      </c>
      <c r="Q20" s="161">
        <f t="shared" si="57"/>
        <v>15750000</v>
      </c>
      <c r="R20" s="161">
        <f t="shared" si="57"/>
        <v>24750000</v>
      </c>
      <c r="S20" s="161">
        <f t="shared" si="57"/>
        <v>27900000.000000004</v>
      </c>
      <c r="T20" s="161">
        <f t="shared" si="57"/>
        <v>28440000</v>
      </c>
      <c r="U20" s="161">
        <f t="shared" si="57"/>
        <v>41940000</v>
      </c>
      <c r="V20" s="161">
        <f t="shared" si="57"/>
        <v>41940000</v>
      </c>
      <c r="W20" s="161">
        <f t="shared" si="57"/>
        <v>47340000</v>
      </c>
      <c r="X20" s="161">
        <f t="shared" si="57"/>
        <v>53100000.000000007</v>
      </c>
      <c r="Y20" s="161">
        <f t="shared" si="57"/>
        <v>54989999.999999993</v>
      </c>
      <c r="Z20" s="161">
        <f t="shared" si="57"/>
        <v>49050000</v>
      </c>
      <c r="AA20" s="161">
        <f t="shared" si="57"/>
        <v>48600000</v>
      </c>
      <c r="AB20" s="161">
        <f t="shared" si="57"/>
        <v>43740000</v>
      </c>
      <c r="AC20" s="161">
        <f t="shared" si="57"/>
        <v>38790000</v>
      </c>
      <c r="AD20" s="161">
        <f t="shared" si="57"/>
        <v>31140000.000000004</v>
      </c>
      <c r="AE20" s="161">
        <f t="shared" si="57"/>
        <v>27000000.000000004</v>
      </c>
      <c r="AF20" s="161">
        <f t="shared" si="57"/>
        <v>18450000</v>
      </c>
      <c r="AG20" s="161">
        <f t="shared" si="57"/>
        <v>16200000</v>
      </c>
      <c r="AH20" s="161">
        <f t="shared" si="57"/>
        <v>8550000</v>
      </c>
      <c r="AI20" s="161">
        <f t="shared" si="57"/>
        <v>7650000</v>
      </c>
      <c r="AJ20" s="161">
        <f t="shared" si="57"/>
        <v>6390000</v>
      </c>
      <c r="AK20" s="161">
        <f t="shared" si="57"/>
        <v>5850000</v>
      </c>
      <c r="AL20" s="161">
        <f t="shared" si="57"/>
        <v>3780000</v>
      </c>
      <c r="AM20" s="161">
        <f t="shared" si="57"/>
        <v>3960000</v>
      </c>
      <c r="AN20" s="161">
        <f t="shared" si="57"/>
        <v>4500000</v>
      </c>
      <c r="AO20" s="161">
        <f t="shared" si="57"/>
        <v>6300000</v>
      </c>
      <c r="AP20" s="161">
        <f t="shared" si="57"/>
        <v>8100000</v>
      </c>
      <c r="AQ20" s="161">
        <f t="shared" si="57"/>
        <v>9270000</v>
      </c>
      <c r="AR20" s="161">
        <f t="shared" si="57"/>
        <v>6210000</v>
      </c>
      <c r="AS20" s="161">
        <f t="shared" si="57"/>
        <v>4050000</v>
      </c>
      <c r="AT20" s="161">
        <f t="shared" si="57"/>
        <v>12600000</v>
      </c>
      <c r="AU20" s="161">
        <f t="shared" si="57"/>
        <v>10170000</v>
      </c>
      <c r="AV20" s="161">
        <f t="shared" si="57"/>
        <v>3600000</v>
      </c>
      <c r="AW20" s="161">
        <f t="shared" si="57"/>
        <v>15930000</v>
      </c>
      <c r="AX20" s="161">
        <f t="shared" si="57"/>
        <v>2250000</v>
      </c>
      <c r="AY20" s="161">
        <f t="shared" si="57"/>
        <v>4230000</v>
      </c>
      <c r="AZ20" s="161">
        <f t="shared" si="57"/>
        <v>3780000</v>
      </c>
      <c r="BA20" s="161">
        <f t="shared" si="57"/>
        <v>19440000</v>
      </c>
      <c r="BB20" s="161">
        <f t="shared" si="57"/>
        <v>0</v>
      </c>
      <c r="BC20" s="161">
        <f t="shared" si="57"/>
        <v>0</v>
      </c>
      <c r="BD20" s="161">
        <f t="shared" si="57"/>
        <v>0</v>
      </c>
      <c r="BE20" s="161">
        <f t="shared" si="57"/>
        <v>0</v>
      </c>
      <c r="BF20" s="161">
        <f t="shared" si="57"/>
        <v>0</v>
      </c>
      <c r="BG20" s="161">
        <f t="shared" si="57"/>
        <v>0</v>
      </c>
      <c r="BH20" s="161">
        <f t="shared" si="57"/>
        <v>0</v>
      </c>
      <c r="BI20" s="161">
        <f t="shared" si="57"/>
        <v>0</v>
      </c>
      <c r="BJ20" s="161">
        <f t="shared" si="57"/>
        <v>0</v>
      </c>
      <c r="BK20" s="161">
        <f t="shared" si="57"/>
        <v>0</v>
      </c>
      <c r="BL20" s="161">
        <f t="shared" si="57"/>
        <v>0</v>
      </c>
      <c r="BM20" s="161">
        <f t="shared" si="57"/>
        <v>0</v>
      </c>
      <c r="BN20" s="161">
        <f t="shared" si="57"/>
        <v>0</v>
      </c>
      <c r="BO20" s="161">
        <f t="shared" si="57"/>
        <v>0</v>
      </c>
      <c r="BP20" s="161">
        <f t="shared" si="57"/>
        <v>0</v>
      </c>
      <c r="BQ20" s="161">
        <f t="shared" si="57"/>
        <v>0</v>
      </c>
      <c r="BR20" s="161">
        <f t="shared" si="57"/>
        <v>0</v>
      </c>
      <c r="BS20" s="161">
        <f t="shared" ref="BS20:DI20" si="58">SUM(BS16:BS19)</f>
        <v>0</v>
      </c>
      <c r="BT20" s="161">
        <f t="shared" si="58"/>
        <v>0</v>
      </c>
      <c r="BU20" s="161">
        <f t="shared" si="58"/>
        <v>0</v>
      </c>
      <c r="BV20" s="161">
        <f t="shared" si="58"/>
        <v>0</v>
      </c>
      <c r="BW20" s="161">
        <f t="shared" si="58"/>
        <v>0</v>
      </c>
      <c r="BX20" s="161">
        <f t="shared" si="58"/>
        <v>0</v>
      </c>
      <c r="BY20" s="161">
        <f t="shared" si="58"/>
        <v>0</v>
      </c>
      <c r="BZ20" s="161">
        <f t="shared" si="58"/>
        <v>0</v>
      </c>
      <c r="CA20" s="161">
        <f t="shared" si="58"/>
        <v>0</v>
      </c>
      <c r="CB20" s="161">
        <f t="shared" si="58"/>
        <v>0</v>
      </c>
      <c r="CC20" s="161">
        <f t="shared" si="58"/>
        <v>0</v>
      </c>
      <c r="CD20" s="161">
        <f t="shared" si="58"/>
        <v>0</v>
      </c>
      <c r="CE20" s="161">
        <f t="shared" si="58"/>
        <v>0</v>
      </c>
      <c r="CF20" s="161">
        <f t="shared" si="58"/>
        <v>0</v>
      </c>
      <c r="CG20" s="161">
        <f t="shared" si="58"/>
        <v>0</v>
      </c>
      <c r="CH20" s="161">
        <f t="shared" si="58"/>
        <v>0</v>
      </c>
      <c r="CI20" s="161">
        <f t="shared" si="58"/>
        <v>0</v>
      </c>
      <c r="CJ20" s="161">
        <f t="shared" si="58"/>
        <v>0</v>
      </c>
      <c r="CK20" s="161">
        <f t="shared" si="58"/>
        <v>0</v>
      </c>
      <c r="CL20" s="161">
        <f t="shared" si="58"/>
        <v>0</v>
      </c>
      <c r="CM20" s="161">
        <f t="shared" si="58"/>
        <v>0</v>
      </c>
      <c r="CN20" s="161">
        <f t="shared" si="58"/>
        <v>0</v>
      </c>
      <c r="CO20" s="161">
        <f t="shared" si="58"/>
        <v>0</v>
      </c>
      <c r="CP20" s="161">
        <f t="shared" si="58"/>
        <v>0</v>
      </c>
      <c r="CQ20" s="161">
        <f t="shared" si="58"/>
        <v>0</v>
      </c>
      <c r="CR20" s="161">
        <f t="shared" si="58"/>
        <v>0</v>
      </c>
      <c r="CS20" s="161">
        <f t="shared" si="58"/>
        <v>0</v>
      </c>
      <c r="CT20" s="161">
        <f t="shared" si="58"/>
        <v>0</v>
      </c>
      <c r="CU20" s="161">
        <f t="shared" si="58"/>
        <v>0</v>
      </c>
      <c r="CV20" s="161">
        <f t="shared" si="58"/>
        <v>0</v>
      </c>
      <c r="CW20" s="161">
        <f t="shared" si="58"/>
        <v>0</v>
      </c>
      <c r="CX20" s="161">
        <f t="shared" si="58"/>
        <v>0</v>
      </c>
      <c r="CY20" s="161">
        <f t="shared" si="58"/>
        <v>0</v>
      </c>
      <c r="CZ20" s="161">
        <f t="shared" si="58"/>
        <v>0</v>
      </c>
      <c r="DA20" s="161">
        <f t="shared" si="58"/>
        <v>0</v>
      </c>
      <c r="DB20" s="161">
        <f t="shared" si="58"/>
        <v>0</v>
      </c>
      <c r="DC20" s="161">
        <f t="shared" si="58"/>
        <v>0</v>
      </c>
      <c r="DD20" s="161">
        <f t="shared" si="58"/>
        <v>0</v>
      </c>
      <c r="DE20" s="161">
        <f t="shared" si="58"/>
        <v>0</v>
      </c>
      <c r="DF20" s="161">
        <f t="shared" si="58"/>
        <v>0</v>
      </c>
      <c r="DG20" s="161">
        <f t="shared" si="58"/>
        <v>0</v>
      </c>
      <c r="DH20" s="161">
        <f t="shared" si="58"/>
        <v>0</v>
      </c>
      <c r="DI20" s="161">
        <f t="shared" si="58"/>
        <v>0</v>
      </c>
    </row>
    <row r="21" spans="3:113" outlineLevel="1" x14ac:dyDescent="0.25"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</row>
    <row r="22" spans="3:113" outlineLevel="1" x14ac:dyDescent="0.25">
      <c r="C22" s="5" t="s">
        <v>10</v>
      </c>
      <c r="D22" s="47" t="s">
        <v>107</v>
      </c>
      <c r="E22" s="16">
        <f>SUM(Annual!E62:E63)</f>
        <v>415237056</v>
      </c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</row>
    <row r="23" spans="3:113" outlineLevel="1" x14ac:dyDescent="0.25">
      <c r="C23" s="5" t="s">
        <v>11</v>
      </c>
      <c r="D23" s="47" t="s">
        <v>107</v>
      </c>
      <c r="F23" s="16">
        <f>MIN(F20,Max_Equity-SUM($E23:E23))</f>
        <v>77970000</v>
      </c>
      <c r="G23" s="16">
        <f>MIN(G20,Max_Equity-SUM($E23:F23))</f>
        <v>2520000</v>
      </c>
      <c r="H23" s="16">
        <f>MIN(H20,Max_Equity-SUM($E23:G23))</f>
        <v>4320000</v>
      </c>
      <c r="I23" s="16">
        <f>MIN(I20,Max_Equity-SUM($E23:H23))</f>
        <v>4770000</v>
      </c>
      <c r="J23" s="16">
        <f>MIN(J20,Max_Equity-SUM($E23:I23))</f>
        <v>2970000</v>
      </c>
      <c r="K23" s="16">
        <f>MIN(K20,Max_Equity-SUM($E23:J23))</f>
        <v>77790000</v>
      </c>
      <c r="L23" s="16">
        <f>MIN(L20,Max_Equity-SUM($E23:K23))</f>
        <v>7560000</v>
      </c>
      <c r="M23" s="16">
        <f>MIN(M20,Max_Equity-SUM($E23:L23))</f>
        <v>5580000</v>
      </c>
      <c r="N23" s="16">
        <f>MIN(N20,Max_Equity-SUM($E23:M23))</f>
        <v>6570000</v>
      </c>
      <c r="O23" s="16">
        <f>MIN(O20,Max_Equity-SUM($E23:N23))</f>
        <v>9270000</v>
      </c>
      <c r="P23" s="16">
        <f>MIN(P20,Max_Equity-SUM($E23:O23))</f>
        <v>13320000</v>
      </c>
      <c r="Q23" s="16">
        <f>MIN(Q20,Max_Equity-SUM($E23:P23))</f>
        <v>15750000</v>
      </c>
      <c r="R23" s="16">
        <f>MIN(R20,Max_Equity-SUM($E23:Q23))</f>
        <v>24750000</v>
      </c>
      <c r="S23" s="16">
        <f>MIN(S20,Max_Equity-SUM($E23:R23))</f>
        <v>27900000.000000004</v>
      </c>
      <c r="T23" s="16">
        <f>MIN(T20,Max_Equity-SUM($E23:S23))</f>
        <v>28440000</v>
      </c>
      <c r="U23" s="16">
        <f>MIN(U20,Max_Equity-SUM($E23:T23))</f>
        <v>41940000</v>
      </c>
      <c r="V23" s="16">
        <f>MIN(V20,Max_Equity-SUM($E23:U23))</f>
        <v>41940000</v>
      </c>
      <c r="W23" s="16">
        <f>MIN(W20,Max_Equity-SUM($E23:V23))</f>
        <v>21877056</v>
      </c>
      <c r="X23" s="16">
        <f>MIN(X20,Max_Equity-SUM($E23:W23))</f>
        <v>0</v>
      </c>
      <c r="Y23" s="16">
        <f>MIN(Y20,Max_Equity-SUM($E23:X23))</f>
        <v>0</v>
      </c>
      <c r="Z23" s="16">
        <f>MIN(Z20,Max_Equity-SUM($E23:Y23))</f>
        <v>0</v>
      </c>
      <c r="AA23" s="16">
        <f>MIN(AA20,Max_Equity-SUM($E23:Z23))</f>
        <v>0</v>
      </c>
      <c r="AB23" s="16">
        <f>MIN(AB20,Max_Equity-SUM($E23:AA23))</f>
        <v>0</v>
      </c>
      <c r="AC23" s="16">
        <f>MIN(AC20,Max_Equity-SUM($E23:AB23))</f>
        <v>0</v>
      </c>
      <c r="AD23" s="16">
        <f>MIN(AD20,Max_Equity-SUM($E23:AC23))</f>
        <v>0</v>
      </c>
      <c r="AE23" s="16">
        <f>MIN(AE20,Max_Equity-SUM($E23:AD23))</f>
        <v>0</v>
      </c>
      <c r="AF23" s="16">
        <f>MIN(AF20,Max_Equity-SUM($E23:AE23))</f>
        <v>0</v>
      </c>
      <c r="AG23" s="16">
        <f>MIN(AG20,Max_Equity-SUM($E23:AF23))</f>
        <v>0</v>
      </c>
      <c r="AH23" s="16">
        <f>MIN(AH20,Max_Equity-SUM($E23:AG23))</f>
        <v>0</v>
      </c>
      <c r="AI23" s="16">
        <f>MIN(AI20,Max_Equity-SUM($E23:AH23))</f>
        <v>0</v>
      </c>
      <c r="AJ23" s="16">
        <f>MIN(AJ20,Max_Equity-SUM($E23:AI23))</f>
        <v>0</v>
      </c>
      <c r="AK23" s="16">
        <f>MIN(AK20,Max_Equity-SUM($E23:AJ23))</f>
        <v>0</v>
      </c>
      <c r="AL23" s="16">
        <f>MIN(AL20,Max_Equity-SUM($E23:AK23))</f>
        <v>0</v>
      </c>
      <c r="AM23" s="16">
        <f>MIN(AM20,Max_Equity-SUM($E23:AL23))</f>
        <v>0</v>
      </c>
      <c r="AN23" s="16">
        <f>MIN(AN20,Max_Equity-SUM($E23:AM23))</f>
        <v>0</v>
      </c>
      <c r="AO23" s="16">
        <f>MIN(AO20,Max_Equity-SUM($E23:AN23))</f>
        <v>0</v>
      </c>
      <c r="AP23" s="16">
        <f>MIN(AP20,Max_Equity-SUM($E23:AO23))</f>
        <v>0</v>
      </c>
      <c r="AQ23" s="16">
        <f>MIN(AQ20,Max_Equity-SUM($E23:AP23))</f>
        <v>0</v>
      </c>
      <c r="AR23" s="16">
        <f>MIN(AR20,Max_Equity-SUM($E23:AQ23))</f>
        <v>0</v>
      </c>
      <c r="AS23" s="16">
        <f>MIN(AS20,Max_Equity-SUM($E23:AR23))</f>
        <v>0</v>
      </c>
      <c r="AT23" s="16">
        <f>MIN(AT20,Max_Equity-SUM($E23:AS23))</f>
        <v>0</v>
      </c>
      <c r="AU23" s="16">
        <f>MIN(AU20,Max_Equity-SUM($E23:AT23))</f>
        <v>0</v>
      </c>
      <c r="AV23" s="16">
        <f>MIN(AV20,Max_Equity-SUM($E23:AU23))</f>
        <v>0</v>
      </c>
      <c r="AW23" s="16">
        <f>MIN(AW20,Max_Equity-SUM($E23:AV23))</f>
        <v>0</v>
      </c>
      <c r="AX23" s="16">
        <f>MIN(AX20,Max_Equity-SUM($E23:AW23))</f>
        <v>0</v>
      </c>
      <c r="AY23" s="16">
        <f>MIN(AY20,Max_Equity-SUM($E23:AX23))</f>
        <v>0</v>
      </c>
      <c r="AZ23" s="16">
        <f>MIN(AZ20,Max_Equity-SUM($E23:AY23))</f>
        <v>0</v>
      </c>
      <c r="BA23" s="16">
        <f>MIN(BA20,Max_Equity-SUM($E23:AZ23))</f>
        <v>0</v>
      </c>
      <c r="BB23" s="16">
        <f>MIN(BB20,Max_Equity-SUM($E23:BA23))</f>
        <v>0</v>
      </c>
      <c r="BC23" s="16">
        <f>MIN(BC20,Max_Equity-SUM($E23:BB23))</f>
        <v>0</v>
      </c>
      <c r="BD23" s="16">
        <f>MIN(BD20,Max_Equity-SUM($E23:BC23))</f>
        <v>0</v>
      </c>
      <c r="BE23" s="16">
        <f>MIN(BE20,Max_Equity-SUM($E23:BD23))</f>
        <v>0</v>
      </c>
      <c r="BF23" s="16">
        <f>MIN(BF20,Max_Equity-SUM($E23:BE23))</f>
        <v>0</v>
      </c>
      <c r="BG23" s="16">
        <f>MIN(BG20,Max_Equity-SUM($E23:BF23))</f>
        <v>0</v>
      </c>
      <c r="BH23" s="16">
        <f>MIN(BH20,Max_Equity-SUM($E23:BG23))</f>
        <v>0</v>
      </c>
      <c r="BI23" s="16">
        <f>MIN(BI20,Max_Equity-SUM($E23:BH23))</f>
        <v>0</v>
      </c>
      <c r="BJ23" s="16">
        <f>MIN(BJ20,Max_Equity-SUM($E23:BI23))</f>
        <v>0</v>
      </c>
      <c r="BK23" s="16">
        <f>MIN(BK20,Max_Equity-SUM($E23:BJ23))</f>
        <v>0</v>
      </c>
      <c r="BL23" s="16">
        <f>MIN(BL20,Max_Equity-SUM($E23:BK23))</f>
        <v>0</v>
      </c>
      <c r="BM23" s="16">
        <f>MIN(BM20,Max_Equity-SUM($E23:BL23))</f>
        <v>0</v>
      </c>
      <c r="BN23" s="16">
        <f>MIN(BN20,Max_Equity-SUM($E23:BM23))</f>
        <v>0</v>
      </c>
      <c r="BO23" s="16">
        <f>MIN(BO20,Max_Equity-SUM($E23:BN23))</f>
        <v>0</v>
      </c>
      <c r="BP23" s="16">
        <f>MIN(BP20,Max_Equity-SUM($E23:BO23))</f>
        <v>0</v>
      </c>
      <c r="BQ23" s="16">
        <f>MIN(BQ20,Max_Equity-SUM($E23:BP23))</f>
        <v>0</v>
      </c>
      <c r="BR23" s="16">
        <f>MIN(BR20,Max_Equity-SUM($E23:BQ23))</f>
        <v>0</v>
      </c>
      <c r="BS23" s="16">
        <f>MIN(BS20,Max_Equity-SUM($E23:BR23))</f>
        <v>0</v>
      </c>
      <c r="BT23" s="16">
        <f>MIN(BT20,Max_Equity-SUM($E23:BS23))</f>
        <v>0</v>
      </c>
      <c r="BU23" s="16">
        <f>MIN(BU20,Max_Equity-SUM($E23:BT23))</f>
        <v>0</v>
      </c>
      <c r="BV23" s="16">
        <f>MIN(BV20,Max_Equity-SUM($E23:BU23))</f>
        <v>0</v>
      </c>
      <c r="BW23" s="16">
        <f>MIN(BW20,Max_Equity-SUM($E23:BV23))</f>
        <v>0</v>
      </c>
      <c r="BX23" s="16">
        <f>MIN(BX20,Max_Equity-SUM($E23:BW23))</f>
        <v>0</v>
      </c>
      <c r="BY23" s="16">
        <f>MIN(BY20,Max_Equity-SUM($E23:BX23))</f>
        <v>0</v>
      </c>
      <c r="BZ23" s="16">
        <f>MIN(BZ20,Max_Equity-SUM($E23:BY23))</f>
        <v>0</v>
      </c>
      <c r="CA23" s="16">
        <f>MIN(CA20,Max_Equity-SUM($E23:BZ23))</f>
        <v>0</v>
      </c>
      <c r="CB23" s="16">
        <f>MIN(CB20,Max_Equity-SUM($E23:CA23))</f>
        <v>0</v>
      </c>
      <c r="CC23" s="16">
        <f>MIN(CC20,Max_Equity-SUM($E23:CB23))</f>
        <v>0</v>
      </c>
      <c r="CD23" s="16">
        <f>MIN(CD20,Max_Equity-SUM($E23:CC23))</f>
        <v>0</v>
      </c>
      <c r="CE23" s="16">
        <f>MIN(CE20,Max_Equity-SUM($E23:CD23))</f>
        <v>0</v>
      </c>
      <c r="CF23" s="16">
        <f>MIN(CF20,Max_Equity-SUM($E23:CE23))</f>
        <v>0</v>
      </c>
      <c r="CG23" s="16">
        <f>MIN(CG20,Max_Equity-SUM($E23:CF23))</f>
        <v>0</v>
      </c>
      <c r="CH23" s="16">
        <f>MIN(CH20,Max_Equity-SUM($E23:CG23))</f>
        <v>0</v>
      </c>
      <c r="CI23" s="16">
        <f>MIN(CI20,Max_Equity-SUM($E23:CH23))</f>
        <v>0</v>
      </c>
      <c r="CJ23" s="16">
        <f>MIN(CJ20,Max_Equity-SUM($E23:CI23))</f>
        <v>0</v>
      </c>
      <c r="CK23" s="16">
        <f>MIN(CK20,Max_Equity-SUM($E23:CJ23))</f>
        <v>0</v>
      </c>
      <c r="CL23" s="16">
        <f>MIN(CL20,Max_Equity-SUM($E23:CK23))</f>
        <v>0</v>
      </c>
      <c r="CM23" s="16">
        <f>MIN(CM20,Max_Equity-SUM($E23:CL23))</f>
        <v>0</v>
      </c>
      <c r="CN23" s="16">
        <f>MIN(CN20,Max_Equity-SUM($E23:CM23))</f>
        <v>0</v>
      </c>
      <c r="CO23" s="16">
        <f>MIN(CO20,Max_Equity-SUM($E23:CN23))</f>
        <v>0</v>
      </c>
      <c r="CP23" s="16">
        <f>MIN(CP20,Max_Equity-SUM($E23:CO23))</f>
        <v>0</v>
      </c>
      <c r="CQ23" s="16">
        <f>MIN(CQ20,Max_Equity-SUM($E23:CP23))</f>
        <v>0</v>
      </c>
      <c r="CR23" s="16">
        <f>MIN(CR20,Max_Equity-SUM($E23:CQ23))</f>
        <v>0</v>
      </c>
      <c r="CS23" s="16">
        <f>MIN(CS20,Max_Equity-SUM($E23:CR23))</f>
        <v>0</v>
      </c>
      <c r="CT23" s="16">
        <f>MIN(CT20,Max_Equity-SUM($E23:CS23))</f>
        <v>0</v>
      </c>
      <c r="CU23" s="16">
        <f>MIN(CU20,Max_Equity-SUM($E23:CT23))</f>
        <v>0</v>
      </c>
      <c r="CV23" s="16">
        <f>MIN(CV20,Max_Equity-SUM($E23:CU23))</f>
        <v>0</v>
      </c>
      <c r="CW23" s="16">
        <f>MIN(CW20,Max_Equity-SUM($E23:CV23))</f>
        <v>0</v>
      </c>
      <c r="CX23" s="16">
        <f>MIN(CX20,Max_Equity-SUM($E23:CW23))</f>
        <v>0</v>
      </c>
      <c r="CY23" s="16">
        <f>MIN(CY20,Max_Equity-SUM($E23:CX23))</f>
        <v>0</v>
      </c>
      <c r="CZ23" s="16">
        <f>MIN(CZ20,Max_Equity-SUM($E23:CY23))</f>
        <v>0</v>
      </c>
      <c r="DA23" s="16">
        <f>MIN(DA20,Max_Equity-SUM($E23:CZ23))</f>
        <v>0</v>
      </c>
      <c r="DB23" s="16">
        <f>MIN(DB20,Max_Equity-SUM($E23:DA23))</f>
        <v>0</v>
      </c>
      <c r="DC23" s="16">
        <f>MIN(DC20,Max_Equity-SUM($E23:DB23))</f>
        <v>0</v>
      </c>
      <c r="DD23" s="16">
        <f>MIN(DD20,Max_Equity-SUM($E23:DC23))</f>
        <v>0</v>
      </c>
      <c r="DE23" s="16">
        <f>MIN(DE20,Max_Equity-SUM($E23:DD23))</f>
        <v>0</v>
      </c>
      <c r="DF23" s="16">
        <f>MIN(DF20,Max_Equity-SUM($E23:DE23))</f>
        <v>0</v>
      </c>
      <c r="DG23" s="16">
        <f>MIN(DG20,Max_Equity-SUM($E23:DF23))</f>
        <v>0</v>
      </c>
      <c r="DH23" s="16">
        <f>MIN(DH20,Max_Equity-SUM($E23:DG23))</f>
        <v>0</v>
      </c>
      <c r="DI23" s="16">
        <f>MIN(DI20,Max_Equity-SUM($E23:DH23))</f>
        <v>0</v>
      </c>
    </row>
    <row r="24" spans="3:113" outlineLevel="1" x14ac:dyDescent="0.25">
      <c r="C24" s="5" t="s">
        <v>161</v>
      </c>
      <c r="D24" s="47" t="s">
        <v>107</v>
      </c>
      <c r="E24" s="28">
        <v>0</v>
      </c>
      <c r="F24" s="16">
        <f>+E24+F23</f>
        <v>77970000</v>
      </c>
      <c r="G24" s="16">
        <f t="shared" ref="G24:BR24" si="59">+F24+G23</f>
        <v>80490000</v>
      </c>
      <c r="H24" s="16">
        <f t="shared" si="59"/>
        <v>84810000</v>
      </c>
      <c r="I24" s="16">
        <f t="shared" si="59"/>
        <v>89580000</v>
      </c>
      <c r="J24" s="16">
        <f t="shared" si="59"/>
        <v>92550000</v>
      </c>
      <c r="K24" s="16">
        <f t="shared" si="59"/>
        <v>170340000</v>
      </c>
      <c r="L24" s="16">
        <f t="shared" si="59"/>
        <v>177900000</v>
      </c>
      <c r="M24" s="16">
        <f t="shared" si="59"/>
        <v>183480000</v>
      </c>
      <c r="N24" s="16">
        <f t="shared" si="59"/>
        <v>190050000</v>
      </c>
      <c r="O24" s="16">
        <f t="shared" si="59"/>
        <v>199320000</v>
      </c>
      <c r="P24" s="16">
        <f t="shared" si="59"/>
        <v>212640000</v>
      </c>
      <c r="Q24" s="16">
        <f t="shared" si="59"/>
        <v>228390000</v>
      </c>
      <c r="R24" s="16">
        <f t="shared" si="59"/>
        <v>253140000</v>
      </c>
      <c r="S24" s="16">
        <f t="shared" si="59"/>
        <v>281040000</v>
      </c>
      <c r="T24" s="16">
        <f t="shared" si="59"/>
        <v>309480000</v>
      </c>
      <c r="U24" s="16">
        <f t="shared" si="59"/>
        <v>351420000</v>
      </c>
      <c r="V24" s="16">
        <f t="shared" si="59"/>
        <v>393360000</v>
      </c>
      <c r="W24" s="16">
        <f t="shared" si="59"/>
        <v>415237056</v>
      </c>
      <c r="X24" s="16">
        <f t="shared" si="59"/>
        <v>415237056</v>
      </c>
      <c r="Y24" s="16">
        <f t="shared" si="59"/>
        <v>415237056</v>
      </c>
      <c r="Z24" s="16">
        <f t="shared" si="59"/>
        <v>415237056</v>
      </c>
      <c r="AA24" s="16">
        <f t="shared" si="59"/>
        <v>415237056</v>
      </c>
      <c r="AB24" s="16">
        <f t="shared" si="59"/>
        <v>415237056</v>
      </c>
      <c r="AC24" s="16">
        <f t="shared" si="59"/>
        <v>415237056</v>
      </c>
      <c r="AD24" s="16">
        <f t="shared" si="59"/>
        <v>415237056</v>
      </c>
      <c r="AE24" s="16">
        <f t="shared" si="59"/>
        <v>415237056</v>
      </c>
      <c r="AF24" s="16">
        <f t="shared" si="59"/>
        <v>415237056</v>
      </c>
      <c r="AG24" s="16">
        <f t="shared" si="59"/>
        <v>415237056</v>
      </c>
      <c r="AH24" s="16">
        <f t="shared" si="59"/>
        <v>415237056</v>
      </c>
      <c r="AI24" s="16">
        <f t="shared" si="59"/>
        <v>415237056</v>
      </c>
      <c r="AJ24" s="16">
        <f t="shared" si="59"/>
        <v>415237056</v>
      </c>
      <c r="AK24" s="16">
        <f t="shared" si="59"/>
        <v>415237056</v>
      </c>
      <c r="AL24" s="16">
        <f t="shared" si="59"/>
        <v>415237056</v>
      </c>
      <c r="AM24" s="16">
        <f t="shared" si="59"/>
        <v>415237056</v>
      </c>
      <c r="AN24" s="16">
        <f t="shared" si="59"/>
        <v>415237056</v>
      </c>
      <c r="AO24" s="16">
        <f t="shared" si="59"/>
        <v>415237056</v>
      </c>
      <c r="AP24" s="16">
        <f t="shared" si="59"/>
        <v>415237056</v>
      </c>
      <c r="AQ24" s="16">
        <f t="shared" si="59"/>
        <v>415237056</v>
      </c>
      <c r="AR24" s="16">
        <f t="shared" si="59"/>
        <v>415237056</v>
      </c>
      <c r="AS24" s="16">
        <f t="shared" si="59"/>
        <v>415237056</v>
      </c>
      <c r="AT24" s="16">
        <f t="shared" si="59"/>
        <v>415237056</v>
      </c>
      <c r="AU24" s="16">
        <f t="shared" si="59"/>
        <v>415237056</v>
      </c>
      <c r="AV24" s="16">
        <f t="shared" si="59"/>
        <v>415237056</v>
      </c>
      <c r="AW24" s="16">
        <f t="shared" si="59"/>
        <v>415237056</v>
      </c>
      <c r="AX24" s="16">
        <f t="shared" si="59"/>
        <v>415237056</v>
      </c>
      <c r="AY24" s="16">
        <f t="shared" si="59"/>
        <v>415237056</v>
      </c>
      <c r="AZ24" s="16">
        <f t="shared" si="59"/>
        <v>415237056</v>
      </c>
      <c r="BA24" s="16">
        <f t="shared" si="59"/>
        <v>415237056</v>
      </c>
      <c r="BB24" s="16">
        <f t="shared" si="59"/>
        <v>415237056</v>
      </c>
      <c r="BC24" s="16">
        <f t="shared" si="59"/>
        <v>415237056</v>
      </c>
      <c r="BD24" s="16">
        <f t="shared" si="59"/>
        <v>415237056</v>
      </c>
      <c r="BE24" s="16">
        <f t="shared" si="59"/>
        <v>415237056</v>
      </c>
      <c r="BF24" s="16">
        <f t="shared" si="59"/>
        <v>415237056</v>
      </c>
      <c r="BG24" s="16">
        <f t="shared" si="59"/>
        <v>415237056</v>
      </c>
      <c r="BH24" s="16">
        <f t="shared" si="59"/>
        <v>415237056</v>
      </c>
      <c r="BI24" s="16">
        <f t="shared" si="59"/>
        <v>415237056</v>
      </c>
      <c r="BJ24" s="16">
        <f t="shared" si="59"/>
        <v>415237056</v>
      </c>
      <c r="BK24" s="16">
        <f t="shared" si="59"/>
        <v>415237056</v>
      </c>
      <c r="BL24" s="16">
        <f t="shared" si="59"/>
        <v>415237056</v>
      </c>
      <c r="BM24" s="16">
        <f t="shared" si="59"/>
        <v>415237056</v>
      </c>
      <c r="BN24" s="16">
        <f t="shared" si="59"/>
        <v>415237056</v>
      </c>
      <c r="BO24" s="16">
        <f t="shared" si="59"/>
        <v>415237056</v>
      </c>
      <c r="BP24" s="16">
        <f t="shared" si="59"/>
        <v>415237056</v>
      </c>
      <c r="BQ24" s="16">
        <f t="shared" si="59"/>
        <v>415237056</v>
      </c>
      <c r="BR24" s="16">
        <f t="shared" si="59"/>
        <v>415237056</v>
      </c>
      <c r="BS24" s="16">
        <f t="shared" ref="BS24:DI24" si="60">+BR24+BS23</f>
        <v>415237056</v>
      </c>
      <c r="BT24" s="16">
        <f t="shared" si="60"/>
        <v>415237056</v>
      </c>
      <c r="BU24" s="16">
        <f t="shared" si="60"/>
        <v>415237056</v>
      </c>
      <c r="BV24" s="16">
        <f t="shared" si="60"/>
        <v>415237056</v>
      </c>
      <c r="BW24" s="16">
        <f t="shared" si="60"/>
        <v>415237056</v>
      </c>
      <c r="BX24" s="16">
        <f t="shared" si="60"/>
        <v>415237056</v>
      </c>
      <c r="BY24" s="16">
        <f t="shared" si="60"/>
        <v>415237056</v>
      </c>
      <c r="BZ24" s="16">
        <f t="shared" si="60"/>
        <v>415237056</v>
      </c>
      <c r="CA24" s="16">
        <f t="shared" si="60"/>
        <v>415237056</v>
      </c>
      <c r="CB24" s="16">
        <f t="shared" si="60"/>
        <v>415237056</v>
      </c>
      <c r="CC24" s="16">
        <f t="shared" si="60"/>
        <v>415237056</v>
      </c>
      <c r="CD24" s="16">
        <f t="shared" si="60"/>
        <v>415237056</v>
      </c>
      <c r="CE24" s="16">
        <f t="shared" si="60"/>
        <v>415237056</v>
      </c>
      <c r="CF24" s="16">
        <f t="shared" si="60"/>
        <v>415237056</v>
      </c>
      <c r="CG24" s="16">
        <f t="shared" si="60"/>
        <v>415237056</v>
      </c>
      <c r="CH24" s="16">
        <f t="shared" si="60"/>
        <v>415237056</v>
      </c>
      <c r="CI24" s="16">
        <f t="shared" si="60"/>
        <v>415237056</v>
      </c>
      <c r="CJ24" s="16">
        <f t="shared" si="60"/>
        <v>415237056</v>
      </c>
      <c r="CK24" s="16">
        <f t="shared" si="60"/>
        <v>415237056</v>
      </c>
      <c r="CL24" s="16">
        <f t="shared" si="60"/>
        <v>415237056</v>
      </c>
      <c r="CM24" s="16">
        <f t="shared" si="60"/>
        <v>415237056</v>
      </c>
      <c r="CN24" s="16">
        <f t="shared" si="60"/>
        <v>415237056</v>
      </c>
      <c r="CO24" s="16">
        <f t="shared" si="60"/>
        <v>415237056</v>
      </c>
      <c r="CP24" s="16">
        <f t="shared" si="60"/>
        <v>415237056</v>
      </c>
      <c r="CQ24" s="16">
        <f t="shared" si="60"/>
        <v>415237056</v>
      </c>
      <c r="CR24" s="16">
        <f t="shared" si="60"/>
        <v>415237056</v>
      </c>
      <c r="CS24" s="16">
        <f t="shared" si="60"/>
        <v>415237056</v>
      </c>
      <c r="CT24" s="16">
        <f t="shared" si="60"/>
        <v>415237056</v>
      </c>
      <c r="CU24" s="16">
        <f t="shared" si="60"/>
        <v>415237056</v>
      </c>
      <c r="CV24" s="16">
        <f t="shared" si="60"/>
        <v>415237056</v>
      </c>
      <c r="CW24" s="16">
        <f t="shared" si="60"/>
        <v>415237056</v>
      </c>
      <c r="CX24" s="16">
        <f t="shared" si="60"/>
        <v>415237056</v>
      </c>
      <c r="CY24" s="16">
        <f t="shared" si="60"/>
        <v>415237056</v>
      </c>
      <c r="CZ24" s="16">
        <f t="shared" si="60"/>
        <v>415237056</v>
      </c>
      <c r="DA24" s="16">
        <f t="shared" si="60"/>
        <v>415237056</v>
      </c>
      <c r="DB24" s="16">
        <f t="shared" si="60"/>
        <v>415237056</v>
      </c>
      <c r="DC24" s="16">
        <f t="shared" si="60"/>
        <v>415237056</v>
      </c>
      <c r="DD24" s="16">
        <f t="shared" si="60"/>
        <v>415237056</v>
      </c>
      <c r="DE24" s="16">
        <f t="shared" si="60"/>
        <v>415237056</v>
      </c>
      <c r="DF24" s="16">
        <f t="shared" si="60"/>
        <v>415237056</v>
      </c>
      <c r="DG24" s="16">
        <f t="shared" si="60"/>
        <v>415237056</v>
      </c>
      <c r="DH24" s="16">
        <f t="shared" si="60"/>
        <v>415237056</v>
      </c>
      <c r="DI24" s="16">
        <f t="shared" si="60"/>
        <v>415237056</v>
      </c>
    </row>
    <row r="25" spans="3:113" outlineLevel="1" x14ac:dyDescent="0.25">
      <c r="D25" s="48"/>
      <c r="E25" s="112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16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16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16"/>
      <c r="CZ25" s="16"/>
      <c r="DA25" s="16"/>
      <c r="DB25" s="16"/>
      <c r="DC25" s="16"/>
      <c r="DD25" s="16"/>
      <c r="DE25" s="16"/>
      <c r="DF25" s="16"/>
      <c r="DG25" s="16"/>
      <c r="DH25" s="16"/>
      <c r="DI25" s="16"/>
    </row>
    <row r="26" spans="3:113" outlineLevel="1" x14ac:dyDescent="0.25">
      <c r="C26" s="5" t="s">
        <v>91</v>
      </c>
      <c r="D26" s="47" t="s">
        <v>107</v>
      </c>
      <c r="E26" s="28">
        <v>0</v>
      </c>
      <c r="F26" s="16">
        <f>+E31</f>
        <v>0</v>
      </c>
      <c r="G26" s="16">
        <f t="shared" ref="G26:BR26" si="61">+F31</f>
        <v>0</v>
      </c>
      <c r="H26" s="16">
        <f t="shared" si="61"/>
        <v>0</v>
      </c>
      <c r="I26" s="16">
        <f t="shared" si="61"/>
        <v>0</v>
      </c>
      <c r="J26" s="16">
        <f t="shared" si="61"/>
        <v>0</v>
      </c>
      <c r="K26" s="16">
        <f t="shared" si="61"/>
        <v>0</v>
      </c>
      <c r="L26" s="16">
        <f t="shared" si="61"/>
        <v>0</v>
      </c>
      <c r="M26" s="16">
        <f t="shared" si="61"/>
        <v>0</v>
      </c>
      <c r="N26" s="16">
        <f t="shared" si="61"/>
        <v>0</v>
      </c>
      <c r="O26" s="16">
        <f t="shared" si="61"/>
        <v>0</v>
      </c>
      <c r="P26" s="16">
        <f t="shared" si="61"/>
        <v>0</v>
      </c>
      <c r="Q26" s="16">
        <f t="shared" si="61"/>
        <v>0</v>
      </c>
      <c r="R26" s="16">
        <f t="shared" si="61"/>
        <v>0</v>
      </c>
      <c r="S26" s="16">
        <f t="shared" si="61"/>
        <v>0</v>
      </c>
      <c r="T26" s="16">
        <f t="shared" si="61"/>
        <v>0</v>
      </c>
      <c r="U26" s="16">
        <f t="shared" si="61"/>
        <v>0</v>
      </c>
      <c r="V26" s="16">
        <f t="shared" si="61"/>
        <v>0</v>
      </c>
      <c r="W26" s="16">
        <f t="shared" si="61"/>
        <v>0</v>
      </c>
      <c r="X26" s="16">
        <f t="shared" si="61"/>
        <v>25717573.440000001</v>
      </c>
      <c r="Y26" s="16">
        <f t="shared" si="61"/>
        <v>79453350.017609641</v>
      </c>
      <c r="Z26" s="16">
        <f t="shared" si="61"/>
        <v>135316952.80060691</v>
      </c>
      <c r="AA26" s="16">
        <f t="shared" si="61"/>
        <v>185408750.81634268</v>
      </c>
      <c r="AB26" s="16">
        <f t="shared" si="61"/>
        <v>235250129.01774007</v>
      </c>
      <c r="AC26" s="16">
        <f t="shared" si="61"/>
        <v>280385967.1634776</v>
      </c>
      <c r="AD26" s="16">
        <f t="shared" si="61"/>
        <v>320706194.30089957</v>
      </c>
      <c r="AE26" s="16">
        <f t="shared" si="61"/>
        <v>353464191.03466421</v>
      </c>
      <c r="AF26" s="16">
        <f t="shared" si="61"/>
        <v>382174247.90202659</v>
      </c>
      <c r="AG26" s="16">
        <f t="shared" si="61"/>
        <v>402365773.09490216</v>
      </c>
      <c r="AH26" s="16">
        <f t="shared" si="61"/>
        <v>420367061.06079417</v>
      </c>
      <c r="AI26" s="16">
        <f t="shared" si="61"/>
        <v>430715188.50212431</v>
      </c>
      <c r="AJ26" s="16">
        <f t="shared" si="61"/>
        <v>440196475.49557942</v>
      </c>
      <c r="AK26" s="16">
        <f t="shared" si="61"/>
        <v>448443790.42587411</v>
      </c>
      <c r="AL26" s="16">
        <f t="shared" si="61"/>
        <v>456179305.93807757</v>
      </c>
      <c r="AM26" s="16">
        <f t="shared" si="61"/>
        <v>461855636.89800811</v>
      </c>
      <c r="AN26" s="16">
        <f t="shared" si="61"/>
        <v>467736893.93290633</v>
      </c>
      <c r="AO26" s="16">
        <f t="shared" si="61"/>
        <v>474187511.93696821</v>
      </c>
      <c r="AP26" s="16">
        <f t="shared" si="61"/>
        <v>482482410.55725962</v>
      </c>
      <c r="AQ26" s="16">
        <f t="shared" si="61"/>
        <v>492629103.62130296</v>
      </c>
      <c r="AR26" s="16">
        <f t="shared" si="61"/>
        <v>503998835.5688839</v>
      </c>
      <c r="AS26" s="16">
        <f t="shared" si="61"/>
        <v>512324289.21180618</v>
      </c>
      <c r="AT26" s="16">
        <f t="shared" si="61"/>
        <v>518502061.78342474</v>
      </c>
      <c r="AU26" s="16">
        <f t="shared" si="61"/>
        <v>533340503.36520731</v>
      </c>
      <c r="AV26" s="16">
        <f t="shared" si="61"/>
        <v>545785098.59475052</v>
      </c>
      <c r="AW26" s="16">
        <f t="shared" si="61"/>
        <v>551644694.64569628</v>
      </c>
      <c r="AX26" s="16">
        <f t="shared" si="61"/>
        <v>569981463.41627574</v>
      </c>
      <c r="AY26" s="16">
        <f t="shared" si="61"/>
        <v>574576138.45261872</v>
      </c>
      <c r="AZ26" s="16">
        <f t="shared" si="61"/>
        <v>581189332.76380539</v>
      </c>
      <c r="BA26" s="16">
        <f t="shared" si="61"/>
        <v>587374970.04722118</v>
      </c>
      <c r="BB26" s="16">
        <f t="shared" si="61"/>
        <v>0</v>
      </c>
      <c r="BC26" s="16">
        <f t="shared" si="61"/>
        <v>0</v>
      </c>
      <c r="BD26" s="16">
        <f t="shared" si="61"/>
        <v>0</v>
      </c>
      <c r="BE26" s="16">
        <f t="shared" si="61"/>
        <v>0</v>
      </c>
      <c r="BF26" s="16">
        <f t="shared" si="61"/>
        <v>0</v>
      </c>
      <c r="BG26" s="16">
        <f t="shared" si="61"/>
        <v>0</v>
      </c>
      <c r="BH26" s="16">
        <f t="shared" si="61"/>
        <v>0</v>
      </c>
      <c r="BI26" s="16">
        <f t="shared" si="61"/>
        <v>0</v>
      </c>
      <c r="BJ26" s="16">
        <f t="shared" si="61"/>
        <v>0</v>
      </c>
      <c r="BK26" s="16">
        <f t="shared" si="61"/>
        <v>0</v>
      </c>
      <c r="BL26" s="16">
        <f t="shared" si="61"/>
        <v>0</v>
      </c>
      <c r="BM26" s="16">
        <f t="shared" si="61"/>
        <v>0</v>
      </c>
      <c r="BN26" s="16">
        <f t="shared" si="61"/>
        <v>0</v>
      </c>
      <c r="BO26" s="16">
        <f t="shared" si="61"/>
        <v>0</v>
      </c>
      <c r="BP26" s="16">
        <f t="shared" si="61"/>
        <v>0</v>
      </c>
      <c r="BQ26" s="16">
        <f t="shared" si="61"/>
        <v>0</v>
      </c>
      <c r="BR26" s="16">
        <f t="shared" si="61"/>
        <v>0</v>
      </c>
      <c r="BS26" s="16">
        <f t="shared" ref="BS26:DI26" si="62">+BR31</f>
        <v>0</v>
      </c>
      <c r="BT26" s="16">
        <f t="shared" si="62"/>
        <v>0</v>
      </c>
      <c r="BU26" s="16">
        <f t="shared" si="62"/>
        <v>0</v>
      </c>
      <c r="BV26" s="16">
        <f t="shared" si="62"/>
        <v>0</v>
      </c>
      <c r="BW26" s="16">
        <f t="shared" si="62"/>
        <v>0</v>
      </c>
      <c r="BX26" s="16">
        <f t="shared" si="62"/>
        <v>0</v>
      </c>
      <c r="BY26" s="16">
        <f t="shared" si="62"/>
        <v>0</v>
      </c>
      <c r="BZ26" s="16">
        <f t="shared" si="62"/>
        <v>0</v>
      </c>
      <c r="CA26" s="16">
        <f t="shared" si="62"/>
        <v>0</v>
      </c>
      <c r="CB26" s="16">
        <f t="shared" si="62"/>
        <v>0</v>
      </c>
      <c r="CC26" s="16">
        <f t="shared" si="62"/>
        <v>0</v>
      </c>
      <c r="CD26" s="16">
        <f t="shared" si="62"/>
        <v>0</v>
      </c>
      <c r="CE26" s="16">
        <f t="shared" si="62"/>
        <v>0</v>
      </c>
      <c r="CF26" s="16">
        <f t="shared" si="62"/>
        <v>0</v>
      </c>
      <c r="CG26" s="16">
        <f t="shared" si="62"/>
        <v>0</v>
      </c>
      <c r="CH26" s="16">
        <f t="shared" si="62"/>
        <v>0</v>
      </c>
      <c r="CI26" s="16">
        <f t="shared" si="62"/>
        <v>0</v>
      </c>
      <c r="CJ26" s="16">
        <f t="shared" si="62"/>
        <v>0</v>
      </c>
      <c r="CK26" s="16">
        <f t="shared" si="62"/>
        <v>0</v>
      </c>
      <c r="CL26" s="16">
        <f t="shared" si="62"/>
        <v>0</v>
      </c>
      <c r="CM26" s="16">
        <f t="shared" si="62"/>
        <v>0</v>
      </c>
      <c r="CN26" s="16">
        <f t="shared" si="62"/>
        <v>0</v>
      </c>
      <c r="CO26" s="16">
        <f t="shared" si="62"/>
        <v>0</v>
      </c>
      <c r="CP26" s="16">
        <f t="shared" si="62"/>
        <v>0</v>
      </c>
      <c r="CQ26" s="16">
        <f t="shared" si="62"/>
        <v>0</v>
      </c>
      <c r="CR26" s="16">
        <f t="shared" si="62"/>
        <v>0</v>
      </c>
      <c r="CS26" s="16">
        <f t="shared" si="62"/>
        <v>0</v>
      </c>
      <c r="CT26" s="16">
        <f t="shared" si="62"/>
        <v>0</v>
      </c>
      <c r="CU26" s="16">
        <f t="shared" si="62"/>
        <v>0</v>
      </c>
      <c r="CV26" s="16">
        <f t="shared" si="62"/>
        <v>0</v>
      </c>
      <c r="CW26" s="16">
        <f t="shared" si="62"/>
        <v>0</v>
      </c>
      <c r="CX26" s="16">
        <f t="shared" si="62"/>
        <v>0</v>
      </c>
      <c r="CY26" s="16">
        <f t="shared" si="62"/>
        <v>0</v>
      </c>
      <c r="CZ26" s="16">
        <f t="shared" si="62"/>
        <v>0</v>
      </c>
      <c r="DA26" s="16">
        <f t="shared" si="62"/>
        <v>0</v>
      </c>
      <c r="DB26" s="16">
        <f t="shared" si="62"/>
        <v>0</v>
      </c>
      <c r="DC26" s="16">
        <f t="shared" si="62"/>
        <v>0</v>
      </c>
      <c r="DD26" s="16">
        <f t="shared" si="62"/>
        <v>0</v>
      </c>
      <c r="DE26" s="16">
        <f t="shared" si="62"/>
        <v>0</v>
      </c>
      <c r="DF26" s="16">
        <f t="shared" si="62"/>
        <v>0</v>
      </c>
      <c r="DG26" s="16">
        <f t="shared" si="62"/>
        <v>0</v>
      </c>
      <c r="DH26" s="16">
        <f t="shared" si="62"/>
        <v>0</v>
      </c>
      <c r="DI26" s="16">
        <f t="shared" si="62"/>
        <v>0</v>
      </c>
    </row>
    <row r="27" spans="3:113" outlineLevel="1" x14ac:dyDescent="0.25">
      <c r="C27" s="20" t="s">
        <v>151</v>
      </c>
      <c r="D27" s="47" t="s">
        <v>107</v>
      </c>
      <c r="E27" s="155"/>
      <c r="F27" s="16">
        <f>MAX(F20-F23,0)</f>
        <v>0</v>
      </c>
      <c r="G27" s="16">
        <f t="shared" ref="G27:BR27" si="63">MAX(G20-G23,0)</f>
        <v>0</v>
      </c>
      <c r="H27" s="16">
        <f t="shared" si="63"/>
        <v>0</v>
      </c>
      <c r="I27" s="16">
        <f t="shared" si="63"/>
        <v>0</v>
      </c>
      <c r="J27" s="16">
        <f t="shared" si="63"/>
        <v>0</v>
      </c>
      <c r="K27" s="16">
        <f t="shared" si="63"/>
        <v>0</v>
      </c>
      <c r="L27" s="16">
        <f t="shared" si="63"/>
        <v>0</v>
      </c>
      <c r="M27" s="16">
        <f t="shared" si="63"/>
        <v>0</v>
      </c>
      <c r="N27" s="16">
        <f t="shared" si="63"/>
        <v>0</v>
      </c>
      <c r="O27" s="16">
        <f t="shared" si="63"/>
        <v>0</v>
      </c>
      <c r="P27" s="16">
        <f t="shared" si="63"/>
        <v>0</v>
      </c>
      <c r="Q27" s="16">
        <f t="shared" si="63"/>
        <v>0</v>
      </c>
      <c r="R27" s="16">
        <f t="shared" si="63"/>
        <v>0</v>
      </c>
      <c r="S27" s="16">
        <f t="shared" si="63"/>
        <v>0</v>
      </c>
      <c r="T27" s="16">
        <f t="shared" si="63"/>
        <v>0</v>
      </c>
      <c r="U27" s="16">
        <f t="shared" si="63"/>
        <v>0</v>
      </c>
      <c r="V27" s="16">
        <f t="shared" si="63"/>
        <v>0</v>
      </c>
      <c r="W27" s="16">
        <f t="shared" si="63"/>
        <v>25462944</v>
      </c>
      <c r="X27" s="16">
        <f t="shared" si="63"/>
        <v>53100000.000000007</v>
      </c>
      <c r="Y27" s="16">
        <f t="shared" si="63"/>
        <v>54989999.999999993</v>
      </c>
      <c r="Z27" s="16">
        <f t="shared" si="63"/>
        <v>49050000</v>
      </c>
      <c r="AA27" s="16">
        <f t="shared" si="63"/>
        <v>48600000</v>
      </c>
      <c r="AB27" s="16">
        <f t="shared" si="63"/>
        <v>43740000</v>
      </c>
      <c r="AC27" s="16">
        <f t="shared" si="63"/>
        <v>38790000</v>
      </c>
      <c r="AD27" s="16">
        <f t="shared" si="63"/>
        <v>31140000.000000004</v>
      </c>
      <c r="AE27" s="16">
        <f t="shared" si="63"/>
        <v>27000000.000000004</v>
      </c>
      <c r="AF27" s="16">
        <f t="shared" si="63"/>
        <v>18450000</v>
      </c>
      <c r="AG27" s="16">
        <f t="shared" si="63"/>
        <v>16200000</v>
      </c>
      <c r="AH27" s="16">
        <f t="shared" si="63"/>
        <v>8550000</v>
      </c>
      <c r="AI27" s="16">
        <f t="shared" si="63"/>
        <v>7650000</v>
      </c>
      <c r="AJ27" s="16">
        <f t="shared" si="63"/>
        <v>6390000</v>
      </c>
      <c r="AK27" s="16">
        <f t="shared" si="63"/>
        <v>5850000</v>
      </c>
      <c r="AL27" s="16">
        <f t="shared" si="63"/>
        <v>3780000</v>
      </c>
      <c r="AM27" s="16">
        <f t="shared" si="63"/>
        <v>3960000</v>
      </c>
      <c r="AN27" s="16">
        <f t="shared" si="63"/>
        <v>4500000</v>
      </c>
      <c r="AO27" s="16">
        <f t="shared" si="63"/>
        <v>6300000</v>
      </c>
      <c r="AP27" s="16">
        <f t="shared" si="63"/>
        <v>8100000</v>
      </c>
      <c r="AQ27" s="16">
        <f t="shared" si="63"/>
        <v>9270000</v>
      </c>
      <c r="AR27" s="16">
        <f t="shared" si="63"/>
        <v>6210000</v>
      </c>
      <c r="AS27" s="16">
        <f t="shared" si="63"/>
        <v>4050000</v>
      </c>
      <c r="AT27" s="16">
        <f t="shared" si="63"/>
        <v>12600000</v>
      </c>
      <c r="AU27" s="16">
        <f t="shared" si="63"/>
        <v>10170000</v>
      </c>
      <c r="AV27" s="16">
        <f t="shared" si="63"/>
        <v>3600000</v>
      </c>
      <c r="AW27" s="16">
        <f t="shared" si="63"/>
        <v>15930000</v>
      </c>
      <c r="AX27" s="16">
        <f t="shared" si="63"/>
        <v>2250000</v>
      </c>
      <c r="AY27" s="16">
        <f t="shared" si="63"/>
        <v>4230000</v>
      </c>
      <c r="AZ27" s="16">
        <f t="shared" si="63"/>
        <v>3780000</v>
      </c>
      <c r="BA27" s="16">
        <f t="shared" si="63"/>
        <v>19440000</v>
      </c>
      <c r="BB27" s="16">
        <f t="shared" si="63"/>
        <v>0</v>
      </c>
      <c r="BC27" s="16">
        <f t="shared" si="63"/>
        <v>0</v>
      </c>
      <c r="BD27" s="16">
        <f t="shared" si="63"/>
        <v>0</v>
      </c>
      <c r="BE27" s="16">
        <f t="shared" si="63"/>
        <v>0</v>
      </c>
      <c r="BF27" s="16">
        <f t="shared" si="63"/>
        <v>0</v>
      </c>
      <c r="BG27" s="16">
        <f t="shared" si="63"/>
        <v>0</v>
      </c>
      <c r="BH27" s="16">
        <f t="shared" si="63"/>
        <v>0</v>
      </c>
      <c r="BI27" s="16">
        <f t="shared" si="63"/>
        <v>0</v>
      </c>
      <c r="BJ27" s="16">
        <f t="shared" si="63"/>
        <v>0</v>
      </c>
      <c r="BK27" s="16">
        <f t="shared" si="63"/>
        <v>0</v>
      </c>
      <c r="BL27" s="16">
        <f t="shared" si="63"/>
        <v>0</v>
      </c>
      <c r="BM27" s="16">
        <f t="shared" si="63"/>
        <v>0</v>
      </c>
      <c r="BN27" s="16">
        <f t="shared" si="63"/>
        <v>0</v>
      </c>
      <c r="BO27" s="16">
        <f t="shared" si="63"/>
        <v>0</v>
      </c>
      <c r="BP27" s="16">
        <f t="shared" si="63"/>
        <v>0</v>
      </c>
      <c r="BQ27" s="16">
        <f t="shared" si="63"/>
        <v>0</v>
      </c>
      <c r="BR27" s="16">
        <f t="shared" si="63"/>
        <v>0</v>
      </c>
      <c r="BS27" s="16">
        <f t="shared" ref="BS27:DI27" si="64">MAX(BS20-BS23,0)</f>
        <v>0</v>
      </c>
      <c r="BT27" s="16">
        <f t="shared" si="64"/>
        <v>0</v>
      </c>
      <c r="BU27" s="16">
        <f t="shared" si="64"/>
        <v>0</v>
      </c>
      <c r="BV27" s="16">
        <f t="shared" si="64"/>
        <v>0</v>
      </c>
      <c r="BW27" s="16">
        <f t="shared" si="64"/>
        <v>0</v>
      </c>
      <c r="BX27" s="16">
        <f t="shared" si="64"/>
        <v>0</v>
      </c>
      <c r="BY27" s="16">
        <f t="shared" si="64"/>
        <v>0</v>
      </c>
      <c r="BZ27" s="16">
        <f t="shared" si="64"/>
        <v>0</v>
      </c>
      <c r="CA27" s="16">
        <f t="shared" si="64"/>
        <v>0</v>
      </c>
      <c r="CB27" s="16">
        <f t="shared" si="64"/>
        <v>0</v>
      </c>
      <c r="CC27" s="16">
        <f t="shared" si="64"/>
        <v>0</v>
      </c>
      <c r="CD27" s="16">
        <f t="shared" si="64"/>
        <v>0</v>
      </c>
      <c r="CE27" s="16">
        <f t="shared" si="64"/>
        <v>0</v>
      </c>
      <c r="CF27" s="16">
        <f t="shared" si="64"/>
        <v>0</v>
      </c>
      <c r="CG27" s="16">
        <f t="shared" si="64"/>
        <v>0</v>
      </c>
      <c r="CH27" s="16">
        <f t="shared" si="64"/>
        <v>0</v>
      </c>
      <c r="CI27" s="16">
        <f t="shared" si="64"/>
        <v>0</v>
      </c>
      <c r="CJ27" s="16">
        <f t="shared" si="64"/>
        <v>0</v>
      </c>
      <c r="CK27" s="16">
        <f t="shared" si="64"/>
        <v>0</v>
      </c>
      <c r="CL27" s="16">
        <f t="shared" si="64"/>
        <v>0</v>
      </c>
      <c r="CM27" s="16">
        <f t="shared" si="64"/>
        <v>0</v>
      </c>
      <c r="CN27" s="16">
        <f t="shared" si="64"/>
        <v>0</v>
      </c>
      <c r="CO27" s="16">
        <f t="shared" si="64"/>
        <v>0</v>
      </c>
      <c r="CP27" s="16">
        <f t="shared" si="64"/>
        <v>0</v>
      </c>
      <c r="CQ27" s="16">
        <f t="shared" si="64"/>
        <v>0</v>
      </c>
      <c r="CR27" s="16">
        <f t="shared" si="64"/>
        <v>0</v>
      </c>
      <c r="CS27" s="16">
        <f t="shared" si="64"/>
        <v>0</v>
      </c>
      <c r="CT27" s="16">
        <f t="shared" si="64"/>
        <v>0</v>
      </c>
      <c r="CU27" s="16">
        <f t="shared" si="64"/>
        <v>0</v>
      </c>
      <c r="CV27" s="16">
        <f t="shared" si="64"/>
        <v>0</v>
      </c>
      <c r="CW27" s="16">
        <f t="shared" si="64"/>
        <v>0</v>
      </c>
      <c r="CX27" s="16">
        <f t="shared" si="64"/>
        <v>0</v>
      </c>
      <c r="CY27" s="16">
        <f t="shared" si="64"/>
        <v>0</v>
      </c>
      <c r="CZ27" s="16">
        <f t="shared" si="64"/>
        <v>0</v>
      </c>
      <c r="DA27" s="16">
        <f t="shared" si="64"/>
        <v>0</v>
      </c>
      <c r="DB27" s="16">
        <f t="shared" si="64"/>
        <v>0</v>
      </c>
      <c r="DC27" s="16">
        <f t="shared" si="64"/>
        <v>0</v>
      </c>
      <c r="DD27" s="16">
        <f t="shared" si="64"/>
        <v>0</v>
      </c>
      <c r="DE27" s="16">
        <f t="shared" si="64"/>
        <v>0</v>
      </c>
      <c r="DF27" s="16">
        <f t="shared" si="64"/>
        <v>0</v>
      </c>
      <c r="DG27" s="16">
        <f t="shared" si="64"/>
        <v>0</v>
      </c>
      <c r="DH27" s="16">
        <f t="shared" si="64"/>
        <v>0</v>
      </c>
      <c r="DI27" s="16">
        <f t="shared" si="64"/>
        <v>0</v>
      </c>
    </row>
    <row r="28" spans="3:113" outlineLevel="1" x14ac:dyDescent="0.25">
      <c r="C28" s="20" t="s">
        <v>164</v>
      </c>
      <c r="D28" s="47" t="s">
        <v>107</v>
      </c>
      <c r="E28" s="155"/>
      <c r="F28" s="16">
        <f t="shared" ref="F28:AK28" si="65">+F27*Constr_Loan_Fees</f>
        <v>0</v>
      </c>
      <c r="G28" s="16">
        <f t="shared" si="65"/>
        <v>0</v>
      </c>
      <c r="H28" s="16">
        <f t="shared" si="65"/>
        <v>0</v>
      </c>
      <c r="I28" s="16">
        <f t="shared" si="65"/>
        <v>0</v>
      </c>
      <c r="J28" s="16">
        <f t="shared" si="65"/>
        <v>0</v>
      </c>
      <c r="K28" s="16">
        <f t="shared" si="65"/>
        <v>0</v>
      </c>
      <c r="L28" s="16">
        <f t="shared" si="65"/>
        <v>0</v>
      </c>
      <c r="M28" s="16">
        <f t="shared" si="65"/>
        <v>0</v>
      </c>
      <c r="N28" s="16">
        <f t="shared" si="65"/>
        <v>0</v>
      </c>
      <c r="O28" s="16">
        <f t="shared" si="65"/>
        <v>0</v>
      </c>
      <c r="P28" s="16">
        <f t="shared" si="65"/>
        <v>0</v>
      </c>
      <c r="Q28" s="16">
        <f t="shared" si="65"/>
        <v>0</v>
      </c>
      <c r="R28" s="16">
        <f t="shared" si="65"/>
        <v>0</v>
      </c>
      <c r="S28" s="16">
        <f t="shared" si="65"/>
        <v>0</v>
      </c>
      <c r="T28" s="16">
        <f t="shared" si="65"/>
        <v>0</v>
      </c>
      <c r="U28" s="16">
        <f t="shared" si="65"/>
        <v>0</v>
      </c>
      <c r="V28" s="16">
        <f t="shared" si="65"/>
        <v>0</v>
      </c>
      <c r="W28" s="16">
        <f t="shared" si="65"/>
        <v>254629.44</v>
      </c>
      <c r="X28" s="16">
        <f t="shared" si="65"/>
        <v>531000.00000000012</v>
      </c>
      <c r="Y28" s="16">
        <f t="shared" si="65"/>
        <v>549899.99999999988</v>
      </c>
      <c r="Z28" s="16">
        <f t="shared" si="65"/>
        <v>490500</v>
      </c>
      <c r="AA28" s="16">
        <f t="shared" si="65"/>
        <v>486000</v>
      </c>
      <c r="AB28" s="16">
        <f t="shared" si="65"/>
        <v>437400</v>
      </c>
      <c r="AC28" s="16">
        <f t="shared" si="65"/>
        <v>387900</v>
      </c>
      <c r="AD28" s="16">
        <f t="shared" si="65"/>
        <v>311400.00000000006</v>
      </c>
      <c r="AE28" s="16">
        <f t="shared" si="65"/>
        <v>270000.00000000006</v>
      </c>
      <c r="AF28" s="16">
        <f t="shared" si="65"/>
        <v>184500</v>
      </c>
      <c r="AG28" s="16">
        <f t="shared" si="65"/>
        <v>162000</v>
      </c>
      <c r="AH28" s="16">
        <f t="shared" si="65"/>
        <v>85500</v>
      </c>
      <c r="AI28" s="16">
        <f t="shared" si="65"/>
        <v>76500</v>
      </c>
      <c r="AJ28" s="16">
        <f t="shared" si="65"/>
        <v>63900</v>
      </c>
      <c r="AK28" s="16">
        <f t="shared" si="65"/>
        <v>58500</v>
      </c>
      <c r="AL28" s="16">
        <f t="shared" ref="AL28:BQ28" si="66">+AL27*Constr_Loan_Fees</f>
        <v>37800</v>
      </c>
      <c r="AM28" s="16">
        <f t="shared" si="66"/>
        <v>39600</v>
      </c>
      <c r="AN28" s="16">
        <f t="shared" si="66"/>
        <v>45000</v>
      </c>
      <c r="AO28" s="16">
        <f t="shared" si="66"/>
        <v>63000</v>
      </c>
      <c r="AP28" s="16">
        <f t="shared" si="66"/>
        <v>81000</v>
      </c>
      <c r="AQ28" s="16">
        <f t="shared" si="66"/>
        <v>92700</v>
      </c>
      <c r="AR28" s="16">
        <f t="shared" si="66"/>
        <v>62100</v>
      </c>
      <c r="AS28" s="16">
        <f t="shared" si="66"/>
        <v>40500</v>
      </c>
      <c r="AT28" s="16">
        <f t="shared" si="66"/>
        <v>126000</v>
      </c>
      <c r="AU28" s="16">
        <f t="shared" si="66"/>
        <v>101700</v>
      </c>
      <c r="AV28" s="16">
        <f t="shared" si="66"/>
        <v>36000</v>
      </c>
      <c r="AW28" s="16">
        <f t="shared" si="66"/>
        <v>159300</v>
      </c>
      <c r="AX28" s="16">
        <f t="shared" si="66"/>
        <v>22500</v>
      </c>
      <c r="AY28" s="16">
        <f t="shared" si="66"/>
        <v>42300</v>
      </c>
      <c r="AZ28" s="16">
        <f t="shared" si="66"/>
        <v>37800</v>
      </c>
      <c r="BA28" s="16">
        <f t="shared" si="66"/>
        <v>194400</v>
      </c>
      <c r="BB28" s="16">
        <f t="shared" si="66"/>
        <v>0</v>
      </c>
      <c r="BC28" s="16">
        <f t="shared" si="66"/>
        <v>0</v>
      </c>
      <c r="BD28" s="16">
        <f t="shared" si="66"/>
        <v>0</v>
      </c>
      <c r="BE28" s="16">
        <f t="shared" si="66"/>
        <v>0</v>
      </c>
      <c r="BF28" s="16">
        <f t="shared" si="66"/>
        <v>0</v>
      </c>
      <c r="BG28" s="16">
        <f t="shared" si="66"/>
        <v>0</v>
      </c>
      <c r="BH28" s="16">
        <f t="shared" si="66"/>
        <v>0</v>
      </c>
      <c r="BI28" s="16">
        <f t="shared" si="66"/>
        <v>0</v>
      </c>
      <c r="BJ28" s="16">
        <f t="shared" si="66"/>
        <v>0</v>
      </c>
      <c r="BK28" s="16">
        <f t="shared" si="66"/>
        <v>0</v>
      </c>
      <c r="BL28" s="16">
        <f t="shared" si="66"/>
        <v>0</v>
      </c>
      <c r="BM28" s="16">
        <f t="shared" si="66"/>
        <v>0</v>
      </c>
      <c r="BN28" s="16">
        <f t="shared" si="66"/>
        <v>0</v>
      </c>
      <c r="BO28" s="16">
        <f t="shared" si="66"/>
        <v>0</v>
      </c>
      <c r="BP28" s="16">
        <f t="shared" si="66"/>
        <v>0</v>
      </c>
      <c r="BQ28" s="16">
        <f t="shared" si="66"/>
        <v>0</v>
      </c>
      <c r="BR28" s="16">
        <f t="shared" ref="BR28:CW28" si="67">+BR27*Constr_Loan_Fees</f>
        <v>0</v>
      </c>
      <c r="BS28" s="16">
        <f t="shared" si="67"/>
        <v>0</v>
      </c>
      <c r="BT28" s="16">
        <f t="shared" si="67"/>
        <v>0</v>
      </c>
      <c r="BU28" s="16">
        <f t="shared" si="67"/>
        <v>0</v>
      </c>
      <c r="BV28" s="16">
        <f t="shared" si="67"/>
        <v>0</v>
      </c>
      <c r="BW28" s="16">
        <f t="shared" si="67"/>
        <v>0</v>
      </c>
      <c r="BX28" s="16">
        <f t="shared" si="67"/>
        <v>0</v>
      </c>
      <c r="BY28" s="16">
        <f t="shared" si="67"/>
        <v>0</v>
      </c>
      <c r="BZ28" s="16">
        <f t="shared" si="67"/>
        <v>0</v>
      </c>
      <c r="CA28" s="16">
        <f t="shared" si="67"/>
        <v>0</v>
      </c>
      <c r="CB28" s="16">
        <f t="shared" si="67"/>
        <v>0</v>
      </c>
      <c r="CC28" s="16">
        <f t="shared" si="67"/>
        <v>0</v>
      </c>
      <c r="CD28" s="16">
        <f t="shared" si="67"/>
        <v>0</v>
      </c>
      <c r="CE28" s="16">
        <f t="shared" si="67"/>
        <v>0</v>
      </c>
      <c r="CF28" s="16">
        <f t="shared" si="67"/>
        <v>0</v>
      </c>
      <c r="CG28" s="16">
        <f t="shared" si="67"/>
        <v>0</v>
      </c>
      <c r="CH28" s="16">
        <f t="shared" si="67"/>
        <v>0</v>
      </c>
      <c r="CI28" s="16">
        <f t="shared" si="67"/>
        <v>0</v>
      </c>
      <c r="CJ28" s="16">
        <f t="shared" si="67"/>
        <v>0</v>
      </c>
      <c r="CK28" s="16">
        <f t="shared" si="67"/>
        <v>0</v>
      </c>
      <c r="CL28" s="16">
        <f t="shared" si="67"/>
        <v>0</v>
      </c>
      <c r="CM28" s="16">
        <f t="shared" si="67"/>
        <v>0</v>
      </c>
      <c r="CN28" s="16">
        <f t="shared" si="67"/>
        <v>0</v>
      </c>
      <c r="CO28" s="16">
        <f t="shared" si="67"/>
        <v>0</v>
      </c>
      <c r="CP28" s="16">
        <f t="shared" si="67"/>
        <v>0</v>
      </c>
      <c r="CQ28" s="16">
        <f t="shared" si="67"/>
        <v>0</v>
      </c>
      <c r="CR28" s="16">
        <f t="shared" si="67"/>
        <v>0</v>
      </c>
      <c r="CS28" s="16">
        <f t="shared" si="67"/>
        <v>0</v>
      </c>
      <c r="CT28" s="16">
        <f t="shared" si="67"/>
        <v>0</v>
      </c>
      <c r="CU28" s="16">
        <f t="shared" si="67"/>
        <v>0</v>
      </c>
      <c r="CV28" s="16">
        <f t="shared" si="67"/>
        <v>0</v>
      </c>
      <c r="CW28" s="16">
        <f t="shared" si="67"/>
        <v>0</v>
      </c>
      <c r="CX28" s="16">
        <f t="shared" ref="CX28:DI28" si="68">+CX27*Constr_Loan_Fees</f>
        <v>0</v>
      </c>
      <c r="CY28" s="16">
        <f t="shared" si="68"/>
        <v>0</v>
      </c>
      <c r="CZ28" s="16">
        <f t="shared" si="68"/>
        <v>0</v>
      </c>
      <c r="DA28" s="16">
        <f t="shared" si="68"/>
        <v>0</v>
      </c>
      <c r="DB28" s="16">
        <f t="shared" si="68"/>
        <v>0</v>
      </c>
      <c r="DC28" s="16">
        <f t="shared" si="68"/>
        <v>0</v>
      </c>
      <c r="DD28" s="16">
        <f t="shared" si="68"/>
        <v>0</v>
      </c>
      <c r="DE28" s="16">
        <f t="shared" si="68"/>
        <v>0</v>
      </c>
      <c r="DF28" s="16">
        <f t="shared" si="68"/>
        <v>0</v>
      </c>
      <c r="DG28" s="16">
        <f t="shared" si="68"/>
        <v>0</v>
      </c>
      <c r="DH28" s="16">
        <f t="shared" si="68"/>
        <v>0</v>
      </c>
      <c r="DI28" s="16">
        <f t="shared" si="68"/>
        <v>0</v>
      </c>
    </row>
    <row r="29" spans="3:113" outlineLevel="1" x14ac:dyDescent="0.25">
      <c r="C29" s="156" t="s">
        <v>165</v>
      </c>
      <c r="D29" s="47" t="s">
        <v>107</v>
      </c>
      <c r="E29" s="155"/>
      <c r="F29" s="16">
        <f>+F26*F33</f>
        <v>0</v>
      </c>
      <c r="G29" s="16">
        <f t="shared" ref="G29:BR29" si="69">+G26*G33</f>
        <v>0</v>
      </c>
      <c r="H29" s="16">
        <f t="shared" si="69"/>
        <v>0</v>
      </c>
      <c r="I29" s="16">
        <f t="shared" si="69"/>
        <v>0</v>
      </c>
      <c r="J29" s="16">
        <f t="shared" si="69"/>
        <v>0</v>
      </c>
      <c r="K29" s="16">
        <f t="shared" si="69"/>
        <v>0</v>
      </c>
      <c r="L29" s="16">
        <f t="shared" si="69"/>
        <v>0</v>
      </c>
      <c r="M29" s="16">
        <f t="shared" si="69"/>
        <v>0</v>
      </c>
      <c r="N29" s="16">
        <f t="shared" si="69"/>
        <v>0</v>
      </c>
      <c r="O29" s="16">
        <f t="shared" si="69"/>
        <v>0</v>
      </c>
      <c r="P29" s="16">
        <f t="shared" si="69"/>
        <v>0</v>
      </c>
      <c r="Q29" s="16">
        <f t="shared" si="69"/>
        <v>0</v>
      </c>
      <c r="R29" s="16">
        <f t="shared" si="69"/>
        <v>0</v>
      </c>
      <c r="S29" s="16">
        <f t="shared" si="69"/>
        <v>0</v>
      </c>
      <c r="T29" s="16">
        <f t="shared" si="69"/>
        <v>0</v>
      </c>
      <c r="U29" s="16">
        <f t="shared" si="69"/>
        <v>0</v>
      </c>
      <c r="V29" s="16">
        <f t="shared" si="69"/>
        <v>0</v>
      </c>
      <c r="W29" s="16">
        <f t="shared" si="69"/>
        <v>0</v>
      </c>
      <c r="X29" s="16">
        <f t="shared" si="69"/>
        <v>104776.5776096272</v>
      </c>
      <c r="Y29" s="16">
        <f t="shared" si="69"/>
        <v>323702.78299728077</v>
      </c>
      <c r="Z29" s="16">
        <f t="shared" si="69"/>
        <v>551298.0157357743</v>
      </c>
      <c r="AA29" s="16">
        <f t="shared" si="69"/>
        <v>755378.20139739278</v>
      </c>
      <c r="AB29" s="16">
        <f t="shared" si="69"/>
        <v>958438.14573751844</v>
      </c>
      <c r="AC29" s="16">
        <f t="shared" si="69"/>
        <v>1142327.1374219703</v>
      </c>
      <c r="AD29" s="16">
        <f t="shared" si="69"/>
        <v>1306596.7337646449</v>
      </c>
      <c r="AE29" s="16">
        <f t="shared" si="69"/>
        <v>1440056.8673623507</v>
      </c>
      <c r="AF29" s="16">
        <f t="shared" si="69"/>
        <v>1557025.1928755683</v>
      </c>
      <c r="AG29" s="16">
        <f t="shared" si="69"/>
        <v>1639287.9658919976</v>
      </c>
      <c r="AH29" s="16">
        <f t="shared" si="69"/>
        <v>1712627.4413301412</v>
      </c>
      <c r="AI29" s="16">
        <f t="shared" si="69"/>
        <v>1754786.9934550885</v>
      </c>
      <c r="AJ29" s="16">
        <f t="shared" si="69"/>
        <v>1793414.9302947198</v>
      </c>
      <c r="AK29" s="16">
        <f t="shared" si="69"/>
        <v>1827015.5122034715</v>
      </c>
      <c r="AL29" s="16">
        <f t="shared" si="69"/>
        <v>1858530.9599305205</v>
      </c>
      <c r="AM29" s="16">
        <f t="shared" si="69"/>
        <v>1881657.0348982329</v>
      </c>
      <c r="AN29" s="16">
        <f t="shared" si="69"/>
        <v>1905618.004061861</v>
      </c>
      <c r="AO29" s="16">
        <f t="shared" si="69"/>
        <v>1931898.6202914396</v>
      </c>
      <c r="AP29" s="16">
        <f t="shared" si="69"/>
        <v>1965693.0640433209</v>
      </c>
      <c r="AQ29" s="16">
        <f t="shared" si="69"/>
        <v>2007031.9475809196</v>
      </c>
      <c r="AR29" s="16">
        <f t="shared" si="69"/>
        <v>2053353.6429222657</v>
      </c>
      <c r="AS29" s="16">
        <f t="shared" si="69"/>
        <v>2087272.5716185572</v>
      </c>
      <c r="AT29" s="16">
        <f t="shared" si="69"/>
        <v>2112441.5817825589</v>
      </c>
      <c r="AU29" s="16">
        <f t="shared" si="69"/>
        <v>2172895.229543176</v>
      </c>
      <c r="AV29" s="16">
        <f t="shared" si="69"/>
        <v>2223596.0509457346</v>
      </c>
      <c r="AW29" s="16">
        <f t="shared" si="69"/>
        <v>2247468.7705794647</v>
      </c>
      <c r="AX29" s="16">
        <f t="shared" si="69"/>
        <v>2322175.0363429431</v>
      </c>
      <c r="AY29" s="16">
        <f t="shared" si="69"/>
        <v>2340894.3111866433</v>
      </c>
      <c r="AZ29" s="16">
        <f t="shared" si="69"/>
        <v>2367837.2834157366</v>
      </c>
      <c r="BA29" s="16">
        <f t="shared" si="69"/>
        <v>2393038.3353891228</v>
      </c>
      <c r="BB29" s="16">
        <f t="shared" si="69"/>
        <v>0</v>
      </c>
      <c r="BC29" s="16">
        <f t="shared" si="69"/>
        <v>0</v>
      </c>
      <c r="BD29" s="16">
        <f t="shared" si="69"/>
        <v>0</v>
      </c>
      <c r="BE29" s="16">
        <f t="shared" si="69"/>
        <v>0</v>
      </c>
      <c r="BF29" s="16">
        <f t="shared" si="69"/>
        <v>0</v>
      </c>
      <c r="BG29" s="16">
        <f t="shared" si="69"/>
        <v>0</v>
      </c>
      <c r="BH29" s="16">
        <f t="shared" si="69"/>
        <v>0</v>
      </c>
      <c r="BI29" s="16">
        <f t="shared" si="69"/>
        <v>0</v>
      </c>
      <c r="BJ29" s="16">
        <f t="shared" si="69"/>
        <v>0</v>
      </c>
      <c r="BK29" s="16">
        <f t="shared" si="69"/>
        <v>0</v>
      </c>
      <c r="BL29" s="16">
        <f t="shared" si="69"/>
        <v>0</v>
      </c>
      <c r="BM29" s="16">
        <f t="shared" si="69"/>
        <v>0</v>
      </c>
      <c r="BN29" s="16">
        <f t="shared" si="69"/>
        <v>0</v>
      </c>
      <c r="BO29" s="16">
        <f t="shared" si="69"/>
        <v>0</v>
      </c>
      <c r="BP29" s="16">
        <f t="shared" si="69"/>
        <v>0</v>
      </c>
      <c r="BQ29" s="16">
        <f t="shared" si="69"/>
        <v>0</v>
      </c>
      <c r="BR29" s="16">
        <f t="shared" si="69"/>
        <v>0</v>
      </c>
      <c r="BS29" s="16">
        <f t="shared" ref="BS29:DI29" si="70">+BS26*BS33</f>
        <v>0</v>
      </c>
      <c r="BT29" s="16">
        <f t="shared" si="70"/>
        <v>0</v>
      </c>
      <c r="BU29" s="16">
        <f t="shared" si="70"/>
        <v>0</v>
      </c>
      <c r="BV29" s="16">
        <f t="shared" si="70"/>
        <v>0</v>
      </c>
      <c r="BW29" s="16">
        <f t="shared" si="70"/>
        <v>0</v>
      </c>
      <c r="BX29" s="16">
        <f t="shared" si="70"/>
        <v>0</v>
      </c>
      <c r="BY29" s="16">
        <f t="shared" si="70"/>
        <v>0</v>
      </c>
      <c r="BZ29" s="16">
        <f t="shared" si="70"/>
        <v>0</v>
      </c>
      <c r="CA29" s="16">
        <f t="shared" si="70"/>
        <v>0</v>
      </c>
      <c r="CB29" s="16">
        <f t="shared" si="70"/>
        <v>0</v>
      </c>
      <c r="CC29" s="16">
        <f t="shared" si="70"/>
        <v>0</v>
      </c>
      <c r="CD29" s="16">
        <f t="shared" si="70"/>
        <v>0</v>
      </c>
      <c r="CE29" s="16">
        <f t="shared" si="70"/>
        <v>0</v>
      </c>
      <c r="CF29" s="16">
        <f t="shared" si="70"/>
        <v>0</v>
      </c>
      <c r="CG29" s="16">
        <f t="shared" si="70"/>
        <v>0</v>
      </c>
      <c r="CH29" s="16">
        <f t="shared" si="70"/>
        <v>0</v>
      </c>
      <c r="CI29" s="16">
        <f t="shared" si="70"/>
        <v>0</v>
      </c>
      <c r="CJ29" s="16">
        <f t="shared" si="70"/>
        <v>0</v>
      </c>
      <c r="CK29" s="16">
        <f t="shared" si="70"/>
        <v>0</v>
      </c>
      <c r="CL29" s="16">
        <f t="shared" si="70"/>
        <v>0</v>
      </c>
      <c r="CM29" s="16">
        <f t="shared" si="70"/>
        <v>0</v>
      </c>
      <c r="CN29" s="16">
        <f t="shared" si="70"/>
        <v>0</v>
      </c>
      <c r="CO29" s="16">
        <f t="shared" si="70"/>
        <v>0</v>
      </c>
      <c r="CP29" s="16">
        <f t="shared" si="70"/>
        <v>0</v>
      </c>
      <c r="CQ29" s="16">
        <f t="shared" si="70"/>
        <v>0</v>
      </c>
      <c r="CR29" s="16">
        <f t="shared" si="70"/>
        <v>0</v>
      </c>
      <c r="CS29" s="16">
        <f t="shared" si="70"/>
        <v>0</v>
      </c>
      <c r="CT29" s="16">
        <f t="shared" si="70"/>
        <v>0</v>
      </c>
      <c r="CU29" s="16">
        <f t="shared" si="70"/>
        <v>0</v>
      </c>
      <c r="CV29" s="16">
        <f t="shared" si="70"/>
        <v>0</v>
      </c>
      <c r="CW29" s="16">
        <f t="shared" si="70"/>
        <v>0</v>
      </c>
      <c r="CX29" s="16">
        <f t="shared" si="70"/>
        <v>0</v>
      </c>
      <c r="CY29" s="16">
        <f t="shared" si="70"/>
        <v>0</v>
      </c>
      <c r="CZ29" s="16">
        <f t="shared" si="70"/>
        <v>0</v>
      </c>
      <c r="DA29" s="16">
        <f t="shared" si="70"/>
        <v>0</v>
      </c>
      <c r="DB29" s="16">
        <f t="shared" si="70"/>
        <v>0</v>
      </c>
      <c r="DC29" s="16">
        <f t="shared" si="70"/>
        <v>0</v>
      </c>
      <c r="DD29" s="16">
        <f t="shared" si="70"/>
        <v>0</v>
      </c>
      <c r="DE29" s="16">
        <f t="shared" si="70"/>
        <v>0</v>
      </c>
      <c r="DF29" s="16">
        <f t="shared" si="70"/>
        <v>0</v>
      </c>
      <c r="DG29" s="16">
        <f t="shared" si="70"/>
        <v>0</v>
      </c>
      <c r="DH29" s="16">
        <f t="shared" si="70"/>
        <v>0</v>
      </c>
      <c r="DI29" s="16">
        <f t="shared" si="70"/>
        <v>0</v>
      </c>
    </row>
    <row r="30" spans="3:113" outlineLevel="1" x14ac:dyDescent="0.25">
      <c r="C30" s="156" t="s">
        <v>150</v>
      </c>
      <c r="D30" s="47" t="s">
        <v>107</v>
      </c>
      <c r="E30" s="155"/>
      <c r="F30" s="16">
        <f>IF(F5=Refi_Date,-SUM(Monthly!F26:F29),0)</f>
        <v>0</v>
      </c>
      <c r="G30" s="16">
        <f>IF(G5=Refi_Date,-SUM(Monthly!G26:G29),0)</f>
        <v>0</v>
      </c>
      <c r="H30" s="16">
        <f>IF(H5=Refi_Date,-SUM(Monthly!H26:H29),0)</f>
        <v>0</v>
      </c>
      <c r="I30" s="16">
        <f>IF(I5=Refi_Date,-SUM(Monthly!I26:I29),0)</f>
        <v>0</v>
      </c>
      <c r="J30" s="16">
        <f>IF(J5=Refi_Date,-SUM(Monthly!J26:J29),0)</f>
        <v>0</v>
      </c>
      <c r="K30" s="16">
        <f>IF(K5=Refi_Date,-SUM(Monthly!K26:K29),0)</f>
        <v>0</v>
      </c>
      <c r="L30" s="16">
        <f>IF(L5=Refi_Date,-SUM(Monthly!L26:L29),0)</f>
        <v>0</v>
      </c>
      <c r="M30" s="16">
        <f>IF(M5=Refi_Date,-SUM(Monthly!M26:M29),0)</f>
        <v>0</v>
      </c>
      <c r="N30" s="16">
        <f>IF(N5=Refi_Date,-SUM(Monthly!N26:N29),0)</f>
        <v>0</v>
      </c>
      <c r="O30" s="16">
        <f>IF(O5=Refi_Date,-SUM(Monthly!O26:O29),0)</f>
        <v>0</v>
      </c>
      <c r="P30" s="16">
        <f>IF(P5=Refi_Date,-SUM(Monthly!P26:P29),0)</f>
        <v>0</v>
      </c>
      <c r="Q30" s="16">
        <f>IF(Q5=Refi_Date,-SUM(Monthly!Q26:Q29),0)</f>
        <v>0</v>
      </c>
      <c r="R30" s="16">
        <f>IF(R5=Refi_Date,-SUM(Monthly!R26:R29),0)</f>
        <v>0</v>
      </c>
      <c r="S30" s="16">
        <f>IF(S5=Refi_Date,-SUM(Monthly!S26:S29),0)</f>
        <v>0</v>
      </c>
      <c r="T30" s="16">
        <f>IF(T5=Refi_Date,-SUM(Monthly!T26:T29),0)</f>
        <v>0</v>
      </c>
      <c r="U30" s="16">
        <f>IF(U5=Refi_Date,-SUM(Monthly!U26:U29),0)</f>
        <v>0</v>
      </c>
      <c r="V30" s="16">
        <f>IF(V5=Refi_Date,-SUM(Monthly!V26:V29),0)</f>
        <v>0</v>
      </c>
      <c r="W30" s="16">
        <f>IF(W5=Refi_Date,-SUM(Monthly!W26:W29),0)</f>
        <v>0</v>
      </c>
      <c r="X30" s="16">
        <f>IF(X5=Refi_Date,-SUM(Monthly!X26:X29),0)</f>
        <v>0</v>
      </c>
      <c r="Y30" s="16">
        <f>IF(Y5=Refi_Date,-SUM(Monthly!Y26:Y29),0)</f>
        <v>0</v>
      </c>
      <c r="Z30" s="16">
        <f>IF(Z5=Refi_Date,-SUM(Monthly!Z26:Z29),0)</f>
        <v>0</v>
      </c>
      <c r="AA30" s="16">
        <f>IF(AA5=Refi_Date,-SUM(Monthly!AA26:AA29),0)</f>
        <v>0</v>
      </c>
      <c r="AB30" s="16">
        <f>IF(AB5=Refi_Date,-SUM(Monthly!AB26:AB29),0)</f>
        <v>0</v>
      </c>
      <c r="AC30" s="16">
        <f>IF(AC5=Refi_Date,-SUM(Monthly!AC26:AC29),0)</f>
        <v>0</v>
      </c>
      <c r="AD30" s="16">
        <f>IF(AD5=Refi_Date,-SUM(Monthly!AD26:AD29),0)</f>
        <v>0</v>
      </c>
      <c r="AE30" s="16">
        <f>IF(AE5=Refi_Date,-SUM(Monthly!AE26:AE29),0)</f>
        <v>0</v>
      </c>
      <c r="AF30" s="16">
        <f>IF(AF5=Refi_Date,-SUM(Monthly!AF26:AF29),0)</f>
        <v>0</v>
      </c>
      <c r="AG30" s="16">
        <f>IF(AG5=Refi_Date,-SUM(Monthly!AG26:AG29),0)</f>
        <v>0</v>
      </c>
      <c r="AH30" s="16">
        <f>IF(AH5=Refi_Date,-SUM(Monthly!AH26:AH29),0)</f>
        <v>0</v>
      </c>
      <c r="AI30" s="16">
        <f>IF(AI5=Refi_Date,-SUM(Monthly!AI26:AI29),0)</f>
        <v>0</v>
      </c>
      <c r="AJ30" s="16">
        <f>IF(AJ5=Refi_Date,-SUM(Monthly!AJ26:AJ29),0)</f>
        <v>0</v>
      </c>
      <c r="AK30" s="16">
        <f>IF(AK5=Refi_Date,-SUM(Monthly!AK26:AK29),0)</f>
        <v>0</v>
      </c>
      <c r="AL30" s="16">
        <f>IF(AL5=Refi_Date,-SUM(Monthly!AL26:AL29),0)</f>
        <v>0</v>
      </c>
      <c r="AM30" s="16">
        <f>IF(AM5=Refi_Date,-SUM(Monthly!AM26:AM29),0)</f>
        <v>0</v>
      </c>
      <c r="AN30" s="16">
        <f>IF(AN5=Refi_Date,-SUM(Monthly!AN26:AN29),0)</f>
        <v>0</v>
      </c>
      <c r="AO30" s="16">
        <f>IF(AO5=Refi_Date,-SUM(Monthly!AO26:AO29),0)</f>
        <v>0</v>
      </c>
      <c r="AP30" s="16">
        <f>IF(AP5=Refi_Date,-SUM(Monthly!AP26:AP29),0)</f>
        <v>0</v>
      </c>
      <c r="AQ30" s="16">
        <f>IF(AQ5=Refi_Date,-SUM(Monthly!AQ26:AQ29),0)</f>
        <v>0</v>
      </c>
      <c r="AR30" s="16">
        <f>IF(AR5=Refi_Date,-SUM(Monthly!AR26:AR29),0)</f>
        <v>0</v>
      </c>
      <c r="AS30" s="16">
        <f>IF(AS5=Refi_Date,-SUM(Monthly!AS26:AS29),0)</f>
        <v>0</v>
      </c>
      <c r="AT30" s="16">
        <f>IF(AT5=Refi_Date,-SUM(Monthly!AT26:AT29),0)</f>
        <v>0</v>
      </c>
      <c r="AU30" s="16">
        <f>IF(AU5=Refi_Date,-SUM(Monthly!AU26:AU29),0)</f>
        <v>0</v>
      </c>
      <c r="AV30" s="16">
        <f>IF(AV5=Refi_Date,-SUM(Monthly!AV26:AV29),0)</f>
        <v>0</v>
      </c>
      <c r="AW30" s="16">
        <f>IF(AW5=Refi_Date,-SUM(Monthly!AW26:AW29),0)</f>
        <v>0</v>
      </c>
      <c r="AX30" s="16">
        <f>IF(AX5=Refi_Date,-SUM(Monthly!AX26:AX29),0)</f>
        <v>0</v>
      </c>
      <c r="AY30" s="16">
        <f>IF(AY5=Refi_Date,-SUM(Monthly!AY26:AY29),0)</f>
        <v>0</v>
      </c>
      <c r="AZ30" s="16">
        <f>IF(AZ5=Refi_Date,-SUM(Monthly!AZ26:AZ29),0)</f>
        <v>0</v>
      </c>
      <c r="BA30" s="16">
        <f>IF(BA5=Refi_Date,-SUM(Monthly!BA26:BA29),0)</f>
        <v>-609402408.38261032</v>
      </c>
      <c r="BB30" s="16">
        <f>IF(BB5=Refi_Date,-SUM(Monthly!BB26:BB29),0)</f>
        <v>0</v>
      </c>
      <c r="BC30" s="16">
        <f>IF(BC5=Refi_Date,-SUM(Monthly!BC26:BC29),0)</f>
        <v>0</v>
      </c>
      <c r="BD30" s="16">
        <f>IF(BD5=Refi_Date,-SUM(Monthly!BD26:BD29),0)</f>
        <v>0</v>
      </c>
      <c r="BE30" s="16">
        <f>IF(BE5=Refi_Date,-SUM(Monthly!BE26:BE29),0)</f>
        <v>0</v>
      </c>
      <c r="BF30" s="16">
        <f>IF(BF5=Refi_Date,-SUM(Monthly!BF26:BF29),0)</f>
        <v>0</v>
      </c>
      <c r="BG30" s="16">
        <f>IF(BG5=Refi_Date,-SUM(Monthly!BG26:BG29),0)</f>
        <v>0</v>
      </c>
      <c r="BH30" s="16">
        <f>IF(BH5=Refi_Date,-SUM(Monthly!BH26:BH29),0)</f>
        <v>0</v>
      </c>
      <c r="BI30" s="16">
        <f>IF(BI5=Refi_Date,-SUM(Monthly!BI26:BI29),0)</f>
        <v>0</v>
      </c>
      <c r="BJ30" s="16">
        <f>IF(BJ5=Refi_Date,-SUM(Monthly!BJ26:BJ29),0)</f>
        <v>0</v>
      </c>
      <c r="BK30" s="16">
        <f>IF(BK5=Refi_Date,-SUM(Monthly!BK26:BK29),0)</f>
        <v>0</v>
      </c>
      <c r="BL30" s="16">
        <f>IF(BL5=Refi_Date,-SUM(Monthly!BL26:BL29),0)</f>
        <v>0</v>
      </c>
      <c r="BM30" s="16">
        <f>IF(BM5=Refi_Date,-SUM(Monthly!BM26:BM29),0)</f>
        <v>0</v>
      </c>
      <c r="BN30" s="16">
        <f>IF(BN5=Refi_Date,-SUM(Monthly!BN26:BN29),0)</f>
        <v>0</v>
      </c>
      <c r="BO30" s="16">
        <f>IF(BO5=Refi_Date,-SUM(Monthly!BO26:BO29),0)</f>
        <v>0</v>
      </c>
      <c r="BP30" s="16">
        <f>IF(BP5=Refi_Date,-SUM(Monthly!BP26:BP29),0)</f>
        <v>0</v>
      </c>
      <c r="BQ30" s="16">
        <f>IF(BQ5=Refi_Date,-SUM(Monthly!BQ26:BQ29),0)</f>
        <v>0</v>
      </c>
      <c r="BR30" s="16">
        <f>IF(BR5=Refi_Date,-SUM(Monthly!BR26:BR29),0)</f>
        <v>0</v>
      </c>
      <c r="BS30" s="16">
        <f>IF(BS5=Refi_Date,-SUM(Monthly!BS26:BS29),0)</f>
        <v>0</v>
      </c>
      <c r="BT30" s="16">
        <f>IF(BT5=Refi_Date,-SUM(Monthly!BT26:BT29),0)</f>
        <v>0</v>
      </c>
      <c r="BU30" s="16">
        <f>IF(BU5=Refi_Date,-SUM(Monthly!BU26:BU29),0)</f>
        <v>0</v>
      </c>
      <c r="BV30" s="16">
        <f>IF(BV5=Refi_Date,-SUM(Monthly!BV26:BV29),0)</f>
        <v>0</v>
      </c>
      <c r="BW30" s="16">
        <f>IF(BW5=Refi_Date,-SUM(Monthly!BW26:BW29),0)</f>
        <v>0</v>
      </c>
      <c r="BX30" s="16">
        <f>IF(BX5=Refi_Date,-SUM(Monthly!BX26:BX29),0)</f>
        <v>0</v>
      </c>
      <c r="BY30" s="16">
        <f>IF(BY5=Refi_Date,-SUM(Monthly!BY26:BY29),0)</f>
        <v>0</v>
      </c>
      <c r="BZ30" s="16">
        <f>IF(BZ5=Refi_Date,-SUM(Monthly!BZ26:BZ29),0)</f>
        <v>0</v>
      </c>
      <c r="CA30" s="16">
        <f>IF(CA5=Refi_Date,-SUM(Monthly!CA26:CA29),0)</f>
        <v>0</v>
      </c>
      <c r="CB30" s="16">
        <f>IF(CB5=Refi_Date,-SUM(Monthly!CB26:CB29),0)</f>
        <v>0</v>
      </c>
      <c r="CC30" s="16">
        <f>IF(CC5=Refi_Date,-SUM(Monthly!CC26:CC29),0)</f>
        <v>0</v>
      </c>
      <c r="CD30" s="16">
        <f>IF(CD5=Refi_Date,-SUM(Monthly!CD26:CD29),0)</f>
        <v>0</v>
      </c>
      <c r="CE30" s="16">
        <f>IF(CE5=Refi_Date,-SUM(Monthly!CE26:CE29),0)</f>
        <v>0</v>
      </c>
      <c r="CF30" s="16">
        <f>IF(CF5=Refi_Date,-SUM(Monthly!CF26:CF29),0)</f>
        <v>0</v>
      </c>
      <c r="CG30" s="16">
        <f>IF(CG5=Refi_Date,-SUM(Monthly!CG26:CG29),0)</f>
        <v>0</v>
      </c>
      <c r="CH30" s="16">
        <f>IF(CH5=Refi_Date,-SUM(Monthly!CH26:CH29),0)</f>
        <v>0</v>
      </c>
      <c r="CI30" s="16">
        <f>IF(CI5=Refi_Date,-SUM(Monthly!CI26:CI29),0)</f>
        <v>0</v>
      </c>
      <c r="CJ30" s="16">
        <f>IF(CJ5=Refi_Date,-SUM(Monthly!CJ26:CJ29),0)</f>
        <v>0</v>
      </c>
      <c r="CK30" s="16">
        <f>IF(CK5=Refi_Date,-SUM(Monthly!CK26:CK29),0)</f>
        <v>0</v>
      </c>
      <c r="CL30" s="16">
        <f>IF(CL5=Refi_Date,-SUM(Monthly!CL26:CL29),0)</f>
        <v>0</v>
      </c>
      <c r="CM30" s="16">
        <f>IF(CM5=Refi_Date,-SUM(Monthly!CM26:CM29),0)</f>
        <v>0</v>
      </c>
      <c r="CN30" s="16">
        <f>IF(CN5=Refi_Date,-SUM(Monthly!CN26:CN29),0)</f>
        <v>0</v>
      </c>
      <c r="CO30" s="16">
        <f>IF(CO5=Refi_Date,-SUM(Monthly!CO26:CO29),0)</f>
        <v>0</v>
      </c>
      <c r="CP30" s="16">
        <f>IF(CP5=Refi_Date,-SUM(Monthly!CP26:CP29),0)</f>
        <v>0</v>
      </c>
      <c r="CQ30" s="16">
        <f>IF(CQ5=Refi_Date,-SUM(Monthly!CQ26:CQ29),0)</f>
        <v>0</v>
      </c>
      <c r="CR30" s="16">
        <f>IF(CR5=Refi_Date,-SUM(Monthly!CR26:CR29),0)</f>
        <v>0</v>
      </c>
      <c r="CS30" s="16">
        <f>IF(CS5=Refi_Date,-SUM(Monthly!CS26:CS29),0)</f>
        <v>0</v>
      </c>
      <c r="CT30" s="16">
        <f>IF(CT5=Refi_Date,-SUM(Monthly!CT26:CT29),0)</f>
        <v>0</v>
      </c>
      <c r="CU30" s="16">
        <f>IF(CU5=Refi_Date,-SUM(Monthly!CU26:CU29),0)</f>
        <v>0</v>
      </c>
      <c r="CV30" s="16">
        <f>IF(CV5=Refi_Date,-SUM(Monthly!CV26:CV29),0)</f>
        <v>0</v>
      </c>
      <c r="CW30" s="16">
        <f>IF(CW5=Refi_Date,-SUM(Monthly!CW26:CW29),0)</f>
        <v>0</v>
      </c>
      <c r="CX30" s="16">
        <f>IF(CX5=Refi_Date,-SUM(Monthly!CX26:CX29),0)</f>
        <v>0</v>
      </c>
      <c r="CY30" s="16">
        <f>IF(CY5=Refi_Date,-SUM(Monthly!CY26:CY29),0)</f>
        <v>0</v>
      </c>
      <c r="CZ30" s="16">
        <f>IF(CZ5=Refi_Date,-SUM(Monthly!CZ26:CZ29),0)</f>
        <v>0</v>
      </c>
      <c r="DA30" s="16">
        <f>IF(DA5=Refi_Date,-SUM(Monthly!DA26:DA29),0)</f>
        <v>0</v>
      </c>
      <c r="DB30" s="16">
        <f>IF(DB5=Refi_Date,-SUM(Monthly!DB26:DB29),0)</f>
        <v>0</v>
      </c>
      <c r="DC30" s="16">
        <f>IF(DC5=Refi_Date,-SUM(Monthly!DC26:DC29),0)</f>
        <v>0</v>
      </c>
      <c r="DD30" s="16">
        <f>IF(DD5=Refi_Date,-SUM(Monthly!DD26:DD29),0)</f>
        <v>0</v>
      </c>
      <c r="DE30" s="16">
        <f>IF(DE5=Refi_Date,-SUM(Monthly!DE26:DE29),0)</f>
        <v>0</v>
      </c>
      <c r="DF30" s="16">
        <f>IF(DF5=Refi_Date,-SUM(Monthly!DF26:DF29),0)</f>
        <v>0</v>
      </c>
      <c r="DG30" s="16">
        <f>IF(DG5=Refi_Date,-SUM(Monthly!DG26:DG29),0)</f>
        <v>0</v>
      </c>
      <c r="DH30" s="16">
        <f>IF(DH5=Refi_Date,-SUM(Monthly!DH26:DH29),0)</f>
        <v>0</v>
      </c>
      <c r="DI30" s="16">
        <f>IF(DI5=Refi_Date,-SUM(Monthly!DI26:DI29),0)</f>
        <v>0</v>
      </c>
    </row>
    <row r="31" spans="3:113" outlineLevel="1" x14ac:dyDescent="0.25">
      <c r="C31" s="38" t="s">
        <v>92</v>
      </c>
      <c r="D31" s="157" t="s">
        <v>107</v>
      </c>
      <c r="E31" s="158">
        <v>0</v>
      </c>
      <c r="F31" s="29">
        <f>SUM(F26:F30)</f>
        <v>0</v>
      </c>
      <c r="G31" s="29">
        <f t="shared" ref="G31:BR31" si="71">SUM(G26:G30)</f>
        <v>0</v>
      </c>
      <c r="H31" s="29">
        <f t="shared" si="71"/>
        <v>0</v>
      </c>
      <c r="I31" s="29">
        <f t="shared" si="71"/>
        <v>0</v>
      </c>
      <c r="J31" s="29">
        <f t="shared" si="71"/>
        <v>0</v>
      </c>
      <c r="K31" s="29">
        <f t="shared" si="71"/>
        <v>0</v>
      </c>
      <c r="L31" s="29">
        <f t="shared" si="71"/>
        <v>0</v>
      </c>
      <c r="M31" s="29">
        <f t="shared" si="71"/>
        <v>0</v>
      </c>
      <c r="N31" s="29">
        <f t="shared" si="71"/>
        <v>0</v>
      </c>
      <c r="O31" s="29">
        <f t="shared" si="71"/>
        <v>0</v>
      </c>
      <c r="P31" s="29">
        <f t="shared" si="71"/>
        <v>0</v>
      </c>
      <c r="Q31" s="29">
        <f t="shared" si="71"/>
        <v>0</v>
      </c>
      <c r="R31" s="29">
        <f t="shared" si="71"/>
        <v>0</v>
      </c>
      <c r="S31" s="29">
        <f t="shared" si="71"/>
        <v>0</v>
      </c>
      <c r="T31" s="29">
        <f t="shared" si="71"/>
        <v>0</v>
      </c>
      <c r="U31" s="29">
        <f t="shared" si="71"/>
        <v>0</v>
      </c>
      <c r="V31" s="29">
        <f t="shared" si="71"/>
        <v>0</v>
      </c>
      <c r="W31" s="29">
        <f t="shared" si="71"/>
        <v>25717573.440000001</v>
      </c>
      <c r="X31" s="29">
        <f t="shared" si="71"/>
        <v>79453350.017609641</v>
      </c>
      <c r="Y31" s="29">
        <f t="shared" si="71"/>
        <v>135316952.80060691</v>
      </c>
      <c r="Z31" s="29">
        <f t="shared" si="71"/>
        <v>185408750.81634268</v>
      </c>
      <c r="AA31" s="29">
        <f t="shared" si="71"/>
        <v>235250129.01774007</v>
      </c>
      <c r="AB31" s="29">
        <f t="shared" si="71"/>
        <v>280385967.1634776</v>
      </c>
      <c r="AC31" s="29">
        <f t="shared" si="71"/>
        <v>320706194.30089957</v>
      </c>
      <c r="AD31" s="29">
        <f t="shared" si="71"/>
        <v>353464191.03466421</v>
      </c>
      <c r="AE31" s="29">
        <f t="shared" si="71"/>
        <v>382174247.90202659</v>
      </c>
      <c r="AF31" s="29">
        <f t="shared" si="71"/>
        <v>402365773.09490216</v>
      </c>
      <c r="AG31" s="29">
        <f t="shared" si="71"/>
        <v>420367061.06079417</v>
      </c>
      <c r="AH31" s="29">
        <f t="shared" si="71"/>
        <v>430715188.50212431</v>
      </c>
      <c r="AI31" s="29">
        <f t="shared" si="71"/>
        <v>440196475.49557942</v>
      </c>
      <c r="AJ31" s="29">
        <f t="shared" si="71"/>
        <v>448443790.42587411</v>
      </c>
      <c r="AK31" s="29">
        <f t="shared" si="71"/>
        <v>456179305.93807757</v>
      </c>
      <c r="AL31" s="29">
        <f t="shared" si="71"/>
        <v>461855636.89800811</v>
      </c>
      <c r="AM31" s="29">
        <f t="shared" si="71"/>
        <v>467736893.93290633</v>
      </c>
      <c r="AN31" s="29">
        <f t="shared" si="71"/>
        <v>474187511.93696821</v>
      </c>
      <c r="AO31" s="29">
        <f t="shared" si="71"/>
        <v>482482410.55725962</v>
      </c>
      <c r="AP31" s="29">
        <f t="shared" si="71"/>
        <v>492629103.62130296</v>
      </c>
      <c r="AQ31" s="29">
        <f t="shared" si="71"/>
        <v>503998835.5688839</v>
      </c>
      <c r="AR31" s="29">
        <f t="shared" si="71"/>
        <v>512324289.21180618</v>
      </c>
      <c r="AS31" s="29">
        <f t="shared" si="71"/>
        <v>518502061.78342474</v>
      </c>
      <c r="AT31" s="29">
        <f t="shared" si="71"/>
        <v>533340503.36520731</v>
      </c>
      <c r="AU31" s="29">
        <f t="shared" si="71"/>
        <v>545785098.59475052</v>
      </c>
      <c r="AV31" s="29">
        <f t="shared" si="71"/>
        <v>551644694.64569628</v>
      </c>
      <c r="AW31" s="29">
        <f t="shared" si="71"/>
        <v>569981463.41627574</v>
      </c>
      <c r="AX31" s="29">
        <f t="shared" si="71"/>
        <v>574576138.45261872</v>
      </c>
      <c r="AY31" s="29">
        <f t="shared" si="71"/>
        <v>581189332.76380539</v>
      </c>
      <c r="AZ31" s="29">
        <f t="shared" si="71"/>
        <v>587374970.04722118</v>
      </c>
      <c r="BA31" s="29">
        <f t="shared" si="71"/>
        <v>0</v>
      </c>
      <c r="BB31" s="29">
        <f t="shared" si="71"/>
        <v>0</v>
      </c>
      <c r="BC31" s="29">
        <f t="shared" si="71"/>
        <v>0</v>
      </c>
      <c r="BD31" s="29">
        <f t="shared" si="71"/>
        <v>0</v>
      </c>
      <c r="BE31" s="29">
        <f t="shared" si="71"/>
        <v>0</v>
      </c>
      <c r="BF31" s="29">
        <f t="shared" si="71"/>
        <v>0</v>
      </c>
      <c r="BG31" s="29">
        <f t="shared" si="71"/>
        <v>0</v>
      </c>
      <c r="BH31" s="29">
        <f t="shared" si="71"/>
        <v>0</v>
      </c>
      <c r="BI31" s="29">
        <f t="shared" si="71"/>
        <v>0</v>
      </c>
      <c r="BJ31" s="29">
        <f t="shared" si="71"/>
        <v>0</v>
      </c>
      <c r="BK31" s="29">
        <f t="shared" si="71"/>
        <v>0</v>
      </c>
      <c r="BL31" s="29">
        <f t="shared" si="71"/>
        <v>0</v>
      </c>
      <c r="BM31" s="29">
        <f t="shared" si="71"/>
        <v>0</v>
      </c>
      <c r="BN31" s="29">
        <f t="shared" si="71"/>
        <v>0</v>
      </c>
      <c r="BO31" s="29">
        <f t="shared" si="71"/>
        <v>0</v>
      </c>
      <c r="BP31" s="29">
        <f t="shared" si="71"/>
        <v>0</v>
      </c>
      <c r="BQ31" s="29">
        <f t="shared" si="71"/>
        <v>0</v>
      </c>
      <c r="BR31" s="29">
        <f t="shared" si="71"/>
        <v>0</v>
      </c>
      <c r="BS31" s="29">
        <f t="shared" ref="BS31:DI31" si="72">SUM(BS26:BS30)</f>
        <v>0</v>
      </c>
      <c r="BT31" s="29">
        <f t="shared" si="72"/>
        <v>0</v>
      </c>
      <c r="BU31" s="29">
        <f t="shared" si="72"/>
        <v>0</v>
      </c>
      <c r="BV31" s="29">
        <f t="shared" si="72"/>
        <v>0</v>
      </c>
      <c r="BW31" s="29">
        <f t="shared" si="72"/>
        <v>0</v>
      </c>
      <c r="BX31" s="29">
        <f t="shared" si="72"/>
        <v>0</v>
      </c>
      <c r="BY31" s="29">
        <f t="shared" si="72"/>
        <v>0</v>
      </c>
      <c r="BZ31" s="29">
        <f t="shared" si="72"/>
        <v>0</v>
      </c>
      <c r="CA31" s="29">
        <f t="shared" si="72"/>
        <v>0</v>
      </c>
      <c r="CB31" s="29">
        <f t="shared" si="72"/>
        <v>0</v>
      </c>
      <c r="CC31" s="29">
        <f t="shared" si="72"/>
        <v>0</v>
      </c>
      <c r="CD31" s="29">
        <f t="shared" si="72"/>
        <v>0</v>
      </c>
      <c r="CE31" s="29">
        <f t="shared" si="72"/>
        <v>0</v>
      </c>
      <c r="CF31" s="29">
        <f t="shared" si="72"/>
        <v>0</v>
      </c>
      <c r="CG31" s="29">
        <f t="shared" si="72"/>
        <v>0</v>
      </c>
      <c r="CH31" s="29">
        <f t="shared" si="72"/>
        <v>0</v>
      </c>
      <c r="CI31" s="29">
        <f t="shared" si="72"/>
        <v>0</v>
      </c>
      <c r="CJ31" s="29">
        <f t="shared" si="72"/>
        <v>0</v>
      </c>
      <c r="CK31" s="29">
        <f t="shared" si="72"/>
        <v>0</v>
      </c>
      <c r="CL31" s="29">
        <f t="shared" si="72"/>
        <v>0</v>
      </c>
      <c r="CM31" s="29">
        <f t="shared" si="72"/>
        <v>0</v>
      </c>
      <c r="CN31" s="29">
        <f t="shared" si="72"/>
        <v>0</v>
      </c>
      <c r="CO31" s="29">
        <f t="shared" si="72"/>
        <v>0</v>
      </c>
      <c r="CP31" s="29">
        <f t="shared" si="72"/>
        <v>0</v>
      </c>
      <c r="CQ31" s="29">
        <f t="shared" si="72"/>
        <v>0</v>
      </c>
      <c r="CR31" s="29">
        <f t="shared" si="72"/>
        <v>0</v>
      </c>
      <c r="CS31" s="29">
        <f t="shared" si="72"/>
        <v>0</v>
      </c>
      <c r="CT31" s="29">
        <f t="shared" si="72"/>
        <v>0</v>
      </c>
      <c r="CU31" s="29">
        <f t="shared" si="72"/>
        <v>0</v>
      </c>
      <c r="CV31" s="29">
        <f t="shared" si="72"/>
        <v>0</v>
      </c>
      <c r="CW31" s="29">
        <f t="shared" si="72"/>
        <v>0</v>
      </c>
      <c r="CX31" s="29">
        <f t="shared" si="72"/>
        <v>0</v>
      </c>
      <c r="CY31" s="29">
        <f t="shared" si="72"/>
        <v>0</v>
      </c>
      <c r="CZ31" s="29">
        <f t="shared" si="72"/>
        <v>0</v>
      </c>
      <c r="DA31" s="29">
        <f t="shared" si="72"/>
        <v>0</v>
      </c>
      <c r="DB31" s="29">
        <f t="shared" si="72"/>
        <v>0</v>
      </c>
      <c r="DC31" s="29">
        <f t="shared" si="72"/>
        <v>0</v>
      </c>
      <c r="DD31" s="29">
        <f t="shared" si="72"/>
        <v>0</v>
      </c>
      <c r="DE31" s="29">
        <f t="shared" si="72"/>
        <v>0</v>
      </c>
      <c r="DF31" s="29">
        <f t="shared" si="72"/>
        <v>0</v>
      </c>
      <c r="DG31" s="29">
        <f t="shared" si="72"/>
        <v>0</v>
      </c>
      <c r="DH31" s="29">
        <f t="shared" si="72"/>
        <v>0</v>
      </c>
      <c r="DI31" s="29">
        <f t="shared" si="72"/>
        <v>0</v>
      </c>
    </row>
    <row r="32" spans="3:113" outlineLevel="1" x14ac:dyDescent="0.25"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232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193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</row>
    <row r="33" spans="2:113" outlineLevel="1" x14ac:dyDescent="0.25">
      <c r="C33" s="5" t="s">
        <v>12</v>
      </c>
      <c r="D33" s="47" t="s">
        <v>107</v>
      </c>
      <c r="F33" s="147">
        <f t="shared" ref="F33:AK33" si="73">Constr_Loan_Monthly_Interest</f>
        <v>4.0741237836483535E-3</v>
      </c>
      <c r="G33" s="147">
        <f t="shared" si="73"/>
        <v>4.0741237836483535E-3</v>
      </c>
      <c r="H33" s="147">
        <f t="shared" si="73"/>
        <v>4.0741237836483535E-3</v>
      </c>
      <c r="I33" s="147">
        <f t="shared" si="73"/>
        <v>4.0741237836483535E-3</v>
      </c>
      <c r="J33" s="147">
        <f t="shared" si="73"/>
        <v>4.0741237836483535E-3</v>
      </c>
      <c r="K33" s="147">
        <f t="shared" si="73"/>
        <v>4.0741237836483535E-3</v>
      </c>
      <c r="L33" s="147">
        <f t="shared" si="73"/>
        <v>4.0741237836483535E-3</v>
      </c>
      <c r="M33" s="147">
        <f t="shared" si="73"/>
        <v>4.0741237836483535E-3</v>
      </c>
      <c r="N33" s="147">
        <f t="shared" si="73"/>
        <v>4.0741237836483535E-3</v>
      </c>
      <c r="O33" s="147">
        <f t="shared" si="73"/>
        <v>4.0741237836483535E-3</v>
      </c>
      <c r="P33" s="147">
        <f t="shared" si="73"/>
        <v>4.0741237836483535E-3</v>
      </c>
      <c r="Q33" s="147">
        <f t="shared" si="73"/>
        <v>4.0741237836483535E-3</v>
      </c>
      <c r="R33" s="147">
        <f t="shared" si="73"/>
        <v>4.0741237836483535E-3</v>
      </c>
      <c r="S33" s="147">
        <f t="shared" si="73"/>
        <v>4.0741237836483535E-3</v>
      </c>
      <c r="T33" s="147">
        <f t="shared" si="73"/>
        <v>4.0741237836483535E-3</v>
      </c>
      <c r="U33" s="147">
        <f t="shared" si="73"/>
        <v>4.0741237836483535E-3</v>
      </c>
      <c r="V33" s="147">
        <f t="shared" si="73"/>
        <v>4.0741237836483535E-3</v>
      </c>
      <c r="W33" s="147">
        <f t="shared" si="73"/>
        <v>4.0741237836483535E-3</v>
      </c>
      <c r="X33" s="147">
        <f t="shared" si="73"/>
        <v>4.0741237836483535E-3</v>
      </c>
      <c r="Y33" s="147">
        <f t="shared" si="73"/>
        <v>4.0741237836483535E-3</v>
      </c>
      <c r="Z33" s="147">
        <f t="shared" si="73"/>
        <v>4.0741237836483535E-3</v>
      </c>
      <c r="AA33" s="147">
        <f t="shared" si="73"/>
        <v>4.0741237836483535E-3</v>
      </c>
      <c r="AB33" s="147">
        <f t="shared" si="73"/>
        <v>4.0741237836483535E-3</v>
      </c>
      <c r="AC33" s="147">
        <f t="shared" si="73"/>
        <v>4.0741237836483535E-3</v>
      </c>
      <c r="AD33" s="147">
        <f t="shared" si="73"/>
        <v>4.0741237836483535E-3</v>
      </c>
      <c r="AE33" s="147">
        <f t="shared" si="73"/>
        <v>4.0741237836483535E-3</v>
      </c>
      <c r="AF33" s="147">
        <f t="shared" si="73"/>
        <v>4.0741237836483535E-3</v>
      </c>
      <c r="AG33" s="147">
        <f t="shared" si="73"/>
        <v>4.0741237836483535E-3</v>
      </c>
      <c r="AH33" s="147">
        <f t="shared" si="73"/>
        <v>4.0741237836483535E-3</v>
      </c>
      <c r="AI33" s="147">
        <f t="shared" si="73"/>
        <v>4.0741237836483535E-3</v>
      </c>
      <c r="AJ33" s="147">
        <f t="shared" si="73"/>
        <v>4.0741237836483535E-3</v>
      </c>
      <c r="AK33" s="147">
        <f t="shared" si="73"/>
        <v>4.0741237836483535E-3</v>
      </c>
      <c r="AL33" s="147">
        <f t="shared" ref="AL33:BQ33" si="74">Constr_Loan_Monthly_Interest</f>
        <v>4.0741237836483535E-3</v>
      </c>
      <c r="AM33" s="147">
        <f t="shared" si="74"/>
        <v>4.0741237836483535E-3</v>
      </c>
      <c r="AN33" s="147">
        <f t="shared" si="74"/>
        <v>4.0741237836483535E-3</v>
      </c>
      <c r="AO33" s="147">
        <f t="shared" si="74"/>
        <v>4.0741237836483535E-3</v>
      </c>
      <c r="AP33" s="147">
        <f t="shared" si="74"/>
        <v>4.0741237836483535E-3</v>
      </c>
      <c r="AQ33" s="147">
        <f t="shared" si="74"/>
        <v>4.0741237836483535E-3</v>
      </c>
      <c r="AR33" s="147">
        <f t="shared" si="74"/>
        <v>4.0741237836483535E-3</v>
      </c>
      <c r="AS33" s="147">
        <f t="shared" si="74"/>
        <v>4.0741237836483535E-3</v>
      </c>
      <c r="AT33" s="147">
        <f t="shared" si="74"/>
        <v>4.0741237836483535E-3</v>
      </c>
      <c r="AU33" s="147">
        <f t="shared" si="74"/>
        <v>4.0741237836483535E-3</v>
      </c>
      <c r="AV33" s="147">
        <f t="shared" si="74"/>
        <v>4.0741237836483535E-3</v>
      </c>
      <c r="AW33" s="147">
        <f t="shared" si="74"/>
        <v>4.0741237836483535E-3</v>
      </c>
      <c r="AX33" s="147">
        <f t="shared" si="74"/>
        <v>4.0741237836483535E-3</v>
      </c>
      <c r="AY33" s="147">
        <f t="shared" si="74"/>
        <v>4.0741237836483535E-3</v>
      </c>
      <c r="AZ33" s="147">
        <f t="shared" si="74"/>
        <v>4.0741237836483535E-3</v>
      </c>
      <c r="BA33" s="147">
        <f t="shared" si="74"/>
        <v>4.0741237836483535E-3</v>
      </c>
      <c r="BB33" s="147">
        <f t="shared" si="74"/>
        <v>4.0741237836483535E-3</v>
      </c>
      <c r="BC33" s="147">
        <f t="shared" si="74"/>
        <v>4.0741237836483535E-3</v>
      </c>
      <c r="BD33" s="147">
        <f t="shared" si="74"/>
        <v>4.0741237836483535E-3</v>
      </c>
      <c r="BE33" s="147">
        <f t="shared" si="74"/>
        <v>4.0741237836483535E-3</v>
      </c>
      <c r="BF33" s="147">
        <f t="shared" si="74"/>
        <v>4.0741237836483535E-3</v>
      </c>
      <c r="BG33" s="147">
        <f t="shared" si="74"/>
        <v>4.0741237836483535E-3</v>
      </c>
      <c r="BH33" s="147">
        <f t="shared" si="74"/>
        <v>4.0741237836483535E-3</v>
      </c>
      <c r="BI33" s="147">
        <f t="shared" si="74"/>
        <v>4.0741237836483535E-3</v>
      </c>
      <c r="BJ33" s="147">
        <f t="shared" si="74"/>
        <v>4.0741237836483535E-3</v>
      </c>
      <c r="BK33" s="147">
        <f t="shared" si="74"/>
        <v>4.0741237836483535E-3</v>
      </c>
      <c r="BL33" s="147">
        <f t="shared" si="74"/>
        <v>4.0741237836483535E-3</v>
      </c>
      <c r="BM33" s="147">
        <f t="shared" si="74"/>
        <v>4.0741237836483535E-3</v>
      </c>
      <c r="BN33" s="147">
        <f t="shared" si="74"/>
        <v>4.0741237836483535E-3</v>
      </c>
      <c r="BO33" s="147">
        <f t="shared" si="74"/>
        <v>4.0741237836483535E-3</v>
      </c>
      <c r="BP33" s="147">
        <f t="shared" si="74"/>
        <v>4.0741237836483535E-3</v>
      </c>
      <c r="BQ33" s="147">
        <f t="shared" si="74"/>
        <v>4.0741237836483535E-3</v>
      </c>
      <c r="BR33" s="147">
        <f t="shared" ref="BR33:CW33" si="75">Constr_Loan_Monthly_Interest</f>
        <v>4.0741237836483535E-3</v>
      </c>
      <c r="BS33" s="147">
        <f t="shared" si="75"/>
        <v>4.0741237836483535E-3</v>
      </c>
      <c r="BT33" s="147">
        <f t="shared" si="75"/>
        <v>4.0741237836483535E-3</v>
      </c>
      <c r="BU33" s="147">
        <f t="shared" si="75"/>
        <v>4.0741237836483535E-3</v>
      </c>
      <c r="BV33" s="147">
        <f t="shared" si="75"/>
        <v>4.0741237836483535E-3</v>
      </c>
      <c r="BW33" s="147">
        <f t="shared" si="75"/>
        <v>4.0741237836483535E-3</v>
      </c>
      <c r="BX33" s="147">
        <f t="shared" si="75"/>
        <v>4.0741237836483535E-3</v>
      </c>
      <c r="BY33" s="147">
        <f t="shared" si="75"/>
        <v>4.0741237836483535E-3</v>
      </c>
      <c r="BZ33" s="147">
        <f t="shared" si="75"/>
        <v>4.0741237836483535E-3</v>
      </c>
      <c r="CA33" s="147">
        <f t="shared" si="75"/>
        <v>4.0741237836483535E-3</v>
      </c>
      <c r="CB33" s="147">
        <f t="shared" si="75"/>
        <v>4.0741237836483535E-3</v>
      </c>
      <c r="CC33" s="147">
        <f t="shared" si="75"/>
        <v>4.0741237836483535E-3</v>
      </c>
      <c r="CD33" s="147">
        <f t="shared" si="75"/>
        <v>4.0741237836483535E-3</v>
      </c>
      <c r="CE33" s="147">
        <f t="shared" si="75"/>
        <v>4.0741237836483535E-3</v>
      </c>
      <c r="CF33" s="147">
        <f t="shared" si="75"/>
        <v>4.0741237836483535E-3</v>
      </c>
      <c r="CG33" s="147">
        <f t="shared" si="75"/>
        <v>4.0741237836483535E-3</v>
      </c>
      <c r="CH33" s="147">
        <f t="shared" si="75"/>
        <v>4.0741237836483535E-3</v>
      </c>
      <c r="CI33" s="147">
        <f t="shared" si="75"/>
        <v>4.0741237836483535E-3</v>
      </c>
      <c r="CJ33" s="147">
        <f t="shared" si="75"/>
        <v>4.0741237836483535E-3</v>
      </c>
      <c r="CK33" s="147">
        <f t="shared" si="75"/>
        <v>4.0741237836483535E-3</v>
      </c>
      <c r="CL33" s="147">
        <f t="shared" si="75"/>
        <v>4.0741237836483535E-3</v>
      </c>
      <c r="CM33" s="147">
        <f t="shared" si="75"/>
        <v>4.0741237836483535E-3</v>
      </c>
      <c r="CN33" s="147">
        <f t="shared" si="75"/>
        <v>4.0741237836483535E-3</v>
      </c>
      <c r="CO33" s="147">
        <f t="shared" si="75"/>
        <v>4.0741237836483535E-3</v>
      </c>
      <c r="CP33" s="147">
        <f t="shared" si="75"/>
        <v>4.0741237836483535E-3</v>
      </c>
      <c r="CQ33" s="147">
        <f t="shared" si="75"/>
        <v>4.0741237836483535E-3</v>
      </c>
      <c r="CR33" s="147">
        <f t="shared" si="75"/>
        <v>4.0741237836483535E-3</v>
      </c>
      <c r="CS33" s="147">
        <f t="shared" si="75"/>
        <v>4.0741237836483535E-3</v>
      </c>
      <c r="CT33" s="147">
        <f t="shared" si="75"/>
        <v>4.0741237836483535E-3</v>
      </c>
      <c r="CU33" s="147">
        <f t="shared" si="75"/>
        <v>4.0741237836483535E-3</v>
      </c>
      <c r="CV33" s="147">
        <f t="shared" si="75"/>
        <v>4.0741237836483535E-3</v>
      </c>
      <c r="CW33" s="147">
        <f t="shared" si="75"/>
        <v>4.0741237836483535E-3</v>
      </c>
      <c r="CX33" s="147">
        <f t="shared" ref="CX33:DI33" si="76">Constr_Loan_Monthly_Interest</f>
        <v>4.0741237836483535E-3</v>
      </c>
      <c r="CY33" s="147">
        <f t="shared" si="76"/>
        <v>4.0741237836483535E-3</v>
      </c>
      <c r="CZ33" s="147">
        <f t="shared" si="76"/>
        <v>4.0741237836483535E-3</v>
      </c>
      <c r="DA33" s="147">
        <f t="shared" si="76"/>
        <v>4.0741237836483535E-3</v>
      </c>
      <c r="DB33" s="147">
        <f t="shared" si="76"/>
        <v>4.0741237836483535E-3</v>
      </c>
      <c r="DC33" s="147">
        <f t="shared" si="76"/>
        <v>4.0741237836483535E-3</v>
      </c>
      <c r="DD33" s="147">
        <f t="shared" si="76"/>
        <v>4.0741237836483535E-3</v>
      </c>
      <c r="DE33" s="147">
        <f t="shared" si="76"/>
        <v>4.0741237836483535E-3</v>
      </c>
      <c r="DF33" s="147">
        <f t="shared" si="76"/>
        <v>4.0741237836483535E-3</v>
      </c>
      <c r="DG33" s="147">
        <f t="shared" si="76"/>
        <v>4.0741237836483535E-3</v>
      </c>
      <c r="DH33" s="147">
        <f t="shared" si="76"/>
        <v>4.0741237836483535E-3</v>
      </c>
      <c r="DI33" s="147">
        <f t="shared" si="76"/>
        <v>4.0741237836483535E-3</v>
      </c>
    </row>
    <row r="34" spans="2:113" x14ac:dyDescent="0.25"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</row>
    <row r="35" spans="2:113" x14ac:dyDescent="0.25">
      <c r="B35" s="44" t="s">
        <v>113</v>
      </c>
      <c r="C35" s="44"/>
      <c r="D35" s="69" t="str">
        <f>+Annual!$D$5</f>
        <v>Units:</v>
      </c>
      <c r="E35" s="69"/>
      <c r="F35" s="120">
        <f>Constr_Start_Date</f>
        <v>42155</v>
      </c>
      <c r="G35" s="120">
        <f>EOMONTH(F35,1)</f>
        <v>42185</v>
      </c>
      <c r="H35" s="120">
        <f t="shared" ref="H35:BS35" si="77">EOMONTH(G35,1)</f>
        <v>42216</v>
      </c>
      <c r="I35" s="120">
        <f t="shared" si="77"/>
        <v>42247</v>
      </c>
      <c r="J35" s="120">
        <f t="shared" si="77"/>
        <v>42277</v>
      </c>
      <c r="K35" s="120">
        <f t="shared" si="77"/>
        <v>42308</v>
      </c>
      <c r="L35" s="120">
        <f t="shared" si="77"/>
        <v>42338</v>
      </c>
      <c r="M35" s="120">
        <f t="shared" si="77"/>
        <v>42369</v>
      </c>
      <c r="N35" s="120">
        <f t="shared" si="77"/>
        <v>42400</v>
      </c>
      <c r="O35" s="120">
        <f t="shared" si="77"/>
        <v>42429</v>
      </c>
      <c r="P35" s="120">
        <f t="shared" si="77"/>
        <v>42460</v>
      </c>
      <c r="Q35" s="120">
        <f t="shared" si="77"/>
        <v>42490</v>
      </c>
      <c r="R35" s="120">
        <f t="shared" si="77"/>
        <v>42521</v>
      </c>
      <c r="S35" s="120">
        <f t="shared" si="77"/>
        <v>42551</v>
      </c>
      <c r="T35" s="120">
        <f t="shared" si="77"/>
        <v>42582</v>
      </c>
      <c r="U35" s="120">
        <f t="shared" si="77"/>
        <v>42613</v>
      </c>
      <c r="V35" s="120">
        <f t="shared" si="77"/>
        <v>42643</v>
      </c>
      <c r="W35" s="120">
        <f t="shared" si="77"/>
        <v>42674</v>
      </c>
      <c r="X35" s="120">
        <f t="shared" si="77"/>
        <v>42704</v>
      </c>
      <c r="Y35" s="120">
        <f t="shared" si="77"/>
        <v>42735</v>
      </c>
      <c r="Z35" s="120">
        <f t="shared" si="77"/>
        <v>42766</v>
      </c>
      <c r="AA35" s="120">
        <f t="shared" si="77"/>
        <v>42794</v>
      </c>
      <c r="AB35" s="120">
        <f t="shared" si="77"/>
        <v>42825</v>
      </c>
      <c r="AC35" s="120">
        <f t="shared" si="77"/>
        <v>42855</v>
      </c>
      <c r="AD35" s="120">
        <f t="shared" si="77"/>
        <v>42886</v>
      </c>
      <c r="AE35" s="120">
        <f t="shared" si="77"/>
        <v>42916</v>
      </c>
      <c r="AF35" s="120">
        <f t="shared" si="77"/>
        <v>42947</v>
      </c>
      <c r="AG35" s="120">
        <f t="shared" si="77"/>
        <v>42978</v>
      </c>
      <c r="AH35" s="120">
        <f t="shared" si="77"/>
        <v>43008</v>
      </c>
      <c r="AI35" s="120">
        <f t="shared" si="77"/>
        <v>43039</v>
      </c>
      <c r="AJ35" s="120">
        <f t="shared" si="77"/>
        <v>43069</v>
      </c>
      <c r="AK35" s="120">
        <f t="shared" si="77"/>
        <v>43100</v>
      </c>
      <c r="AL35" s="120">
        <f t="shared" si="77"/>
        <v>43131</v>
      </c>
      <c r="AM35" s="120">
        <f t="shared" si="77"/>
        <v>43159</v>
      </c>
      <c r="AN35" s="120">
        <f t="shared" si="77"/>
        <v>43190</v>
      </c>
      <c r="AO35" s="120">
        <f t="shared" si="77"/>
        <v>43220</v>
      </c>
      <c r="AP35" s="120">
        <f t="shared" si="77"/>
        <v>43251</v>
      </c>
      <c r="AQ35" s="120">
        <f t="shared" si="77"/>
        <v>43281</v>
      </c>
      <c r="AR35" s="120">
        <f t="shared" si="77"/>
        <v>43312</v>
      </c>
      <c r="AS35" s="120">
        <f t="shared" si="77"/>
        <v>43343</v>
      </c>
      <c r="AT35" s="120">
        <f t="shared" si="77"/>
        <v>43373</v>
      </c>
      <c r="AU35" s="120">
        <f t="shared" si="77"/>
        <v>43404</v>
      </c>
      <c r="AV35" s="120">
        <f t="shared" si="77"/>
        <v>43434</v>
      </c>
      <c r="AW35" s="120">
        <f t="shared" si="77"/>
        <v>43465</v>
      </c>
      <c r="AX35" s="120">
        <f t="shared" si="77"/>
        <v>43496</v>
      </c>
      <c r="AY35" s="120">
        <f t="shared" si="77"/>
        <v>43524</v>
      </c>
      <c r="AZ35" s="120">
        <f t="shared" si="77"/>
        <v>43555</v>
      </c>
      <c r="BA35" s="120">
        <f t="shared" si="77"/>
        <v>43585</v>
      </c>
      <c r="BB35" s="120">
        <f t="shared" si="77"/>
        <v>43616</v>
      </c>
      <c r="BC35" s="120">
        <f t="shared" si="77"/>
        <v>43646</v>
      </c>
      <c r="BD35" s="120">
        <f t="shared" si="77"/>
        <v>43677</v>
      </c>
      <c r="BE35" s="120">
        <f t="shared" si="77"/>
        <v>43708</v>
      </c>
      <c r="BF35" s="120">
        <f t="shared" si="77"/>
        <v>43738</v>
      </c>
      <c r="BG35" s="120">
        <f t="shared" si="77"/>
        <v>43769</v>
      </c>
      <c r="BH35" s="120">
        <f t="shared" si="77"/>
        <v>43799</v>
      </c>
      <c r="BI35" s="120">
        <f t="shared" si="77"/>
        <v>43830</v>
      </c>
      <c r="BJ35" s="120">
        <f t="shared" si="77"/>
        <v>43861</v>
      </c>
      <c r="BK35" s="120">
        <f t="shared" si="77"/>
        <v>43890</v>
      </c>
      <c r="BL35" s="120">
        <f t="shared" si="77"/>
        <v>43921</v>
      </c>
      <c r="BM35" s="120">
        <f t="shared" si="77"/>
        <v>43951</v>
      </c>
      <c r="BN35" s="120">
        <f t="shared" si="77"/>
        <v>43982</v>
      </c>
      <c r="BO35" s="120">
        <f t="shared" si="77"/>
        <v>44012</v>
      </c>
      <c r="BP35" s="120">
        <f t="shared" si="77"/>
        <v>44043</v>
      </c>
      <c r="BQ35" s="120">
        <f t="shared" si="77"/>
        <v>44074</v>
      </c>
      <c r="BR35" s="120">
        <f t="shared" si="77"/>
        <v>44104</v>
      </c>
      <c r="BS35" s="120">
        <f t="shared" si="77"/>
        <v>44135</v>
      </c>
      <c r="BT35" s="120">
        <f t="shared" ref="BT35:CL35" si="78">EOMONTH(BS35,1)</f>
        <v>44165</v>
      </c>
      <c r="BU35" s="120">
        <f t="shared" si="78"/>
        <v>44196</v>
      </c>
      <c r="BV35" s="120">
        <f t="shared" si="78"/>
        <v>44227</v>
      </c>
      <c r="BW35" s="120">
        <f t="shared" si="78"/>
        <v>44255</v>
      </c>
      <c r="BX35" s="120">
        <f t="shared" si="78"/>
        <v>44286</v>
      </c>
      <c r="BY35" s="120">
        <f t="shared" si="78"/>
        <v>44316</v>
      </c>
      <c r="BZ35" s="120">
        <f t="shared" si="78"/>
        <v>44347</v>
      </c>
      <c r="CA35" s="120">
        <f t="shared" si="78"/>
        <v>44377</v>
      </c>
      <c r="CB35" s="120">
        <f t="shared" si="78"/>
        <v>44408</v>
      </c>
      <c r="CC35" s="120">
        <f t="shared" si="78"/>
        <v>44439</v>
      </c>
      <c r="CD35" s="120">
        <f t="shared" si="78"/>
        <v>44469</v>
      </c>
      <c r="CE35" s="120">
        <f t="shared" si="78"/>
        <v>44500</v>
      </c>
      <c r="CF35" s="120">
        <f t="shared" si="78"/>
        <v>44530</v>
      </c>
      <c r="CG35" s="120">
        <f t="shared" si="78"/>
        <v>44561</v>
      </c>
      <c r="CH35" s="120">
        <f t="shared" si="78"/>
        <v>44592</v>
      </c>
      <c r="CI35" s="120">
        <f t="shared" si="78"/>
        <v>44620</v>
      </c>
      <c r="CJ35" s="120">
        <f t="shared" si="78"/>
        <v>44651</v>
      </c>
      <c r="CK35" s="120">
        <f t="shared" si="78"/>
        <v>44681</v>
      </c>
      <c r="CL35" s="120">
        <f t="shared" si="78"/>
        <v>44712</v>
      </c>
      <c r="CM35" s="120">
        <f t="shared" ref="CM35" si="79">EOMONTH(CL35,1)</f>
        <v>44742</v>
      </c>
      <c r="CN35" s="120">
        <f t="shared" ref="CN35" si="80">EOMONTH(CM35,1)</f>
        <v>44773</v>
      </c>
      <c r="CO35" s="120">
        <f t="shared" ref="CO35" si="81">EOMONTH(CN35,1)</f>
        <v>44804</v>
      </c>
      <c r="CP35" s="120">
        <f t="shared" ref="CP35" si="82">EOMONTH(CO35,1)</f>
        <v>44834</v>
      </c>
      <c r="CQ35" s="120">
        <f t="shared" ref="CQ35" si="83">EOMONTH(CP35,1)</f>
        <v>44865</v>
      </c>
      <c r="CR35" s="120">
        <f t="shared" ref="CR35" si="84">EOMONTH(CQ35,1)</f>
        <v>44895</v>
      </c>
      <c r="CS35" s="120">
        <f t="shared" ref="CS35" si="85">EOMONTH(CR35,1)</f>
        <v>44926</v>
      </c>
      <c r="CT35" s="120">
        <f t="shared" ref="CT35" si="86">EOMONTH(CS35,1)</f>
        <v>44957</v>
      </c>
      <c r="CU35" s="120">
        <f t="shared" ref="CU35" si="87">EOMONTH(CT35,1)</f>
        <v>44985</v>
      </c>
      <c r="CV35" s="120">
        <f t="shared" ref="CV35" si="88">EOMONTH(CU35,1)</f>
        <v>45016</v>
      </c>
      <c r="CW35" s="120">
        <f t="shared" ref="CW35" si="89">EOMONTH(CV35,1)</f>
        <v>45046</v>
      </c>
      <c r="CX35" s="120">
        <f t="shared" ref="CX35" si="90">EOMONTH(CW35,1)</f>
        <v>45077</v>
      </c>
      <c r="CY35" s="120">
        <f t="shared" ref="CY35" si="91">EOMONTH(CX35,1)</f>
        <v>45107</v>
      </c>
      <c r="CZ35" s="120">
        <f t="shared" ref="CZ35" si="92">EOMONTH(CY35,1)</f>
        <v>45138</v>
      </c>
      <c r="DA35" s="120">
        <f t="shared" ref="DA35" si="93">EOMONTH(CZ35,1)</f>
        <v>45169</v>
      </c>
      <c r="DB35" s="120">
        <f t="shared" ref="DB35" si="94">EOMONTH(DA35,1)</f>
        <v>45199</v>
      </c>
      <c r="DC35" s="120">
        <f t="shared" ref="DC35" si="95">EOMONTH(DB35,1)</f>
        <v>45230</v>
      </c>
      <c r="DD35" s="120">
        <f t="shared" ref="DD35" si="96">EOMONTH(DC35,1)</f>
        <v>45260</v>
      </c>
      <c r="DE35" s="120">
        <f t="shared" ref="DE35" si="97">EOMONTH(DD35,1)</f>
        <v>45291</v>
      </c>
      <c r="DF35" s="120">
        <f t="shared" ref="DF35" si="98">EOMONTH(DE35,1)</f>
        <v>45322</v>
      </c>
      <c r="DG35" s="120">
        <f t="shared" ref="DG35" si="99">EOMONTH(DF35,1)</f>
        <v>45351</v>
      </c>
      <c r="DH35" s="120">
        <f t="shared" ref="DH35" si="100">EOMONTH(DG35,1)</f>
        <v>45382</v>
      </c>
      <c r="DI35" s="120">
        <f t="shared" ref="DI35" si="101">EOMONTH(DH35,1)</f>
        <v>45412</v>
      </c>
    </row>
    <row r="36" spans="2:113" outlineLevel="1" x14ac:dyDescent="0.25">
      <c r="E36" s="134"/>
    </row>
    <row r="37" spans="2:113" outlineLevel="1" x14ac:dyDescent="0.25">
      <c r="C37" s="5" t="s">
        <v>265</v>
      </c>
      <c r="D37" s="48" t="s">
        <v>39</v>
      </c>
      <c r="F37" s="140">
        <f>(1+INDEX(Annual!$F$72:$N$84,13,MATCH(Monthly!F$9,Annual!$F$72:$N$72)))^(1/Months)-1</f>
        <v>7.9741404289037643E-3</v>
      </c>
      <c r="G37" s="140">
        <f>(1+INDEX(Annual!$F$72:$N$84,13,MATCH(Monthly!G$9,Annual!$F$72:$N$72)))^(1/Months)-1</f>
        <v>7.9741404289037643E-3</v>
      </c>
      <c r="H37" s="140">
        <f>(1+INDEX(Annual!$F$72:$N$84,13,MATCH(Monthly!H$9,Annual!$F$72:$N$72)))^(1/Months)-1</f>
        <v>7.9741404289037643E-3</v>
      </c>
      <c r="I37" s="140">
        <f>(1+INDEX(Annual!$F$72:$N$84,13,MATCH(Monthly!I$9,Annual!$F$72:$N$72)))^(1/Months)-1</f>
        <v>7.9741404289037643E-3</v>
      </c>
      <c r="J37" s="140">
        <f>(1+INDEX(Annual!$F$72:$N$84,13,MATCH(Monthly!J$9,Annual!$F$72:$N$72)))^(1/Months)-1</f>
        <v>7.9741404289037643E-3</v>
      </c>
      <c r="K37" s="140">
        <f>(1+INDEX(Annual!$F$72:$N$84,13,MATCH(Monthly!K$9,Annual!$F$72:$N$72)))^(1/Months)-1</f>
        <v>7.9741404289037643E-3</v>
      </c>
      <c r="L37" s="140">
        <f>(1+INDEX(Annual!$F$72:$N$84,13,MATCH(Monthly!L$9,Annual!$F$72:$N$72)))^(1/Months)-1</f>
        <v>7.9741404289037643E-3</v>
      </c>
      <c r="M37" s="140">
        <f>(1+INDEX(Annual!$F$72:$N$84,13,MATCH(Monthly!M$9,Annual!$F$72:$N$72)))^(1/Months)-1</f>
        <v>7.9741404289037643E-3</v>
      </c>
      <c r="N37" s="140">
        <f>(1+INDEX(Annual!$F$72:$N$84,13,MATCH(Monthly!N$9,Annual!$F$72:$N$72)))^(1/Months)-1</f>
        <v>7.9741404289037643E-3</v>
      </c>
      <c r="O37" s="140">
        <f>(1+INDEX(Annual!$F$72:$N$84,13,MATCH(Monthly!O$9,Annual!$F$72:$N$72)))^(1/Months)-1</f>
        <v>7.9741404289037643E-3</v>
      </c>
      <c r="P37" s="140">
        <f>(1+INDEX(Annual!$F$72:$N$84,13,MATCH(Monthly!P$9,Annual!$F$72:$N$72)))^(1/Months)-1</f>
        <v>7.9741404289037643E-3</v>
      </c>
      <c r="Q37" s="140">
        <f>(1+INDEX(Annual!$F$72:$N$84,13,MATCH(Monthly!Q$9,Annual!$F$72:$N$72)))^(1/Months)-1</f>
        <v>7.9741404289037643E-3</v>
      </c>
      <c r="R37" s="140">
        <f>(1+INDEX(Annual!$F$72:$N$84,13,MATCH(Monthly!R$9,Annual!$F$72:$N$72)))^(1/Months)-1</f>
        <v>0</v>
      </c>
      <c r="S37" s="140">
        <f>(1+INDEX(Annual!$F$72:$N$84,13,MATCH(Monthly!S$9,Annual!$F$72:$N$72)))^(1/Months)-1</f>
        <v>0</v>
      </c>
      <c r="T37" s="140">
        <f>(1+INDEX(Annual!$F$72:$N$84,13,MATCH(Monthly!T$9,Annual!$F$72:$N$72)))^(1/Months)-1</f>
        <v>0</v>
      </c>
      <c r="U37" s="140">
        <f>(1+INDEX(Annual!$F$72:$N$84,13,MATCH(Monthly!U$9,Annual!$F$72:$N$72)))^(1/Months)-1</f>
        <v>0</v>
      </c>
      <c r="V37" s="140">
        <f>(1+INDEX(Annual!$F$72:$N$84,13,MATCH(Monthly!V$9,Annual!$F$72:$N$72)))^(1/Months)-1</f>
        <v>0</v>
      </c>
      <c r="W37" s="140">
        <f>(1+INDEX(Annual!$F$72:$N$84,13,MATCH(Monthly!W$9,Annual!$F$72:$N$72)))^(1/Months)-1</f>
        <v>0</v>
      </c>
      <c r="X37" s="140">
        <f>(1+INDEX(Annual!$F$72:$N$84,13,MATCH(Monthly!X$9,Annual!$F$72:$N$72)))^(1/Months)-1</f>
        <v>0</v>
      </c>
      <c r="Y37" s="140">
        <f>(1+INDEX(Annual!$F$72:$N$84,13,MATCH(Monthly!Y$9,Annual!$F$72:$N$72)))^(1/Months)-1</f>
        <v>0</v>
      </c>
      <c r="Z37" s="140">
        <f>(1+INDEX(Annual!$F$72:$N$84,13,MATCH(Monthly!Z$9,Annual!$F$72:$N$72)))^(1/Months)-1</f>
        <v>0</v>
      </c>
      <c r="AA37" s="140">
        <f>(1+INDEX(Annual!$F$72:$N$84,13,MATCH(Monthly!AA$9,Annual!$F$72:$N$72)))^(1/Months)-1</f>
        <v>0</v>
      </c>
      <c r="AB37" s="140">
        <f>(1+INDEX(Annual!$F$72:$N$84,13,MATCH(Monthly!AB$9,Annual!$F$72:$N$72)))^(1/Months)-1</f>
        <v>0</v>
      </c>
      <c r="AC37" s="140">
        <f>(1+INDEX(Annual!$F$72:$N$84,13,MATCH(Monthly!AC$9,Annual!$F$72:$N$72)))^(1/Months)-1</f>
        <v>0</v>
      </c>
      <c r="AD37" s="140">
        <f>(1+INDEX(Annual!$F$72:$N$84,13,MATCH(Monthly!AD$9,Annual!$F$72:$N$72)))^(1/Months)-1</f>
        <v>0</v>
      </c>
      <c r="AE37" s="140">
        <f>(1+INDEX(Annual!$F$72:$N$84,13,MATCH(Monthly!AE$9,Annual!$F$72:$N$72)))^(1/Months)-1</f>
        <v>0</v>
      </c>
      <c r="AF37" s="140">
        <f>(1+INDEX(Annual!$F$72:$N$84,13,MATCH(Monthly!AF$9,Annual!$F$72:$N$72)))^(1/Months)-1</f>
        <v>0</v>
      </c>
      <c r="AG37" s="140">
        <f>(1+INDEX(Annual!$F$72:$N$84,13,MATCH(Monthly!AG$9,Annual!$F$72:$N$72)))^(1/Months)-1</f>
        <v>0</v>
      </c>
      <c r="AH37" s="140">
        <f>(1+INDEX(Annual!$F$72:$N$84,13,MATCH(Monthly!AH$9,Annual!$F$72:$N$72)))^(1/Months)-1</f>
        <v>0</v>
      </c>
      <c r="AI37" s="140">
        <f>(1+INDEX(Annual!$F$72:$N$84,13,MATCH(Monthly!AI$9,Annual!$F$72:$N$72)))^(1/Months)-1</f>
        <v>0</v>
      </c>
      <c r="AJ37" s="140">
        <f>(1+INDEX(Annual!$F$72:$N$84,13,MATCH(Monthly!AJ$9,Annual!$F$72:$N$72)))^(1/Months)-1</f>
        <v>0</v>
      </c>
      <c r="AK37" s="140">
        <f>(1+INDEX(Annual!$F$72:$N$84,13,MATCH(Monthly!AK$9,Annual!$F$72:$N$72)))^(1/Months)-1</f>
        <v>0</v>
      </c>
      <c r="AL37" s="140">
        <f>(1+INDEX(Annual!$F$72:$N$84,13,MATCH(Monthly!AL$9,Annual!$F$72:$N$72)))^(1/Months)-1</f>
        <v>0</v>
      </c>
      <c r="AM37" s="140">
        <f>(1+INDEX(Annual!$F$72:$N$84,13,MATCH(Monthly!AM$9,Annual!$F$72:$N$72)))^(1/Months)-1</f>
        <v>0</v>
      </c>
      <c r="AN37" s="140">
        <f>(1+INDEX(Annual!$F$72:$N$84,13,MATCH(Monthly!AN$9,Annual!$F$72:$N$72)))^(1/Months)-1</f>
        <v>0</v>
      </c>
      <c r="AO37" s="140">
        <f>(1+INDEX(Annual!$F$72:$N$84,13,MATCH(Monthly!AO$9,Annual!$F$72:$N$72)))^(1/Months)-1</f>
        <v>0</v>
      </c>
      <c r="AP37" s="140">
        <f>(1+INDEX(Annual!$F$72:$N$84,13,MATCH(Monthly!AP$9,Annual!$F$72:$N$72)))^(1/Months)-1</f>
        <v>2.8708987190766422E-3</v>
      </c>
      <c r="AQ37" s="140">
        <f>(1+INDEX(Annual!$F$72:$N$84,13,MATCH(Monthly!AQ$9,Annual!$F$72:$N$72)))^(1/Months)-1</f>
        <v>2.8708987190766422E-3</v>
      </c>
      <c r="AR37" s="140">
        <f>(1+INDEX(Annual!$F$72:$N$84,13,MATCH(Monthly!AR$9,Annual!$F$72:$N$72)))^(1/Months)-1</f>
        <v>2.8708987190766422E-3</v>
      </c>
      <c r="AS37" s="140">
        <f>(1+INDEX(Annual!$F$72:$N$84,13,MATCH(Monthly!AS$9,Annual!$F$72:$N$72)))^(1/Months)-1</f>
        <v>2.8708987190766422E-3</v>
      </c>
      <c r="AT37" s="140">
        <f>(1+INDEX(Annual!$F$72:$N$84,13,MATCH(Monthly!AT$9,Annual!$F$72:$N$72)))^(1/Months)-1</f>
        <v>2.8708987190766422E-3</v>
      </c>
      <c r="AU37" s="140">
        <f>(1+INDEX(Annual!$F$72:$N$84,13,MATCH(Monthly!AU$9,Annual!$F$72:$N$72)))^(1/Months)-1</f>
        <v>2.8708987190766422E-3</v>
      </c>
      <c r="AV37" s="140">
        <f>(1+INDEX(Annual!$F$72:$N$84,13,MATCH(Monthly!AV$9,Annual!$F$72:$N$72)))^(1/Months)-1</f>
        <v>2.8708987190766422E-3</v>
      </c>
      <c r="AW37" s="140">
        <f>(1+INDEX(Annual!$F$72:$N$84,13,MATCH(Monthly!AW$9,Annual!$F$72:$N$72)))^(1/Months)-1</f>
        <v>2.8708987190766422E-3</v>
      </c>
      <c r="AX37" s="140">
        <f>(1+INDEX(Annual!$F$72:$N$84,13,MATCH(Monthly!AX$9,Annual!$F$72:$N$72)))^(1/Months)-1</f>
        <v>2.8708987190766422E-3</v>
      </c>
      <c r="AY37" s="140">
        <f>(1+INDEX(Annual!$F$72:$N$84,13,MATCH(Monthly!AY$9,Annual!$F$72:$N$72)))^(1/Months)-1</f>
        <v>2.8708987190766422E-3</v>
      </c>
      <c r="AZ37" s="140">
        <f>(1+INDEX(Annual!$F$72:$N$84,13,MATCH(Monthly!AZ$9,Annual!$F$72:$N$72)))^(1/Months)-1</f>
        <v>2.8708987190766422E-3</v>
      </c>
      <c r="BA37" s="140">
        <f>(1+INDEX(Annual!$F$72:$N$84,13,MATCH(Monthly!BA$9,Annual!$F$72:$N$72)))^(1/Months)-1</f>
        <v>2.8708987190766422E-3</v>
      </c>
      <c r="BB37" s="140">
        <f>(1+INDEX(Annual!$F$72:$N$84,13,MATCH(Monthly!BB$9,Annual!$F$72:$N$72)))^(1/Months)-1</f>
        <v>2.8708987190766422E-3</v>
      </c>
      <c r="BC37" s="140">
        <f>(1+INDEX(Annual!$F$72:$N$84,13,MATCH(Monthly!BC$9,Annual!$F$72:$N$72)))^(1/Months)-1</f>
        <v>2.8708987190766422E-3</v>
      </c>
      <c r="BD37" s="140">
        <f>(1+INDEX(Annual!$F$72:$N$84,13,MATCH(Monthly!BD$9,Annual!$F$72:$N$72)))^(1/Months)-1</f>
        <v>2.8708987190766422E-3</v>
      </c>
      <c r="BE37" s="140">
        <f>(1+INDEX(Annual!$F$72:$N$84,13,MATCH(Monthly!BE$9,Annual!$F$72:$N$72)))^(1/Months)-1</f>
        <v>2.8708987190766422E-3</v>
      </c>
      <c r="BF37" s="140">
        <f>(1+INDEX(Annual!$F$72:$N$84,13,MATCH(Monthly!BF$9,Annual!$F$72:$N$72)))^(1/Months)-1</f>
        <v>2.8708987190766422E-3</v>
      </c>
      <c r="BG37" s="140">
        <f>(1+INDEX(Annual!$F$72:$N$84,13,MATCH(Monthly!BG$9,Annual!$F$72:$N$72)))^(1/Months)-1</f>
        <v>2.8708987190766422E-3</v>
      </c>
      <c r="BH37" s="140">
        <f>(1+INDEX(Annual!$F$72:$N$84,13,MATCH(Monthly!BH$9,Annual!$F$72:$N$72)))^(1/Months)-1</f>
        <v>2.8708987190766422E-3</v>
      </c>
      <c r="BI37" s="140">
        <f>(1+INDEX(Annual!$F$72:$N$84,13,MATCH(Monthly!BI$9,Annual!$F$72:$N$72)))^(1/Months)-1</f>
        <v>2.8708987190766422E-3</v>
      </c>
      <c r="BJ37" s="140">
        <f>(1+INDEX(Annual!$F$72:$N$84,13,MATCH(Monthly!BJ$9,Annual!$F$72:$N$72)))^(1/Months)-1</f>
        <v>2.8708987190766422E-3</v>
      </c>
      <c r="BK37" s="140">
        <f>(1+INDEX(Annual!$F$72:$N$84,13,MATCH(Monthly!BK$9,Annual!$F$72:$N$72)))^(1/Months)-1</f>
        <v>2.8708987190766422E-3</v>
      </c>
      <c r="BL37" s="140">
        <f>(1+INDEX(Annual!$F$72:$N$84,13,MATCH(Monthly!BL$9,Annual!$F$72:$N$72)))^(1/Months)-1</f>
        <v>2.8708987190766422E-3</v>
      </c>
      <c r="BM37" s="140">
        <f>(1+INDEX(Annual!$F$72:$N$84,13,MATCH(Monthly!BM$9,Annual!$F$72:$N$72)))^(1/Months)-1</f>
        <v>2.8708987190766422E-3</v>
      </c>
      <c r="BN37" s="140">
        <f>(1+INDEX(Annual!$F$72:$N$84,13,MATCH(Monthly!BN$9,Annual!$F$72:$N$72)))^(1/Months)-1</f>
        <v>2.8708987190766422E-3</v>
      </c>
      <c r="BO37" s="140">
        <f>(1+INDEX(Annual!$F$72:$N$84,13,MATCH(Monthly!BO$9,Annual!$F$72:$N$72)))^(1/Months)-1</f>
        <v>2.8708987190766422E-3</v>
      </c>
      <c r="BP37" s="140">
        <f>(1+INDEX(Annual!$F$72:$N$84,13,MATCH(Monthly!BP$9,Annual!$F$72:$N$72)))^(1/Months)-1</f>
        <v>2.8708987190766422E-3</v>
      </c>
      <c r="BQ37" s="140">
        <f>(1+INDEX(Annual!$F$72:$N$84,13,MATCH(Monthly!BQ$9,Annual!$F$72:$N$72)))^(1/Months)-1</f>
        <v>2.8708987190766422E-3</v>
      </c>
      <c r="BR37" s="140">
        <f>(1+INDEX(Annual!$F$72:$N$84,13,MATCH(Monthly!BR$9,Annual!$F$72:$N$72)))^(1/Months)-1</f>
        <v>2.8708987190766422E-3</v>
      </c>
      <c r="BS37" s="140">
        <f>(1+INDEX(Annual!$F$72:$N$84,13,MATCH(Monthly!BS$9,Annual!$F$72:$N$72)))^(1/Months)-1</f>
        <v>2.8708987190766422E-3</v>
      </c>
      <c r="BT37" s="140">
        <f>(1+INDEX(Annual!$F$72:$N$84,13,MATCH(Monthly!BT$9,Annual!$F$72:$N$72)))^(1/Months)-1</f>
        <v>2.8708987190766422E-3</v>
      </c>
      <c r="BU37" s="140">
        <f>(1+INDEX(Annual!$F$72:$N$84,13,MATCH(Monthly!BU$9,Annual!$F$72:$N$72)))^(1/Months)-1</f>
        <v>2.8708987190766422E-3</v>
      </c>
      <c r="BV37" s="140">
        <f>(1+INDEX(Annual!$F$72:$N$84,13,MATCH(Monthly!BV$9,Annual!$F$72:$N$72)))^(1/Months)-1</f>
        <v>2.8708987190766422E-3</v>
      </c>
      <c r="BW37" s="140">
        <f>(1+INDEX(Annual!$F$72:$N$84,13,MATCH(Monthly!BW$9,Annual!$F$72:$N$72)))^(1/Months)-1</f>
        <v>2.8708987190766422E-3</v>
      </c>
      <c r="BX37" s="140">
        <f>(1+INDEX(Annual!$F$72:$N$84,13,MATCH(Monthly!BX$9,Annual!$F$72:$N$72)))^(1/Months)-1</f>
        <v>2.8708987190766422E-3</v>
      </c>
      <c r="BY37" s="140">
        <f>(1+INDEX(Annual!$F$72:$N$84,13,MATCH(Monthly!BY$9,Annual!$F$72:$N$72)))^(1/Months)-1</f>
        <v>2.8708987190766422E-3</v>
      </c>
      <c r="BZ37" s="140">
        <f>(1+INDEX(Annual!$F$72:$N$84,13,MATCH(Monthly!BZ$9,Annual!$F$72:$N$72)))^(1/Months)-1</f>
        <v>2.4662697723036864E-3</v>
      </c>
      <c r="CA37" s="140">
        <f>(1+INDEX(Annual!$F$72:$N$84,13,MATCH(Monthly!CA$9,Annual!$F$72:$N$72)))^(1/Months)-1</f>
        <v>2.4662697723036864E-3</v>
      </c>
      <c r="CB37" s="140">
        <f>(1+INDEX(Annual!$F$72:$N$84,13,MATCH(Monthly!CB$9,Annual!$F$72:$N$72)))^(1/Months)-1</f>
        <v>2.4662697723036864E-3</v>
      </c>
      <c r="CC37" s="140">
        <f>(1+INDEX(Annual!$F$72:$N$84,13,MATCH(Monthly!CC$9,Annual!$F$72:$N$72)))^(1/Months)-1</f>
        <v>2.4662697723036864E-3</v>
      </c>
      <c r="CD37" s="140">
        <f>(1+INDEX(Annual!$F$72:$N$84,13,MATCH(Monthly!CD$9,Annual!$F$72:$N$72)))^(1/Months)-1</f>
        <v>2.4662697723036864E-3</v>
      </c>
      <c r="CE37" s="140">
        <f>(1+INDEX(Annual!$F$72:$N$84,13,MATCH(Monthly!CE$9,Annual!$F$72:$N$72)))^(1/Months)-1</f>
        <v>2.4662697723036864E-3</v>
      </c>
      <c r="CF37" s="140">
        <f>(1+INDEX(Annual!$F$72:$N$84,13,MATCH(Monthly!CF$9,Annual!$F$72:$N$72)))^(1/Months)-1</f>
        <v>2.4662697723036864E-3</v>
      </c>
      <c r="CG37" s="140">
        <f>(1+INDEX(Annual!$F$72:$N$84,13,MATCH(Monthly!CG$9,Annual!$F$72:$N$72)))^(1/Months)-1</f>
        <v>2.4662697723036864E-3</v>
      </c>
      <c r="CH37" s="140">
        <f>(1+INDEX(Annual!$F$72:$N$84,13,MATCH(Monthly!CH$9,Annual!$F$72:$N$72)))^(1/Months)-1</f>
        <v>2.4662697723036864E-3</v>
      </c>
      <c r="CI37" s="140">
        <f>(1+INDEX(Annual!$F$72:$N$84,13,MATCH(Monthly!CI$9,Annual!$F$72:$N$72)))^(1/Months)-1</f>
        <v>2.4662697723036864E-3</v>
      </c>
      <c r="CJ37" s="140">
        <f>(1+INDEX(Annual!$F$72:$N$84,13,MATCH(Monthly!CJ$9,Annual!$F$72:$N$72)))^(1/Months)-1</f>
        <v>2.4662697723036864E-3</v>
      </c>
      <c r="CK37" s="140">
        <f>(1+INDEX(Annual!$F$72:$N$84,13,MATCH(Monthly!CK$9,Annual!$F$72:$N$72)))^(1/Months)-1</f>
        <v>2.4662697723036864E-3</v>
      </c>
      <c r="CL37" s="140">
        <f>(1+INDEX(Annual!$F$72:$N$84,13,MATCH(Monthly!CL$9,Annual!$F$72:$N$72)))^(1/Months)-1</f>
        <v>2.4662697723036864E-3</v>
      </c>
      <c r="CM37" s="140">
        <f>(1+INDEX(Annual!$F$72:$N$84,13,MATCH(Monthly!CM$9,Annual!$F$72:$N$72)))^(1/Months)-1</f>
        <v>2.4662697723036864E-3</v>
      </c>
      <c r="CN37" s="140">
        <f>(1+INDEX(Annual!$F$72:$N$84,13,MATCH(Monthly!CN$9,Annual!$F$72:$N$72)))^(1/Months)-1</f>
        <v>2.4662697723036864E-3</v>
      </c>
      <c r="CO37" s="140">
        <f>(1+INDEX(Annual!$F$72:$N$84,13,MATCH(Monthly!CO$9,Annual!$F$72:$N$72)))^(1/Months)-1</f>
        <v>2.4662697723036864E-3</v>
      </c>
      <c r="CP37" s="140">
        <f>(1+INDEX(Annual!$F$72:$N$84,13,MATCH(Monthly!CP$9,Annual!$F$72:$N$72)))^(1/Months)-1</f>
        <v>2.4662697723036864E-3</v>
      </c>
      <c r="CQ37" s="140">
        <f>(1+INDEX(Annual!$F$72:$N$84,13,MATCH(Monthly!CQ$9,Annual!$F$72:$N$72)))^(1/Months)-1</f>
        <v>2.4662697723036864E-3</v>
      </c>
      <c r="CR37" s="140">
        <f>(1+INDEX(Annual!$F$72:$N$84,13,MATCH(Monthly!CR$9,Annual!$F$72:$N$72)))^(1/Months)-1</f>
        <v>2.4662697723036864E-3</v>
      </c>
      <c r="CS37" s="140">
        <f>(1+INDEX(Annual!$F$72:$N$84,13,MATCH(Monthly!CS$9,Annual!$F$72:$N$72)))^(1/Months)-1</f>
        <v>2.4662697723036864E-3</v>
      </c>
      <c r="CT37" s="140">
        <f>(1+INDEX(Annual!$F$72:$N$84,13,MATCH(Monthly!CT$9,Annual!$F$72:$N$72)))^(1/Months)-1</f>
        <v>2.4662697723036864E-3</v>
      </c>
      <c r="CU37" s="140">
        <f>(1+INDEX(Annual!$F$72:$N$84,13,MATCH(Monthly!CU$9,Annual!$F$72:$N$72)))^(1/Months)-1</f>
        <v>2.4662697723036864E-3</v>
      </c>
      <c r="CV37" s="140">
        <f>(1+INDEX(Annual!$F$72:$N$84,13,MATCH(Monthly!CV$9,Annual!$F$72:$N$72)))^(1/Months)-1</f>
        <v>2.4662697723036864E-3</v>
      </c>
      <c r="CW37" s="140">
        <f>(1+INDEX(Annual!$F$72:$N$84,13,MATCH(Monthly!CW$9,Annual!$F$72:$N$72)))^(1/Months)-1</f>
        <v>2.4662697723036864E-3</v>
      </c>
      <c r="CX37" s="140">
        <f>(1+INDEX(Annual!$F$72:$N$84,13,MATCH(Monthly!CX$9,Annual!$F$72:$N$72)))^(1/Months)-1</f>
        <v>2.4662697723036864E-3</v>
      </c>
      <c r="CY37" s="140">
        <f>(1+INDEX(Annual!$F$72:$N$84,13,MATCH(Monthly!CY$9,Annual!$F$72:$N$72)))^(1/Months)-1</f>
        <v>2.4662697723036864E-3</v>
      </c>
      <c r="CZ37" s="140">
        <f>(1+INDEX(Annual!$F$72:$N$84,13,MATCH(Monthly!CZ$9,Annual!$F$72:$N$72)))^(1/Months)-1</f>
        <v>2.4662697723036864E-3</v>
      </c>
      <c r="DA37" s="140">
        <f>(1+INDEX(Annual!$F$72:$N$84,13,MATCH(Monthly!DA$9,Annual!$F$72:$N$72)))^(1/Months)-1</f>
        <v>2.4662697723036864E-3</v>
      </c>
      <c r="DB37" s="140">
        <f>(1+INDEX(Annual!$F$72:$N$84,13,MATCH(Monthly!DB$9,Annual!$F$72:$N$72)))^(1/Months)-1</f>
        <v>2.4662697723036864E-3</v>
      </c>
      <c r="DC37" s="140">
        <f>(1+INDEX(Annual!$F$72:$N$84,13,MATCH(Monthly!DC$9,Annual!$F$72:$N$72)))^(1/Months)-1</f>
        <v>2.4662697723036864E-3</v>
      </c>
      <c r="DD37" s="140">
        <f>(1+INDEX(Annual!$F$72:$N$84,13,MATCH(Monthly!DD$9,Annual!$F$72:$N$72)))^(1/Months)-1</f>
        <v>2.4662697723036864E-3</v>
      </c>
      <c r="DE37" s="140">
        <f>(1+INDEX(Annual!$F$72:$N$84,13,MATCH(Monthly!DE$9,Annual!$F$72:$N$72)))^(1/Months)-1</f>
        <v>2.4662697723036864E-3</v>
      </c>
      <c r="DF37" s="140">
        <f>(1+INDEX(Annual!$F$72:$N$84,13,MATCH(Monthly!DF$9,Annual!$F$72:$N$72)))^(1/Months)-1</f>
        <v>2.4662697723036864E-3</v>
      </c>
      <c r="DG37" s="140">
        <f>(1+INDEX(Annual!$F$72:$N$84,13,MATCH(Monthly!DG$9,Annual!$F$72:$N$72)))^(1/Months)-1</f>
        <v>2.4662697723036864E-3</v>
      </c>
      <c r="DH37" s="140">
        <f>(1+INDEX(Annual!$F$72:$N$84,13,MATCH(Monthly!DH$9,Annual!$F$72:$N$72)))^(1/Months)-1</f>
        <v>2.4662697723036864E-3</v>
      </c>
      <c r="DI37" s="140">
        <f>(1+INDEX(Annual!$F$72:$N$84,13,MATCH(Monthly!DI$9,Annual!$F$72:$N$72)))^(1/Months)-1</f>
        <v>2.4662697723036864E-3</v>
      </c>
    </row>
    <row r="38" spans="2:113" outlineLevel="1" x14ac:dyDescent="0.25">
      <c r="C38" s="80"/>
      <c r="D38" s="80"/>
      <c r="F38" s="80"/>
    </row>
    <row r="39" spans="2:113" outlineLevel="1" x14ac:dyDescent="0.25">
      <c r="C39" s="5" t="s">
        <v>126</v>
      </c>
      <c r="D39" s="48" t="s">
        <v>39</v>
      </c>
      <c r="F39" s="140">
        <f>(1+INDEX(Annual!$F$72:$N$96,19,MATCH(Monthly!F$9,Annual!$F$72:$N$72)))^(1/Months)-1</f>
        <v>1.6515813019202241E-3</v>
      </c>
      <c r="G39" s="140">
        <f>(1+INDEX(Annual!$F$72:$N$96,19,MATCH(Monthly!G$9,Annual!$F$72:$N$72)))^(1/Months)-1</f>
        <v>1.6515813019202241E-3</v>
      </c>
      <c r="H39" s="140">
        <f>(1+INDEX(Annual!$F$72:$N$96,19,MATCH(Monthly!H$9,Annual!$F$72:$N$72)))^(1/Months)-1</f>
        <v>1.6515813019202241E-3</v>
      </c>
      <c r="I39" s="140">
        <f>(1+INDEX(Annual!$F$72:$N$96,19,MATCH(Monthly!I$9,Annual!$F$72:$N$72)))^(1/Months)-1</f>
        <v>1.6515813019202241E-3</v>
      </c>
      <c r="J39" s="140">
        <f>(1+INDEX(Annual!$F$72:$N$96,19,MATCH(Monthly!J$9,Annual!$F$72:$N$72)))^(1/Months)-1</f>
        <v>1.6515813019202241E-3</v>
      </c>
      <c r="K39" s="140">
        <f>(1+INDEX(Annual!$F$72:$N$96,19,MATCH(Monthly!K$9,Annual!$F$72:$N$72)))^(1/Months)-1</f>
        <v>1.6515813019202241E-3</v>
      </c>
      <c r="L39" s="140">
        <f>(1+INDEX(Annual!$F$72:$N$96,19,MATCH(Monthly!L$9,Annual!$F$72:$N$72)))^(1/Months)-1</f>
        <v>1.6515813019202241E-3</v>
      </c>
      <c r="M39" s="140">
        <f>(1+INDEX(Annual!$F$72:$N$96,19,MATCH(Monthly!M$9,Annual!$F$72:$N$72)))^(1/Months)-1</f>
        <v>1.6515813019202241E-3</v>
      </c>
      <c r="N39" s="140">
        <f>(1+INDEX(Annual!$F$72:$N$96,19,MATCH(Monthly!N$9,Annual!$F$72:$N$72)))^(1/Months)-1</f>
        <v>1.6515813019202241E-3</v>
      </c>
      <c r="O39" s="140">
        <f>(1+INDEX(Annual!$F$72:$N$96,19,MATCH(Monthly!O$9,Annual!$F$72:$N$72)))^(1/Months)-1</f>
        <v>1.6515813019202241E-3</v>
      </c>
      <c r="P39" s="140">
        <f>(1+INDEX(Annual!$F$72:$N$96,19,MATCH(Monthly!P$9,Annual!$F$72:$N$72)))^(1/Months)-1</f>
        <v>1.6515813019202241E-3</v>
      </c>
      <c r="Q39" s="140">
        <f>(1+INDEX(Annual!$F$72:$N$96,19,MATCH(Monthly!Q$9,Annual!$F$72:$N$72)))^(1/Months)-1</f>
        <v>1.6515813019202241E-3</v>
      </c>
      <c r="R39" s="140">
        <f>(1+INDEX(Annual!$F$72:$N$96,19,MATCH(Monthly!R$9,Annual!$F$72:$N$72)))^(1/Months)-1</f>
        <v>1.6515813019202241E-3</v>
      </c>
      <c r="S39" s="140">
        <f>(1+INDEX(Annual!$F$72:$N$96,19,MATCH(Monthly!S$9,Annual!$F$72:$N$72)))^(1/Months)-1</f>
        <v>1.6515813019202241E-3</v>
      </c>
      <c r="T39" s="140">
        <f>(1+INDEX(Annual!$F$72:$N$96,19,MATCH(Monthly!T$9,Annual!$F$72:$N$72)))^(1/Months)-1</f>
        <v>1.6515813019202241E-3</v>
      </c>
      <c r="U39" s="140">
        <f>(1+INDEX(Annual!$F$72:$N$96,19,MATCH(Monthly!U$9,Annual!$F$72:$N$72)))^(1/Months)-1</f>
        <v>1.6515813019202241E-3</v>
      </c>
      <c r="V39" s="140">
        <f>(1+INDEX(Annual!$F$72:$N$96,19,MATCH(Monthly!V$9,Annual!$F$72:$N$72)))^(1/Months)-1</f>
        <v>1.6515813019202241E-3</v>
      </c>
      <c r="W39" s="140">
        <f>(1+INDEX(Annual!$F$72:$N$96,19,MATCH(Monthly!W$9,Annual!$F$72:$N$72)))^(1/Months)-1</f>
        <v>1.6515813019202241E-3</v>
      </c>
      <c r="X39" s="140">
        <f>(1+INDEX(Annual!$F$72:$N$96,19,MATCH(Monthly!X$9,Annual!$F$72:$N$72)))^(1/Months)-1</f>
        <v>1.6515813019202241E-3</v>
      </c>
      <c r="Y39" s="140">
        <f>(1+INDEX(Annual!$F$72:$N$96,19,MATCH(Monthly!Y$9,Annual!$F$72:$N$72)))^(1/Months)-1</f>
        <v>1.6515813019202241E-3</v>
      </c>
      <c r="Z39" s="140">
        <f>(1+INDEX(Annual!$F$72:$N$96,19,MATCH(Monthly!Z$9,Annual!$F$72:$N$72)))^(1/Months)-1</f>
        <v>1.6515813019202241E-3</v>
      </c>
      <c r="AA39" s="140">
        <f>(1+INDEX(Annual!$F$72:$N$96,19,MATCH(Monthly!AA$9,Annual!$F$72:$N$72)))^(1/Months)-1</f>
        <v>1.6515813019202241E-3</v>
      </c>
      <c r="AB39" s="140">
        <f>(1+INDEX(Annual!$F$72:$N$96,19,MATCH(Monthly!AB$9,Annual!$F$72:$N$72)))^(1/Months)-1</f>
        <v>1.6515813019202241E-3</v>
      </c>
      <c r="AC39" s="140">
        <f>(1+INDEX(Annual!$F$72:$N$96,19,MATCH(Monthly!AC$9,Annual!$F$72:$N$72)))^(1/Months)-1</f>
        <v>1.6515813019202241E-3</v>
      </c>
      <c r="AD39" s="140">
        <f>(1+INDEX(Annual!$F$72:$N$96,19,MATCH(Monthly!AD$9,Annual!$F$72:$N$72)))^(1/Months)-1</f>
        <v>1.6515813019202241E-3</v>
      </c>
      <c r="AE39" s="140">
        <f>(1+INDEX(Annual!$F$72:$N$96,19,MATCH(Monthly!AE$9,Annual!$F$72:$N$72)))^(1/Months)-1</f>
        <v>1.6515813019202241E-3</v>
      </c>
      <c r="AF39" s="140">
        <f>(1+INDEX(Annual!$F$72:$N$96,19,MATCH(Monthly!AF$9,Annual!$F$72:$N$72)))^(1/Months)-1</f>
        <v>1.6515813019202241E-3</v>
      </c>
      <c r="AG39" s="140">
        <f>(1+INDEX(Annual!$F$72:$N$96,19,MATCH(Monthly!AG$9,Annual!$F$72:$N$72)))^(1/Months)-1</f>
        <v>1.6515813019202241E-3</v>
      </c>
      <c r="AH39" s="140">
        <f>(1+INDEX(Annual!$F$72:$N$96,19,MATCH(Monthly!AH$9,Annual!$F$72:$N$72)))^(1/Months)-1</f>
        <v>1.6515813019202241E-3</v>
      </c>
      <c r="AI39" s="140">
        <f>(1+INDEX(Annual!$F$72:$N$96,19,MATCH(Monthly!AI$9,Annual!$F$72:$N$72)))^(1/Months)-1</f>
        <v>1.6515813019202241E-3</v>
      </c>
      <c r="AJ39" s="140">
        <f>(1+INDEX(Annual!$F$72:$N$96,19,MATCH(Monthly!AJ$9,Annual!$F$72:$N$72)))^(1/Months)-1</f>
        <v>1.6515813019202241E-3</v>
      </c>
      <c r="AK39" s="140">
        <f>(1+INDEX(Annual!$F$72:$N$96,19,MATCH(Monthly!AK$9,Annual!$F$72:$N$72)))^(1/Months)-1</f>
        <v>1.6515813019202241E-3</v>
      </c>
      <c r="AL39" s="140">
        <f>(1+INDEX(Annual!$F$72:$N$96,19,MATCH(Monthly!AL$9,Annual!$F$72:$N$72)))^(1/Months)-1</f>
        <v>1.6515813019202241E-3</v>
      </c>
      <c r="AM39" s="140">
        <f>(1+INDEX(Annual!$F$72:$N$96,19,MATCH(Monthly!AM$9,Annual!$F$72:$N$72)))^(1/Months)-1</f>
        <v>1.6515813019202241E-3</v>
      </c>
      <c r="AN39" s="140">
        <f>(1+INDEX(Annual!$F$72:$N$96,19,MATCH(Monthly!AN$9,Annual!$F$72:$N$72)))^(1/Months)-1</f>
        <v>1.6515813019202241E-3</v>
      </c>
      <c r="AO39" s="140">
        <f>(1+INDEX(Annual!$F$72:$N$96,19,MATCH(Monthly!AO$9,Annual!$F$72:$N$72)))^(1/Months)-1</f>
        <v>1.6515813019202241E-3</v>
      </c>
      <c r="AP39" s="140">
        <f>(1+INDEX(Annual!$F$72:$N$96,19,MATCH(Monthly!AP$9,Annual!$F$72:$N$72)))^(1/Months)-1</f>
        <v>1.855937535336194E-3</v>
      </c>
      <c r="AQ39" s="140">
        <f>(1+INDEX(Annual!$F$72:$N$96,19,MATCH(Monthly!AQ$9,Annual!$F$72:$N$72)))^(1/Months)-1</f>
        <v>1.855937535336194E-3</v>
      </c>
      <c r="AR39" s="140">
        <f>(1+INDEX(Annual!$F$72:$N$96,19,MATCH(Monthly!AR$9,Annual!$F$72:$N$72)))^(1/Months)-1</f>
        <v>1.855937535336194E-3</v>
      </c>
      <c r="AS39" s="140">
        <f>(1+INDEX(Annual!$F$72:$N$96,19,MATCH(Monthly!AS$9,Annual!$F$72:$N$72)))^(1/Months)-1</f>
        <v>1.855937535336194E-3</v>
      </c>
      <c r="AT39" s="140">
        <f>(1+INDEX(Annual!$F$72:$N$96,19,MATCH(Monthly!AT$9,Annual!$F$72:$N$72)))^(1/Months)-1</f>
        <v>1.855937535336194E-3</v>
      </c>
      <c r="AU39" s="140">
        <f>(1+INDEX(Annual!$F$72:$N$96,19,MATCH(Monthly!AU$9,Annual!$F$72:$N$72)))^(1/Months)-1</f>
        <v>1.855937535336194E-3</v>
      </c>
      <c r="AV39" s="140">
        <f>(1+INDEX(Annual!$F$72:$N$96,19,MATCH(Monthly!AV$9,Annual!$F$72:$N$72)))^(1/Months)-1</f>
        <v>1.855937535336194E-3</v>
      </c>
      <c r="AW39" s="140">
        <f>(1+INDEX(Annual!$F$72:$N$96,19,MATCH(Monthly!AW$9,Annual!$F$72:$N$72)))^(1/Months)-1</f>
        <v>1.855937535336194E-3</v>
      </c>
      <c r="AX39" s="140">
        <f>(1+INDEX(Annual!$F$72:$N$96,19,MATCH(Monthly!AX$9,Annual!$F$72:$N$72)))^(1/Months)-1</f>
        <v>1.855937535336194E-3</v>
      </c>
      <c r="AY39" s="140">
        <f>(1+INDEX(Annual!$F$72:$N$96,19,MATCH(Monthly!AY$9,Annual!$F$72:$N$72)))^(1/Months)-1</f>
        <v>1.855937535336194E-3</v>
      </c>
      <c r="AZ39" s="140">
        <f>(1+INDEX(Annual!$F$72:$N$96,19,MATCH(Monthly!AZ$9,Annual!$F$72:$N$72)))^(1/Months)-1</f>
        <v>1.855937535336194E-3</v>
      </c>
      <c r="BA39" s="140">
        <f>(1+INDEX(Annual!$F$72:$N$96,19,MATCH(Monthly!BA$9,Annual!$F$72:$N$72)))^(1/Months)-1</f>
        <v>1.855937535336194E-3</v>
      </c>
      <c r="BB39" s="140">
        <f>(1+INDEX(Annual!$F$72:$N$96,19,MATCH(Monthly!BB$9,Annual!$F$72:$N$72)))^(1/Months)-1</f>
        <v>1.855937535336194E-3</v>
      </c>
      <c r="BC39" s="140">
        <f>(1+INDEX(Annual!$F$72:$N$96,19,MATCH(Monthly!BC$9,Annual!$F$72:$N$72)))^(1/Months)-1</f>
        <v>1.855937535336194E-3</v>
      </c>
      <c r="BD39" s="140">
        <f>(1+INDEX(Annual!$F$72:$N$96,19,MATCH(Monthly!BD$9,Annual!$F$72:$N$72)))^(1/Months)-1</f>
        <v>1.855937535336194E-3</v>
      </c>
      <c r="BE39" s="140">
        <f>(1+INDEX(Annual!$F$72:$N$96,19,MATCH(Monthly!BE$9,Annual!$F$72:$N$72)))^(1/Months)-1</f>
        <v>1.855937535336194E-3</v>
      </c>
      <c r="BF39" s="140">
        <f>(1+INDEX(Annual!$F$72:$N$96,19,MATCH(Monthly!BF$9,Annual!$F$72:$N$72)))^(1/Months)-1</f>
        <v>1.855937535336194E-3</v>
      </c>
      <c r="BG39" s="140">
        <f>(1+INDEX(Annual!$F$72:$N$96,19,MATCH(Monthly!BG$9,Annual!$F$72:$N$72)))^(1/Months)-1</f>
        <v>1.855937535336194E-3</v>
      </c>
      <c r="BH39" s="140">
        <f>(1+INDEX(Annual!$F$72:$N$96,19,MATCH(Monthly!BH$9,Annual!$F$72:$N$72)))^(1/Months)-1</f>
        <v>1.855937535336194E-3</v>
      </c>
      <c r="BI39" s="140">
        <f>(1+INDEX(Annual!$F$72:$N$96,19,MATCH(Monthly!BI$9,Annual!$F$72:$N$72)))^(1/Months)-1</f>
        <v>1.855937535336194E-3</v>
      </c>
      <c r="BJ39" s="140">
        <f>(1+INDEX(Annual!$F$72:$N$96,19,MATCH(Monthly!BJ$9,Annual!$F$72:$N$72)))^(1/Months)-1</f>
        <v>1.855937535336194E-3</v>
      </c>
      <c r="BK39" s="140">
        <f>(1+INDEX(Annual!$F$72:$N$96,19,MATCH(Monthly!BK$9,Annual!$F$72:$N$72)))^(1/Months)-1</f>
        <v>1.855937535336194E-3</v>
      </c>
      <c r="BL39" s="140">
        <f>(1+INDEX(Annual!$F$72:$N$96,19,MATCH(Monthly!BL$9,Annual!$F$72:$N$72)))^(1/Months)-1</f>
        <v>1.855937535336194E-3</v>
      </c>
      <c r="BM39" s="140">
        <f>(1+INDEX(Annual!$F$72:$N$96,19,MATCH(Monthly!BM$9,Annual!$F$72:$N$72)))^(1/Months)-1</f>
        <v>1.855937535336194E-3</v>
      </c>
      <c r="BN39" s="140">
        <f>(1+INDEX(Annual!$F$72:$N$96,19,MATCH(Monthly!BN$9,Annual!$F$72:$N$72)))^(1/Months)-1</f>
        <v>2.0598362698427408E-3</v>
      </c>
      <c r="BO39" s="140">
        <f>(1+INDEX(Annual!$F$72:$N$96,19,MATCH(Monthly!BO$9,Annual!$F$72:$N$72)))^(1/Months)-1</f>
        <v>2.0598362698427408E-3</v>
      </c>
      <c r="BP39" s="140">
        <f>(1+INDEX(Annual!$F$72:$N$96,19,MATCH(Monthly!BP$9,Annual!$F$72:$N$72)))^(1/Months)-1</f>
        <v>2.0598362698427408E-3</v>
      </c>
      <c r="BQ39" s="140">
        <f>(1+INDEX(Annual!$F$72:$N$96,19,MATCH(Monthly!BQ$9,Annual!$F$72:$N$72)))^(1/Months)-1</f>
        <v>2.0598362698427408E-3</v>
      </c>
      <c r="BR39" s="140">
        <f>(1+INDEX(Annual!$F$72:$N$96,19,MATCH(Monthly!BR$9,Annual!$F$72:$N$72)))^(1/Months)-1</f>
        <v>2.0598362698427408E-3</v>
      </c>
      <c r="BS39" s="140">
        <f>(1+INDEX(Annual!$F$72:$N$96,19,MATCH(Monthly!BS$9,Annual!$F$72:$N$72)))^(1/Months)-1</f>
        <v>2.0598362698427408E-3</v>
      </c>
      <c r="BT39" s="140">
        <f>(1+INDEX(Annual!$F$72:$N$96,19,MATCH(Monthly!BT$9,Annual!$F$72:$N$72)))^(1/Months)-1</f>
        <v>2.0598362698427408E-3</v>
      </c>
      <c r="BU39" s="140">
        <f>(1+INDEX(Annual!$F$72:$N$96,19,MATCH(Monthly!BU$9,Annual!$F$72:$N$72)))^(1/Months)-1</f>
        <v>2.0598362698427408E-3</v>
      </c>
      <c r="BV39" s="140">
        <f>(1+INDEX(Annual!$F$72:$N$96,19,MATCH(Monthly!BV$9,Annual!$F$72:$N$72)))^(1/Months)-1</f>
        <v>2.0598362698427408E-3</v>
      </c>
      <c r="BW39" s="140">
        <f>(1+INDEX(Annual!$F$72:$N$96,19,MATCH(Monthly!BW$9,Annual!$F$72:$N$72)))^(1/Months)-1</f>
        <v>2.0598362698427408E-3</v>
      </c>
      <c r="BX39" s="140">
        <f>(1+INDEX(Annual!$F$72:$N$96,19,MATCH(Monthly!BX$9,Annual!$F$72:$N$72)))^(1/Months)-1</f>
        <v>2.0598362698427408E-3</v>
      </c>
      <c r="BY39" s="140">
        <f>(1+INDEX(Annual!$F$72:$N$96,19,MATCH(Monthly!BY$9,Annual!$F$72:$N$72)))^(1/Months)-1</f>
        <v>2.0598362698427408E-3</v>
      </c>
      <c r="BZ39" s="140">
        <f>(1+INDEX(Annual!$F$72:$N$96,19,MATCH(Monthly!BZ$9,Annual!$F$72:$N$72)))^(1/Months)-1</f>
        <v>2.0598362698427408E-3</v>
      </c>
      <c r="CA39" s="140">
        <f>(1+INDEX(Annual!$F$72:$N$96,19,MATCH(Monthly!CA$9,Annual!$F$72:$N$72)))^(1/Months)-1</f>
        <v>2.0598362698427408E-3</v>
      </c>
      <c r="CB39" s="140">
        <f>(1+INDEX(Annual!$F$72:$N$96,19,MATCH(Monthly!CB$9,Annual!$F$72:$N$72)))^(1/Months)-1</f>
        <v>2.0598362698427408E-3</v>
      </c>
      <c r="CC39" s="140">
        <f>(1+INDEX(Annual!$F$72:$N$96,19,MATCH(Monthly!CC$9,Annual!$F$72:$N$72)))^(1/Months)-1</f>
        <v>2.0598362698427408E-3</v>
      </c>
      <c r="CD39" s="140">
        <f>(1+INDEX(Annual!$F$72:$N$96,19,MATCH(Monthly!CD$9,Annual!$F$72:$N$72)))^(1/Months)-1</f>
        <v>2.0598362698427408E-3</v>
      </c>
      <c r="CE39" s="140">
        <f>(1+INDEX(Annual!$F$72:$N$96,19,MATCH(Monthly!CE$9,Annual!$F$72:$N$72)))^(1/Months)-1</f>
        <v>2.0598362698427408E-3</v>
      </c>
      <c r="CF39" s="140">
        <f>(1+INDEX(Annual!$F$72:$N$96,19,MATCH(Monthly!CF$9,Annual!$F$72:$N$72)))^(1/Months)-1</f>
        <v>2.0598362698427408E-3</v>
      </c>
      <c r="CG39" s="140">
        <f>(1+INDEX(Annual!$F$72:$N$96,19,MATCH(Monthly!CG$9,Annual!$F$72:$N$72)))^(1/Months)-1</f>
        <v>2.0598362698427408E-3</v>
      </c>
      <c r="CH39" s="140">
        <f>(1+INDEX(Annual!$F$72:$N$96,19,MATCH(Monthly!CH$9,Annual!$F$72:$N$72)))^(1/Months)-1</f>
        <v>2.0598362698427408E-3</v>
      </c>
      <c r="CI39" s="140">
        <f>(1+INDEX(Annual!$F$72:$N$96,19,MATCH(Monthly!CI$9,Annual!$F$72:$N$72)))^(1/Months)-1</f>
        <v>2.0598362698427408E-3</v>
      </c>
      <c r="CJ39" s="140">
        <f>(1+INDEX(Annual!$F$72:$N$96,19,MATCH(Monthly!CJ$9,Annual!$F$72:$N$72)))^(1/Months)-1</f>
        <v>2.0598362698427408E-3</v>
      </c>
      <c r="CK39" s="140">
        <f>(1+INDEX(Annual!$F$72:$N$96,19,MATCH(Monthly!CK$9,Annual!$F$72:$N$72)))^(1/Months)-1</f>
        <v>2.0598362698427408E-3</v>
      </c>
      <c r="CL39" s="140">
        <f>(1+INDEX(Annual!$F$72:$N$96,19,MATCH(Monthly!CL$9,Annual!$F$72:$N$72)))^(1/Months)-1</f>
        <v>2.0598362698427408E-3</v>
      </c>
      <c r="CM39" s="140">
        <f>(1+INDEX(Annual!$F$72:$N$96,19,MATCH(Monthly!CM$9,Annual!$F$72:$N$72)))^(1/Months)-1</f>
        <v>2.0598362698427408E-3</v>
      </c>
      <c r="CN39" s="140">
        <f>(1+INDEX(Annual!$F$72:$N$96,19,MATCH(Monthly!CN$9,Annual!$F$72:$N$72)))^(1/Months)-1</f>
        <v>2.0598362698427408E-3</v>
      </c>
      <c r="CO39" s="140">
        <f>(1+INDEX(Annual!$F$72:$N$96,19,MATCH(Monthly!CO$9,Annual!$F$72:$N$72)))^(1/Months)-1</f>
        <v>2.0598362698427408E-3</v>
      </c>
      <c r="CP39" s="140">
        <f>(1+INDEX(Annual!$F$72:$N$96,19,MATCH(Monthly!CP$9,Annual!$F$72:$N$72)))^(1/Months)-1</f>
        <v>2.0598362698427408E-3</v>
      </c>
      <c r="CQ39" s="140">
        <f>(1+INDEX(Annual!$F$72:$N$96,19,MATCH(Monthly!CQ$9,Annual!$F$72:$N$72)))^(1/Months)-1</f>
        <v>2.0598362698427408E-3</v>
      </c>
      <c r="CR39" s="140">
        <f>(1+INDEX(Annual!$F$72:$N$96,19,MATCH(Monthly!CR$9,Annual!$F$72:$N$72)))^(1/Months)-1</f>
        <v>2.0598362698427408E-3</v>
      </c>
      <c r="CS39" s="140">
        <f>(1+INDEX(Annual!$F$72:$N$96,19,MATCH(Monthly!CS$9,Annual!$F$72:$N$72)))^(1/Months)-1</f>
        <v>2.0598362698427408E-3</v>
      </c>
      <c r="CT39" s="140">
        <f>(1+INDEX(Annual!$F$72:$N$96,19,MATCH(Monthly!CT$9,Annual!$F$72:$N$72)))^(1/Months)-1</f>
        <v>2.0598362698427408E-3</v>
      </c>
      <c r="CU39" s="140">
        <f>(1+INDEX(Annual!$F$72:$N$96,19,MATCH(Monthly!CU$9,Annual!$F$72:$N$72)))^(1/Months)-1</f>
        <v>2.0598362698427408E-3</v>
      </c>
      <c r="CV39" s="140">
        <f>(1+INDEX(Annual!$F$72:$N$96,19,MATCH(Monthly!CV$9,Annual!$F$72:$N$72)))^(1/Months)-1</f>
        <v>2.0598362698427408E-3</v>
      </c>
      <c r="CW39" s="140">
        <f>(1+INDEX(Annual!$F$72:$N$96,19,MATCH(Monthly!CW$9,Annual!$F$72:$N$72)))^(1/Months)-1</f>
        <v>2.0598362698427408E-3</v>
      </c>
      <c r="CX39" s="140">
        <f>(1+INDEX(Annual!$F$72:$N$96,19,MATCH(Monthly!CX$9,Annual!$F$72:$N$72)))^(1/Months)-1</f>
        <v>2.0598362698427408E-3</v>
      </c>
      <c r="CY39" s="140">
        <f>(1+INDEX(Annual!$F$72:$N$96,19,MATCH(Monthly!CY$9,Annual!$F$72:$N$72)))^(1/Months)-1</f>
        <v>2.0598362698427408E-3</v>
      </c>
      <c r="CZ39" s="140">
        <f>(1+INDEX(Annual!$F$72:$N$96,19,MATCH(Monthly!CZ$9,Annual!$F$72:$N$72)))^(1/Months)-1</f>
        <v>2.0598362698427408E-3</v>
      </c>
      <c r="DA39" s="140">
        <f>(1+INDEX(Annual!$F$72:$N$96,19,MATCH(Monthly!DA$9,Annual!$F$72:$N$72)))^(1/Months)-1</f>
        <v>2.0598362698427408E-3</v>
      </c>
      <c r="DB39" s="140">
        <f>(1+INDEX(Annual!$F$72:$N$96,19,MATCH(Monthly!DB$9,Annual!$F$72:$N$72)))^(1/Months)-1</f>
        <v>2.0598362698427408E-3</v>
      </c>
      <c r="DC39" s="140">
        <f>(1+INDEX(Annual!$F$72:$N$96,19,MATCH(Monthly!DC$9,Annual!$F$72:$N$72)))^(1/Months)-1</f>
        <v>2.0598362698427408E-3</v>
      </c>
      <c r="DD39" s="140">
        <f>(1+INDEX(Annual!$F$72:$N$96,19,MATCH(Monthly!DD$9,Annual!$F$72:$N$72)))^(1/Months)-1</f>
        <v>2.0598362698427408E-3</v>
      </c>
      <c r="DE39" s="140">
        <f>(1+INDEX(Annual!$F$72:$N$96,19,MATCH(Monthly!DE$9,Annual!$F$72:$N$72)))^(1/Months)-1</f>
        <v>2.0598362698427408E-3</v>
      </c>
      <c r="DF39" s="140">
        <f>(1+INDEX(Annual!$F$72:$N$96,19,MATCH(Monthly!DF$9,Annual!$F$72:$N$72)))^(1/Months)-1</f>
        <v>2.0598362698427408E-3</v>
      </c>
      <c r="DG39" s="140">
        <f>(1+INDEX(Annual!$F$72:$N$96,19,MATCH(Monthly!DG$9,Annual!$F$72:$N$72)))^(1/Months)-1</f>
        <v>2.0598362698427408E-3</v>
      </c>
      <c r="DH39" s="140">
        <f>(1+INDEX(Annual!$F$72:$N$96,19,MATCH(Monthly!DH$9,Annual!$F$72:$N$72)))^(1/Months)-1</f>
        <v>2.0598362698427408E-3</v>
      </c>
      <c r="DI39" s="140">
        <f>(1+INDEX(Annual!$F$72:$N$96,19,MATCH(Monthly!DI$9,Annual!$F$72:$N$72)))^(1/Months)-1</f>
        <v>2.0598362698427408E-3</v>
      </c>
    </row>
    <row r="40" spans="2:113" outlineLevel="1" x14ac:dyDescent="0.25">
      <c r="C40" s="80" t="s">
        <v>127</v>
      </c>
      <c r="D40" s="48" t="s">
        <v>44</v>
      </c>
      <c r="E40" s="142">
        <v>1</v>
      </c>
      <c r="F40" s="143">
        <f>+E40*(1+F39)</f>
        <v>1.0016515813019202</v>
      </c>
      <c r="G40" s="143">
        <f t="shared" ref="G40:BR40" si="102">+F40*(1+G39)</f>
        <v>1.0033058903246372</v>
      </c>
      <c r="H40" s="143">
        <f t="shared" si="102"/>
        <v>1.0049629315732038</v>
      </c>
      <c r="I40" s="143">
        <f t="shared" si="102"/>
        <v>1.006622709560113</v>
      </c>
      <c r="J40" s="143">
        <f t="shared" si="102"/>
        <v>1.0082852288053108</v>
      </c>
      <c r="K40" s="143">
        <f t="shared" si="102"/>
        <v>1.0099504938362081</v>
      </c>
      <c r="L40" s="143">
        <f t="shared" si="102"/>
        <v>1.011618509187693</v>
      </c>
      <c r="M40" s="143">
        <f t="shared" si="102"/>
        <v>1.0132892794021437</v>
      </c>
      <c r="N40" s="143">
        <f t="shared" si="102"/>
        <v>1.0149628090294405</v>
      </c>
      <c r="O40" s="143">
        <f t="shared" si="102"/>
        <v>1.0166391026269779</v>
      </c>
      <c r="P40" s="143">
        <f t="shared" si="102"/>
        <v>1.0183181647596775</v>
      </c>
      <c r="Q40" s="143">
        <f t="shared" si="102"/>
        <v>1.0200000000000002</v>
      </c>
      <c r="R40" s="143">
        <f t="shared" si="102"/>
        <v>1.0216846129279589</v>
      </c>
      <c r="S40" s="143">
        <f t="shared" si="102"/>
        <v>1.0233720081311304</v>
      </c>
      <c r="T40" s="143">
        <f t="shared" si="102"/>
        <v>1.0250621902046684</v>
      </c>
      <c r="U40" s="143">
        <f t="shared" si="102"/>
        <v>1.0267551637513157</v>
      </c>
      <c r="V40" s="143">
        <f t="shared" si="102"/>
        <v>1.0284509333814174</v>
      </c>
      <c r="W40" s="143">
        <f t="shared" si="102"/>
        <v>1.0301495037129325</v>
      </c>
      <c r="X40" s="143">
        <f t="shared" si="102"/>
        <v>1.0318508793714471</v>
      </c>
      <c r="Y40" s="143">
        <f t="shared" si="102"/>
        <v>1.033555064990187</v>
      </c>
      <c r="Z40" s="143">
        <f t="shared" si="102"/>
        <v>1.0352620652100297</v>
      </c>
      <c r="AA40" s="143">
        <f t="shared" si="102"/>
        <v>1.036971884679518</v>
      </c>
      <c r="AB40" s="143">
        <f t="shared" si="102"/>
        <v>1.0386845280548715</v>
      </c>
      <c r="AC40" s="143">
        <f t="shared" si="102"/>
        <v>1.0404000000000009</v>
      </c>
      <c r="AD40" s="143">
        <f t="shared" si="102"/>
        <v>1.0421183051865186</v>
      </c>
      <c r="AE40" s="143">
        <f t="shared" si="102"/>
        <v>1.0438394482937534</v>
      </c>
      <c r="AF40" s="143">
        <f t="shared" si="102"/>
        <v>1.0455634340087621</v>
      </c>
      <c r="AG40" s="143">
        <f t="shared" si="102"/>
        <v>1.0472902670263424</v>
      </c>
      <c r="AH40" s="143">
        <f t="shared" si="102"/>
        <v>1.0490199520490462</v>
      </c>
      <c r="AI40" s="143">
        <f t="shared" si="102"/>
        <v>1.0507524937871917</v>
      </c>
      <c r="AJ40" s="143">
        <f t="shared" si="102"/>
        <v>1.0524878969588767</v>
      </c>
      <c r="AK40" s="143">
        <f t="shared" si="102"/>
        <v>1.0542261662899912</v>
      </c>
      <c r="AL40" s="143">
        <f t="shared" si="102"/>
        <v>1.0559673065142308</v>
      </c>
      <c r="AM40" s="143">
        <f t="shared" si="102"/>
        <v>1.0577113223731087</v>
      </c>
      <c r="AN40" s="143">
        <f t="shared" si="102"/>
        <v>1.0594582186159696</v>
      </c>
      <c r="AO40" s="143">
        <f t="shared" si="102"/>
        <v>1.0612080000000015</v>
      </c>
      <c r="AP40" s="143">
        <f t="shared" si="102"/>
        <v>1.0631775357600006</v>
      </c>
      <c r="AQ40" s="143">
        <f t="shared" si="102"/>
        <v>1.065150726855344</v>
      </c>
      <c r="AR40" s="143">
        <f t="shared" si="102"/>
        <v>1.0671275800701054</v>
      </c>
      <c r="AS40" s="143">
        <f t="shared" si="102"/>
        <v>1.0691081022009501</v>
      </c>
      <c r="AT40" s="143">
        <f t="shared" si="102"/>
        <v>1.0710923000571568</v>
      </c>
      <c r="AU40" s="143">
        <f t="shared" si="102"/>
        <v>1.0730801804606425</v>
      </c>
      <c r="AV40" s="143">
        <f t="shared" si="102"/>
        <v>1.0750717502459848</v>
      </c>
      <c r="AW40" s="143">
        <f t="shared" si="102"/>
        <v>1.0770670162604459</v>
      </c>
      <c r="AX40" s="143">
        <f t="shared" si="102"/>
        <v>1.0790659853639961</v>
      </c>
      <c r="AY40" s="143">
        <f t="shared" si="102"/>
        <v>1.0810686644293377</v>
      </c>
      <c r="AZ40" s="143">
        <f t="shared" si="102"/>
        <v>1.0830750603419279</v>
      </c>
      <c r="BA40" s="143">
        <f t="shared" si="102"/>
        <v>1.085085180000003</v>
      </c>
      <c r="BB40" s="143">
        <f t="shared" si="102"/>
        <v>1.087099030314602</v>
      </c>
      <c r="BC40" s="143">
        <f t="shared" si="102"/>
        <v>1.0891166182095904</v>
      </c>
      <c r="BD40" s="143">
        <f t="shared" si="102"/>
        <v>1.0911379506216841</v>
      </c>
      <c r="BE40" s="143">
        <f t="shared" si="102"/>
        <v>1.0931630345004726</v>
      </c>
      <c r="BF40" s="143">
        <f t="shared" si="102"/>
        <v>1.0951918768084441</v>
      </c>
      <c r="BG40" s="143">
        <f t="shared" si="102"/>
        <v>1.0972244845210082</v>
      </c>
      <c r="BH40" s="143">
        <f t="shared" si="102"/>
        <v>1.0992608646265207</v>
      </c>
      <c r="BI40" s="143">
        <f t="shared" si="102"/>
        <v>1.1013010241263073</v>
      </c>
      <c r="BJ40" s="143">
        <f t="shared" si="102"/>
        <v>1.1033449700346876</v>
      </c>
      <c r="BK40" s="143">
        <f t="shared" si="102"/>
        <v>1.1053927093789992</v>
      </c>
      <c r="BL40" s="143">
        <f t="shared" si="102"/>
        <v>1.1074442491996228</v>
      </c>
      <c r="BM40" s="143">
        <f t="shared" si="102"/>
        <v>1.1094995965500045</v>
      </c>
      <c r="BN40" s="143">
        <f t="shared" si="102"/>
        <v>1.1117849840603542</v>
      </c>
      <c r="BO40" s="143">
        <f t="shared" si="102"/>
        <v>1.1140750790947882</v>
      </c>
      <c r="BP40" s="143">
        <f t="shared" si="102"/>
        <v>1.1163698913500355</v>
      </c>
      <c r="BQ40" s="143">
        <f t="shared" si="102"/>
        <v>1.1186694305427987</v>
      </c>
      <c r="BR40" s="143">
        <f t="shared" si="102"/>
        <v>1.1209737064097951</v>
      </c>
      <c r="BS40" s="143">
        <f t="shared" ref="BS40:DI40" si="103">+BR40*(1+BS39)</f>
        <v>1.123282728707798</v>
      </c>
      <c r="BT40" s="143">
        <f t="shared" si="103"/>
        <v>1.1255965072136782</v>
      </c>
      <c r="BU40" s="143">
        <f t="shared" si="103"/>
        <v>1.1279150517244452</v>
      </c>
      <c r="BV40" s="143">
        <f t="shared" si="103"/>
        <v>1.1302383720572888</v>
      </c>
      <c r="BW40" s="143">
        <f t="shared" si="103"/>
        <v>1.1325664780496205</v>
      </c>
      <c r="BX40" s="143">
        <f t="shared" si="103"/>
        <v>1.1348993795591151</v>
      </c>
      <c r="BY40" s="143">
        <f t="shared" si="103"/>
        <v>1.1372370864637531</v>
      </c>
      <c r="BZ40" s="143">
        <f t="shared" si="103"/>
        <v>1.1395796086618615</v>
      </c>
      <c r="CA40" s="143">
        <f t="shared" si="103"/>
        <v>1.1419269560721563</v>
      </c>
      <c r="CB40" s="143">
        <f t="shared" si="103"/>
        <v>1.1442791386337849</v>
      </c>
      <c r="CC40" s="143">
        <f t="shared" si="103"/>
        <v>1.1466361663063673</v>
      </c>
      <c r="CD40" s="143">
        <f t="shared" si="103"/>
        <v>1.1489980490700387</v>
      </c>
      <c r="CE40" s="143">
        <f t="shared" si="103"/>
        <v>1.1513647969254917</v>
      </c>
      <c r="CF40" s="143">
        <f t="shared" si="103"/>
        <v>1.153736419894019</v>
      </c>
      <c r="CG40" s="143">
        <f t="shared" si="103"/>
        <v>1.1561129280175553</v>
      </c>
      <c r="CH40" s="143">
        <f t="shared" si="103"/>
        <v>1.1584943313587199</v>
      </c>
      <c r="CI40" s="143">
        <f t="shared" si="103"/>
        <v>1.1608806400008598</v>
      </c>
      <c r="CJ40" s="143">
        <f t="shared" si="103"/>
        <v>1.1632718640480919</v>
      </c>
      <c r="CK40" s="143">
        <f t="shared" si="103"/>
        <v>1.1656680136253457</v>
      </c>
      <c r="CL40" s="143">
        <f t="shared" si="103"/>
        <v>1.1680690988784066</v>
      </c>
      <c r="CM40" s="143">
        <f t="shared" si="103"/>
        <v>1.1704751299739589</v>
      </c>
      <c r="CN40" s="143">
        <f t="shared" si="103"/>
        <v>1.1728861170996281</v>
      </c>
      <c r="CO40" s="143">
        <f t="shared" si="103"/>
        <v>1.1753020704640249</v>
      </c>
      <c r="CP40" s="143">
        <f t="shared" si="103"/>
        <v>1.177723000296788</v>
      </c>
      <c r="CQ40" s="143">
        <f t="shared" si="103"/>
        <v>1.1801489168486274</v>
      </c>
      <c r="CR40" s="143">
        <f t="shared" si="103"/>
        <v>1.1825798303913679</v>
      </c>
      <c r="CS40" s="143">
        <f t="shared" si="103"/>
        <v>1.1850157512179926</v>
      </c>
      <c r="CT40" s="143">
        <f t="shared" si="103"/>
        <v>1.1874566896426864</v>
      </c>
      <c r="CU40" s="143">
        <f t="shared" si="103"/>
        <v>1.1899026560008799</v>
      </c>
      <c r="CV40" s="143">
        <f t="shared" si="103"/>
        <v>1.1923536606492926</v>
      </c>
      <c r="CW40" s="143">
        <f t="shared" si="103"/>
        <v>1.1948097139659777</v>
      </c>
      <c r="CX40" s="143">
        <f t="shared" si="103"/>
        <v>1.1972708263503653</v>
      </c>
      <c r="CY40" s="143">
        <f t="shared" si="103"/>
        <v>1.1997370082233063</v>
      </c>
      <c r="CZ40" s="143">
        <f t="shared" si="103"/>
        <v>1.2022082700271173</v>
      </c>
      <c r="DA40" s="143">
        <f t="shared" si="103"/>
        <v>1.204684622225624</v>
      </c>
      <c r="DB40" s="143">
        <f t="shared" si="103"/>
        <v>1.2071660753042062</v>
      </c>
      <c r="DC40" s="143">
        <f t="shared" si="103"/>
        <v>1.2096526397698415</v>
      </c>
      <c r="DD40" s="143">
        <f t="shared" si="103"/>
        <v>1.2121443261511504</v>
      </c>
      <c r="DE40" s="143">
        <f t="shared" si="103"/>
        <v>1.2146411449984407</v>
      </c>
      <c r="DF40" s="143">
        <f t="shared" si="103"/>
        <v>1.2171431068837517</v>
      </c>
      <c r="DG40" s="143">
        <f t="shared" si="103"/>
        <v>1.2196502224009</v>
      </c>
      <c r="DH40" s="143">
        <f t="shared" si="103"/>
        <v>1.2221625021655231</v>
      </c>
      <c r="DI40" s="143">
        <f t="shared" si="103"/>
        <v>1.2246799568151254</v>
      </c>
    </row>
    <row r="41" spans="2:113" outlineLevel="1" x14ac:dyDescent="0.25">
      <c r="E41" s="134"/>
    </row>
    <row r="42" spans="2:113" customFormat="1" outlineLevel="1" x14ac:dyDescent="0.25">
      <c r="B42" s="1"/>
      <c r="C42" s="56" t="s">
        <v>57</v>
      </c>
      <c r="D42" s="57"/>
      <c r="E42" s="58"/>
      <c r="F42" s="58"/>
      <c r="G42" s="58"/>
      <c r="H42" s="58"/>
      <c r="I42" s="58"/>
      <c r="J42" s="58"/>
      <c r="K42" s="58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  <c r="BD42" s="59"/>
      <c r="BE42" s="59"/>
      <c r="BF42" s="59"/>
      <c r="BG42" s="59"/>
      <c r="BH42" s="59"/>
      <c r="BI42" s="59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59"/>
      <c r="BW42" s="59"/>
      <c r="BX42" s="59"/>
      <c r="BY42" s="59"/>
      <c r="BZ42" s="59"/>
      <c r="CA42" s="59"/>
      <c r="CB42" s="59"/>
      <c r="CC42" s="59"/>
      <c r="CD42" s="59"/>
      <c r="CE42" s="59"/>
      <c r="CF42" s="59"/>
      <c r="CG42" s="59"/>
      <c r="CH42" s="59"/>
      <c r="CI42" s="59"/>
      <c r="CJ42" s="59"/>
      <c r="CK42" s="59"/>
      <c r="CL42" s="59"/>
      <c r="CM42" s="59"/>
      <c r="CN42" s="59"/>
      <c r="CO42" s="59"/>
      <c r="CP42" s="59"/>
      <c r="CQ42" s="59"/>
      <c r="CR42" s="59"/>
      <c r="CS42" s="59"/>
      <c r="CT42" s="59"/>
      <c r="CU42" s="59"/>
      <c r="CV42" s="59"/>
      <c r="CW42" s="59"/>
      <c r="CX42" s="59"/>
      <c r="CY42" s="59"/>
      <c r="CZ42" s="59"/>
      <c r="DA42" s="59"/>
      <c r="DB42" s="59"/>
      <c r="DC42" s="59"/>
      <c r="DD42" s="59"/>
      <c r="DE42" s="59"/>
      <c r="DF42" s="59"/>
      <c r="DG42" s="59"/>
      <c r="DH42" s="59"/>
      <c r="DI42" s="59"/>
    </row>
    <row r="43" spans="2:113" customFormat="1" outlineLevel="1" x14ac:dyDescent="0.25">
      <c r="B43" s="1"/>
      <c r="C43" s="93" t="s">
        <v>243</v>
      </c>
      <c r="D43" s="63" t="s">
        <v>39</v>
      </c>
      <c r="E43" s="14">
        <v>0.41</v>
      </c>
      <c r="F43" s="1"/>
      <c r="G43" s="1"/>
      <c r="H43" s="1"/>
      <c r="I43" s="1"/>
      <c r="J43" s="1"/>
      <c r="P43" s="117"/>
      <c r="Q43" s="117"/>
      <c r="R43" s="117"/>
      <c r="S43" s="117"/>
      <c r="T43" s="117"/>
      <c r="U43" s="117"/>
      <c r="V43" s="117"/>
      <c r="W43" s="117"/>
      <c r="X43" s="117"/>
      <c r="Y43" s="117"/>
    </row>
    <row r="44" spans="2:113" customFormat="1" outlineLevel="1" x14ac:dyDescent="0.25">
      <c r="B44" s="1"/>
      <c r="C44" s="60" t="s">
        <v>244</v>
      </c>
      <c r="D44" s="65" t="s">
        <v>110</v>
      </c>
      <c r="E44" s="123">
        <f>+E43*Rentable_Sq_M</f>
        <v>34317</v>
      </c>
      <c r="F44" s="1"/>
      <c r="G44" s="1"/>
      <c r="H44" s="1"/>
      <c r="I44" s="1"/>
      <c r="J44" s="1"/>
    </row>
    <row r="45" spans="2:113" customFormat="1" outlineLevel="1" x14ac:dyDescent="0.25">
      <c r="B45" s="1"/>
      <c r="C45" s="60" t="s">
        <v>66</v>
      </c>
      <c r="D45" s="46" t="s">
        <v>34</v>
      </c>
      <c r="E45" s="17">
        <v>43585</v>
      </c>
      <c r="F45" s="1"/>
      <c r="G45" s="1"/>
      <c r="H45" s="1"/>
      <c r="I45" s="1"/>
      <c r="J45" s="1"/>
    </row>
    <row r="46" spans="2:113" customFormat="1" outlineLevel="1" x14ac:dyDescent="0.25">
      <c r="B46" s="1"/>
      <c r="C46" s="60" t="s">
        <v>124</v>
      </c>
      <c r="D46" s="46" t="s">
        <v>42</v>
      </c>
      <c r="E46" s="61">
        <v>3</v>
      </c>
      <c r="F46" s="1"/>
      <c r="G46" s="1"/>
      <c r="H46" s="1"/>
      <c r="I46" s="1"/>
      <c r="J46" s="1"/>
    </row>
    <row r="47" spans="2:113" customFormat="1" outlineLevel="1" x14ac:dyDescent="0.25">
      <c r="B47" s="1"/>
      <c r="C47" s="60" t="s">
        <v>48</v>
      </c>
      <c r="D47" s="46" t="s">
        <v>34</v>
      </c>
      <c r="E47" s="135">
        <f>EOMONTH(E45,E46*Months)</f>
        <v>44681</v>
      </c>
      <c r="F47" s="1"/>
      <c r="G47" s="1"/>
      <c r="H47" s="1"/>
      <c r="I47" s="1"/>
      <c r="J47" s="1"/>
      <c r="CL47" s="72"/>
      <c r="CR47" s="72"/>
    </row>
    <row r="48" spans="2:113" customFormat="1" outlineLevel="1" x14ac:dyDescent="0.25">
      <c r="B48" s="1"/>
      <c r="C48" s="93" t="s">
        <v>251</v>
      </c>
      <c r="D48" s="48" t="s">
        <v>39</v>
      </c>
      <c r="E48" s="140">
        <f>INDEX(Annual!$F$69:$N$90,22,INDEX($F$5:$DI$9,5,MATCH(E45,$F$5:$DI$5,0)))</f>
        <v>2.2499999999999999E-2</v>
      </c>
      <c r="F48" s="140">
        <f>IF(AND(E$35&gt;$E45,F$35&lt;$E47,MONTH(E$35)=MONTH($E45)),$E48,0)</f>
        <v>0</v>
      </c>
      <c r="G48" s="140">
        <f t="shared" ref="G48:BR48" si="104">IF(AND(F$35&gt;$E45,G$35&lt;$E47,MONTH(F$35)=MONTH($E45)),$E48,0)</f>
        <v>0</v>
      </c>
      <c r="H48" s="140">
        <f t="shared" si="104"/>
        <v>0</v>
      </c>
      <c r="I48" s="140">
        <f t="shared" si="104"/>
        <v>0</v>
      </c>
      <c r="J48" s="140">
        <f t="shared" si="104"/>
        <v>0</v>
      </c>
      <c r="K48" s="140">
        <f t="shared" si="104"/>
        <v>0</v>
      </c>
      <c r="L48" s="140">
        <f t="shared" si="104"/>
        <v>0</v>
      </c>
      <c r="M48" s="140">
        <f t="shared" si="104"/>
        <v>0</v>
      </c>
      <c r="N48" s="140">
        <f t="shared" si="104"/>
        <v>0</v>
      </c>
      <c r="O48" s="140">
        <f t="shared" si="104"/>
        <v>0</v>
      </c>
      <c r="P48" s="140">
        <f t="shared" si="104"/>
        <v>0</v>
      </c>
      <c r="Q48" s="140">
        <f t="shared" si="104"/>
        <v>0</v>
      </c>
      <c r="R48" s="140">
        <f t="shared" si="104"/>
        <v>0</v>
      </c>
      <c r="S48" s="140">
        <f t="shared" si="104"/>
        <v>0</v>
      </c>
      <c r="T48" s="140">
        <f t="shared" si="104"/>
        <v>0</v>
      </c>
      <c r="U48" s="140">
        <f t="shared" si="104"/>
        <v>0</v>
      </c>
      <c r="V48" s="140">
        <f t="shared" si="104"/>
        <v>0</v>
      </c>
      <c r="W48" s="140">
        <f t="shared" si="104"/>
        <v>0</v>
      </c>
      <c r="X48" s="140">
        <f t="shared" si="104"/>
        <v>0</v>
      </c>
      <c r="Y48" s="140">
        <f t="shared" si="104"/>
        <v>0</v>
      </c>
      <c r="Z48" s="140">
        <f t="shared" si="104"/>
        <v>0</v>
      </c>
      <c r="AA48" s="140">
        <f t="shared" si="104"/>
        <v>0</v>
      </c>
      <c r="AB48" s="140">
        <f t="shared" si="104"/>
        <v>0</v>
      </c>
      <c r="AC48" s="140">
        <f t="shared" si="104"/>
        <v>0</v>
      </c>
      <c r="AD48" s="140">
        <f t="shared" si="104"/>
        <v>0</v>
      </c>
      <c r="AE48" s="140">
        <f t="shared" si="104"/>
        <v>0</v>
      </c>
      <c r="AF48" s="140">
        <f t="shared" si="104"/>
        <v>0</v>
      </c>
      <c r="AG48" s="140">
        <f t="shared" si="104"/>
        <v>0</v>
      </c>
      <c r="AH48" s="140">
        <f t="shared" si="104"/>
        <v>0</v>
      </c>
      <c r="AI48" s="140">
        <f t="shared" si="104"/>
        <v>0</v>
      </c>
      <c r="AJ48" s="140">
        <f t="shared" si="104"/>
        <v>0</v>
      </c>
      <c r="AK48" s="140">
        <f t="shared" si="104"/>
        <v>0</v>
      </c>
      <c r="AL48" s="140">
        <f t="shared" si="104"/>
        <v>0</v>
      </c>
      <c r="AM48" s="140">
        <f t="shared" si="104"/>
        <v>0</v>
      </c>
      <c r="AN48" s="140">
        <f t="shared" si="104"/>
        <v>0</v>
      </c>
      <c r="AO48" s="140">
        <f t="shared" si="104"/>
        <v>0</v>
      </c>
      <c r="AP48" s="140">
        <f t="shared" si="104"/>
        <v>0</v>
      </c>
      <c r="AQ48" s="140">
        <f t="shared" si="104"/>
        <v>0</v>
      </c>
      <c r="AR48" s="140">
        <f t="shared" si="104"/>
        <v>0</v>
      </c>
      <c r="AS48" s="140">
        <f t="shared" si="104"/>
        <v>0</v>
      </c>
      <c r="AT48" s="140">
        <f t="shared" si="104"/>
        <v>0</v>
      </c>
      <c r="AU48" s="140">
        <f t="shared" si="104"/>
        <v>0</v>
      </c>
      <c r="AV48" s="140">
        <f t="shared" si="104"/>
        <v>0</v>
      </c>
      <c r="AW48" s="140">
        <f t="shared" si="104"/>
        <v>0</v>
      </c>
      <c r="AX48" s="140">
        <f t="shared" si="104"/>
        <v>0</v>
      </c>
      <c r="AY48" s="140">
        <f t="shared" si="104"/>
        <v>0</v>
      </c>
      <c r="AZ48" s="140">
        <f t="shared" si="104"/>
        <v>0</v>
      </c>
      <c r="BA48" s="140">
        <f t="shared" si="104"/>
        <v>0</v>
      </c>
      <c r="BB48" s="140">
        <f t="shared" si="104"/>
        <v>0</v>
      </c>
      <c r="BC48" s="140">
        <f t="shared" si="104"/>
        <v>0</v>
      </c>
      <c r="BD48" s="140">
        <f t="shared" si="104"/>
        <v>0</v>
      </c>
      <c r="BE48" s="140">
        <f t="shared" si="104"/>
        <v>0</v>
      </c>
      <c r="BF48" s="140">
        <f t="shared" si="104"/>
        <v>0</v>
      </c>
      <c r="BG48" s="140">
        <f t="shared" si="104"/>
        <v>0</v>
      </c>
      <c r="BH48" s="140">
        <f t="shared" si="104"/>
        <v>0</v>
      </c>
      <c r="BI48" s="140">
        <f t="shared" si="104"/>
        <v>0</v>
      </c>
      <c r="BJ48" s="140">
        <f t="shared" si="104"/>
        <v>0</v>
      </c>
      <c r="BK48" s="140">
        <f t="shared" si="104"/>
        <v>0</v>
      </c>
      <c r="BL48" s="140">
        <f t="shared" si="104"/>
        <v>0</v>
      </c>
      <c r="BM48" s="140">
        <f t="shared" si="104"/>
        <v>0</v>
      </c>
      <c r="BN48" s="140">
        <f t="shared" si="104"/>
        <v>2.2499999999999999E-2</v>
      </c>
      <c r="BO48" s="140">
        <f t="shared" si="104"/>
        <v>0</v>
      </c>
      <c r="BP48" s="140">
        <f t="shared" si="104"/>
        <v>0</v>
      </c>
      <c r="BQ48" s="140">
        <f t="shared" si="104"/>
        <v>0</v>
      </c>
      <c r="BR48" s="140">
        <f t="shared" si="104"/>
        <v>0</v>
      </c>
      <c r="BS48" s="140">
        <f t="shared" ref="BS48:DI48" si="105">IF(AND(BR$35&gt;$E45,BS$35&lt;$E47,MONTH(BR$35)=MONTH($E45)),$E48,0)</f>
        <v>0</v>
      </c>
      <c r="BT48" s="140">
        <f t="shared" si="105"/>
        <v>0</v>
      </c>
      <c r="BU48" s="140">
        <f t="shared" si="105"/>
        <v>0</v>
      </c>
      <c r="BV48" s="140">
        <f t="shared" si="105"/>
        <v>0</v>
      </c>
      <c r="BW48" s="140">
        <f t="shared" si="105"/>
        <v>0</v>
      </c>
      <c r="BX48" s="140">
        <f t="shared" si="105"/>
        <v>0</v>
      </c>
      <c r="BY48" s="140">
        <f t="shared" si="105"/>
        <v>0</v>
      </c>
      <c r="BZ48" s="140">
        <f t="shared" si="105"/>
        <v>2.2499999999999999E-2</v>
      </c>
      <c r="CA48" s="140">
        <f t="shared" si="105"/>
        <v>0</v>
      </c>
      <c r="CB48" s="140">
        <f t="shared" si="105"/>
        <v>0</v>
      </c>
      <c r="CC48" s="140">
        <f t="shared" si="105"/>
        <v>0</v>
      </c>
      <c r="CD48" s="140">
        <f t="shared" si="105"/>
        <v>0</v>
      </c>
      <c r="CE48" s="140">
        <f t="shared" si="105"/>
        <v>0</v>
      </c>
      <c r="CF48" s="140">
        <f t="shared" si="105"/>
        <v>0</v>
      </c>
      <c r="CG48" s="140">
        <f t="shared" si="105"/>
        <v>0</v>
      </c>
      <c r="CH48" s="140">
        <f t="shared" si="105"/>
        <v>0</v>
      </c>
      <c r="CI48" s="140">
        <f t="shared" si="105"/>
        <v>0</v>
      </c>
      <c r="CJ48" s="140">
        <f t="shared" si="105"/>
        <v>0</v>
      </c>
      <c r="CK48" s="140">
        <f t="shared" si="105"/>
        <v>0</v>
      </c>
      <c r="CL48" s="140">
        <f t="shared" si="105"/>
        <v>0</v>
      </c>
      <c r="CM48" s="140">
        <f t="shared" si="105"/>
        <v>0</v>
      </c>
      <c r="CN48" s="140">
        <f t="shared" si="105"/>
        <v>0</v>
      </c>
      <c r="CO48" s="140">
        <f t="shared" si="105"/>
        <v>0</v>
      </c>
      <c r="CP48" s="140">
        <f t="shared" si="105"/>
        <v>0</v>
      </c>
      <c r="CQ48" s="140">
        <f t="shared" si="105"/>
        <v>0</v>
      </c>
      <c r="CR48" s="140">
        <f t="shared" si="105"/>
        <v>0</v>
      </c>
      <c r="CS48" s="140">
        <f t="shared" si="105"/>
        <v>0</v>
      </c>
      <c r="CT48" s="140">
        <f t="shared" si="105"/>
        <v>0</v>
      </c>
      <c r="CU48" s="140">
        <f t="shared" si="105"/>
        <v>0</v>
      </c>
      <c r="CV48" s="140">
        <f t="shared" si="105"/>
        <v>0</v>
      </c>
      <c r="CW48" s="140">
        <f t="shared" si="105"/>
        <v>0</v>
      </c>
      <c r="CX48" s="140">
        <f t="shared" si="105"/>
        <v>0</v>
      </c>
      <c r="CY48" s="140">
        <f t="shared" si="105"/>
        <v>0</v>
      </c>
      <c r="CZ48" s="140">
        <f t="shared" si="105"/>
        <v>0</v>
      </c>
      <c r="DA48" s="140">
        <f t="shared" si="105"/>
        <v>0</v>
      </c>
      <c r="DB48" s="140">
        <f t="shared" si="105"/>
        <v>0</v>
      </c>
      <c r="DC48" s="140">
        <f t="shared" si="105"/>
        <v>0</v>
      </c>
      <c r="DD48" s="140">
        <f t="shared" si="105"/>
        <v>0</v>
      </c>
      <c r="DE48" s="140">
        <f t="shared" si="105"/>
        <v>0</v>
      </c>
      <c r="DF48" s="140">
        <f t="shared" si="105"/>
        <v>0</v>
      </c>
      <c r="DG48" s="140">
        <f t="shared" si="105"/>
        <v>0</v>
      </c>
      <c r="DH48" s="140">
        <f t="shared" si="105"/>
        <v>0</v>
      </c>
      <c r="DI48" s="140">
        <f t="shared" si="105"/>
        <v>0</v>
      </c>
    </row>
    <row r="49" spans="2:113" customFormat="1" outlineLevel="1" x14ac:dyDescent="0.25">
      <c r="B49" s="1"/>
      <c r="C49" s="93" t="s">
        <v>269</v>
      </c>
      <c r="D49" s="46" t="s">
        <v>44</v>
      </c>
      <c r="E49" s="61">
        <v>6</v>
      </c>
      <c r="F49" s="1"/>
      <c r="G49" s="1"/>
      <c r="H49" s="1"/>
      <c r="I49" s="1"/>
      <c r="J49" s="1"/>
      <c r="AP49" s="72"/>
      <c r="CL49" s="72"/>
      <c r="CM49" s="72"/>
      <c r="CN49" s="72"/>
      <c r="CO49" s="72"/>
      <c r="CP49" s="72"/>
      <c r="CR49" s="72"/>
    </row>
    <row r="50" spans="2:113" customFormat="1" outlineLevel="1" x14ac:dyDescent="0.25">
      <c r="B50" s="1"/>
      <c r="C50" s="54"/>
      <c r="D50" s="66"/>
      <c r="E50" s="1"/>
      <c r="F50" s="1"/>
      <c r="G50" s="1"/>
      <c r="H50" s="1"/>
      <c r="I50" s="1"/>
      <c r="J50" s="1"/>
      <c r="AP50" s="72"/>
      <c r="CL50" s="72"/>
      <c r="CM50" s="72"/>
      <c r="CN50" s="72"/>
      <c r="CO50" s="72"/>
      <c r="CP50" s="72"/>
      <c r="CR50" s="72"/>
    </row>
    <row r="51" spans="2:113" customFormat="1" outlineLevel="1" x14ac:dyDescent="0.25">
      <c r="B51" s="1"/>
      <c r="C51" s="93" t="s">
        <v>256</v>
      </c>
      <c r="D51" s="46" t="s">
        <v>34</v>
      </c>
      <c r="E51" s="225">
        <f>E47</f>
        <v>44681</v>
      </c>
      <c r="F51" s="1"/>
      <c r="G51" s="1"/>
      <c r="H51" s="1"/>
      <c r="I51" s="1"/>
      <c r="J51" s="1"/>
      <c r="AP51" s="72"/>
      <c r="CL51" s="72"/>
      <c r="CM51" s="72"/>
      <c r="CN51" s="72"/>
      <c r="CO51" s="72"/>
      <c r="CP51" s="72"/>
      <c r="CR51" s="72"/>
    </row>
    <row r="52" spans="2:113" customFormat="1" outlineLevel="1" x14ac:dyDescent="0.25">
      <c r="B52" s="1"/>
      <c r="C52" s="93" t="s">
        <v>258</v>
      </c>
      <c r="D52" s="46" t="s">
        <v>42</v>
      </c>
      <c r="E52" s="226">
        <f>New_Lease_Years</f>
        <v>5</v>
      </c>
      <c r="F52" s="1"/>
      <c r="G52" s="1"/>
      <c r="H52" s="1"/>
      <c r="I52" s="1"/>
      <c r="J52" s="1"/>
      <c r="AP52" s="72"/>
      <c r="CL52" s="72"/>
      <c r="CM52" s="72"/>
      <c r="CN52" s="72"/>
      <c r="CO52" s="72"/>
      <c r="CP52" s="72"/>
      <c r="CR52" s="72"/>
    </row>
    <row r="53" spans="2:113" customFormat="1" outlineLevel="1" x14ac:dyDescent="0.25">
      <c r="B53" s="1"/>
      <c r="C53" s="60" t="s">
        <v>259</v>
      </c>
      <c r="D53" s="46" t="s">
        <v>34</v>
      </c>
      <c r="E53" s="225">
        <f>EOMONTH(E51,E52*Months)</f>
        <v>46507</v>
      </c>
      <c r="F53" s="1"/>
      <c r="G53" s="1"/>
      <c r="H53" s="1"/>
      <c r="I53" s="1"/>
      <c r="J53" s="1"/>
      <c r="AP53" s="72"/>
      <c r="CL53" s="72"/>
      <c r="CM53" s="72"/>
      <c r="CN53" s="72"/>
      <c r="CO53" s="72"/>
      <c r="CP53" s="72"/>
      <c r="CR53" s="72"/>
    </row>
    <row r="54" spans="2:113" customFormat="1" outlineLevel="1" x14ac:dyDescent="0.25">
      <c r="B54" s="1"/>
      <c r="C54" s="93" t="s">
        <v>257</v>
      </c>
      <c r="D54" s="48" t="s">
        <v>39</v>
      </c>
      <c r="E54" s="140">
        <f>INDEX(Annual!$F$69:$N$90,22,INDEX($F$5:$DI$9,5,MATCH(E51,$F$5:$DI$5,0)))</f>
        <v>2.5000000000000001E-2</v>
      </c>
      <c r="F54" s="140">
        <f>IF(AND(E$35&gt;$E51,F$35&lt;$E53,MONTH(E$35)=MONTH($E51)),$E54,0)</f>
        <v>0</v>
      </c>
      <c r="G54" s="140">
        <f t="shared" ref="G54" si="106">IF(AND(F$35&gt;$E51,G$35&lt;$E53,MONTH(F$35)=MONTH($E51)),$E54,0)</f>
        <v>0</v>
      </c>
      <c r="H54" s="140">
        <f t="shared" ref="H54" si="107">IF(AND(G$35&gt;$E51,H$35&lt;$E53,MONTH(G$35)=MONTH($E51)),$E54,0)</f>
        <v>0</v>
      </c>
      <c r="I54" s="140">
        <f t="shared" ref="I54" si="108">IF(AND(H$35&gt;$E51,I$35&lt;$E53,MONTH(H$35)=MONTH($E51)),$E54,0)</f>
        <v>0</v>
      </c>
      <c r="J54" s="140">
        <f t="shared" ref="J54" si="109">IF(AND(I$35&gt;$E51,J$35&lt;$E53,MONTH(I$35)=MONTH($E51)),$E54,0)</f>
        <v>0</v>
      </c>
      <c r="K54" s="140">
        <f t="shared" ref="K54" si="110">IF(AND(J$35&gt;$E51,K$35&lt;$E53,MONTH(J$35)=MONTH($E51)),$E54,0)</f>
        <v>0</v>
      </c>
      <c r="L54" s="140">
        <f t="shared" ref="L54" si="111">IF(AND(K$35&gt;$E51,L$35&lt;$E53,MONTH(K$35)=MONTH($E51)),$E54,0)</f>
        <v>0</v>
      </c>
      <c r="M54" s="140">
        <f t="shared" ref="M54" si="112">IF(AND(L$35&gt;$E51,M$35&lt;$E53,MONTH(L$35)=MONTH($E51)),$E54,0)</f>
        <v>0</v>
      </c>
      <c r="N54" s="140">
        <f t="shared" ref="N54" si="113">IF(AND(M$35&gt;$E51,N$35&lt;$E53,MONTH(M$35)=MONTH($E51)),$E54,0)</f>
        <v>0</v>
      </c>
      <c r="O54" s="140">
        <f t="shared" ref="O54" si="114">IF(AND(N$35&gt;$E51,O$35&lt;$E53,MONTH(N$35)=MONTH($E51)),$E54,0)</f>
        <v>0</v>
      </c>
      <c r="P54" s="140">
        <f t="shared" ref="P54" si="115">IF(AND(O$35&gt;$E51,P$35&lt;$E53,MONTH(O$35)=MONTH($E51)),$E54,0)</f>
        <v>0</v>
      </c>
      <c r="Q54" s="140">
        <f t="shared" ref="Q54" si="116">IF(AND(P$35&gt;$E51,Q$35&lt;$E53,MONTH(P$35)=MONTH($E51)),$E54,0)</f>
        <v>0</v>
      </c>
      <c r="R54" s="140">
        <f t="shared" ref="R54" si="117">IF(AND(Q$35&gt;$E51,R$35&lt;$E53,MONTH(Q$35)=MONTH($E51)),$E54,0)</f>
        <v>0</v>
      </c>
      <c r="S54" s="140">
        <f t="shared" ref="S54" si="118">IF(AND(R$35&gt;$E51,S$35&lt;$E53,MONTH(R$35)=MONTH($E51)),$E54,0)</f>
        <v>0</v>
      </c>
      <c r="T54" s="140">
        <f t="shared" ref="T54" si="119">IF(AND(S$35&gt;$E51,T$35&lt;$E53,MONTH(S$35)=MONTH($E51)),$E54,0)</f>
        <v>0</v>
      </c>
      <c r="U54" s="140">
        <f t="shared" ref="U54" si="120">IF(AND(T$35&gt;$E51,U$35&lt;$E53,MONTH(T$35)=MONTH($E51)),$E54,0)</f>
        <v>0</v>
      </c>
      <c r="V54" s="140">
        <f t="shared" ref="V54" si="121">IF(AND(U$35&gt;$E51,V$35&lt;$E53,MONTH(U$35)=MONTH($E51)),$E54,0)</f>
        <v>0</v>
      </c>
      <c r="W54" s="140">
        <f t="shared" ref="W54" si="122">IF(AND(V$35&gt;$E51,W$35&lt;$E53,MONTH(V$35)=MONTH($E51)),$E54,0)</f>
        <v>0</v>
      </c>
      <c r="X54" s="140">
        <f t="shared" ref="X54" si="123">IF(AND(W$35&gt;$E51,X$35&lt;$E53,MONTH(W$35)=MONTH($E51)),$E54,0)</f>
        <v>0</v>
      </c>
      <c r="Y54" s="140">
        <f t="shared" ref="Y54" si="124">IF(AND(X$35&gt;$E51,Y$35&lt;$E53,MONTH(X$35)=MONTH($E51)),$E54,0)</f>
        <v>0</v>
      </c>
      <c r="Z54" s="140">
        <f t="shared" ref="Z54" si="125">IF(AND(Y$35&gt;$E51,Z$35&lt;$E53,MONTH(Y$35)=MONTH($E51)),$E54,0)</f>
        <v>0</v>
      </c>
      <c r="AA54" s="140">
        <f t="shared" ref="AA54" si="126">IF(AND(Z$35&gt;$E51,AA$35&lt;$E53,MONTH(Z$35)=MONTH($E51)),$E54,0)</f>
        <v>0</v>
      </c>
      <c r="AB54" s="140">
        <f t="shared" ref="AB54" si="127">IF(AND(AA$35&gt;$E51,AB$35&lt;$E53,MONTH(AA$35)=MONTH($E51)),$E54,0)</f>
        <v>0</v>
      </c>
      <c r="AC54" s="140">
        <f t="shared" ref="AC54" si="128">IF(AND(AB$35&gt;$E51,AC$35&lt;$E53,MONTH(AB$35)=MONTH($E51)),$E54,0)</f>
        <v>0</v>
      </c>
      <c r="AD54" s="140">
        <f t="shared" ref="AD54" si="129">IF(AND(AC$35&gt;$E51,AD$35&lt;$E53,MONTH(AC$35)=MONTH($E51)),$E54,0)</f>
        <v>0</v>
      </c>
      <c r="AE54" s="140">
        <f t="shared" ref="AE54" si="130">IF(AND(AD$35&gt;$E51,AE$35&lt;$E53,MONTH(AD$35)=MONTH($E51)),$E54,0)</f>
        <v>0</v>
      </c>
      <c r="AF54" s="140">
        <f t="shared" ref="AF54" si="131">IF(AND(AE$35&gt;$E51,AF$35&lt;$E53,MONTH(AE$35)=MONTH($E51)),$E54,0)</f>
        <v>0</v>
      </c>
      <c r="AG54" s="140">
        <f t="shared" ref="AG54" si="132">IF(AND(AF$35&gt;$E51,AG$35&lt;$E53,MONTH(AF$35)=MONTH($E51)),$E54,0)</f>
        <v>0</v>
      </c>
      <c r="AH54" s="140">
        <f t="shared" ref="AH54" si="133">IF(AND(AG$35&gt;$E51,AH$35&lt;$E53,MONTH(AG$35)=MONTH($E51)),$E54,0)</f>
        <v>0</v>
      </c>
      <c r="AI54" s="140">
        <f t="shared" ref="AI54" si="134">IF(AND(AH$35&gt;$E51,AI$35&lt;$E53,MONTH(AH$35)=MONTH($E51)),$E54,0)</f>
        <v>0</v>
      </c>
      <c r="AJ54" s="140">
        <f t="shared" ref="AJ54" si="135">IF(AND(AI$35&gt;$E51,AJ$35&lt;$E53,MONTH(AI$35)=MONTH($E51)),$E54,0)</f>
        <v>0</v>
      </c>
      <c r="AK54" s="140">
        <f t="shared" ref="AK54" si="136">IF(AND(AJ$35&gt;$E51,AK$35&lt;$E53,MONTH(AJ$35)=MONTH($E51)),$E54,0)</f>
        <v>0</v>
      </c>
      <c r="AL54" s="140">
        <f t="shared" ref="AL54" si="137">IF(AND(AK$35&gt;$E51,AL$35&lt;$E53,MONTH(AK$35)=MONTH($E51)),$E54,0)</f>
        <v>0</v>
      </c>
      <c r="AM54" s="140">
        <f t="shared" ref="AM54" si="138">IF(AND(AL$35&gt;$E51,AM$35&lt;$E53,MONTH(AL$35)=MONTH($E51)),$E54,0)</f>
        <v>0</v>
      </c>
      <c r="AN54" s="140">
        <f t="shared" ref="AN54" si="139">IF(AND(AM$35&gt;$E51,AN$35&lt;$E53,MONTH(AM$35)=MONTH($E51)),$E54,0)</f>
        <v>0</v>
      </c>
      <c r="AO54" s="140">
        <f t="shared" ref="AO54" si="140">IF(AND(AN$35&gt;$E51,AO$35&lt;$E53,MONTH(AN$35)=MONTH($E51)),$E54,0)</f>
        <v>0</v>
      </c>
      <c r="AP54" s="140">
        <f t="shared" ref="AP54" si="141">IF(AND(AO$35&gt;$E51,AP$35&lt;$E53,MONTH(AO$35)=MONTH($E51)),$E54,0)</f>
        <v>0</v>
      </c>
      <c r="AQ54" s="140">
        <f t="shared" ref="AQ54" si="142">IF(AND(AP$35&gt;$E51,AQ$35&lt;$E53,MONTH(AP$35)=MONTH($E51)),$E54,0)</f>
        <v>0</v>
      </c>
      <c r="AR54" s="140">
        <f t="shared" ref="AR54" si="143">IF(AND(AQ$35&gt;$E51,AR$35&lt;$E53,MONTH(AQ$35)=MONTH($E51)),$E54,0)</f>
        <v>0</v>
      </c>
      <c r="AS54" s="140">
        <f t="shared" ref="AS54" si="144">IF(AND(AR$35&gt;$E51,AS$35&lt;$E53,MONTH(AR$35)=MONTH($E51)),$E54,0)</f>
        <v>0</v>
      </c>
      <c r="AT54" s="140">
        <f t="shared" ref="AT54" si="145">IF(AND(AS$35&gt;$E51,AT$35&lt;$E53,MONTH(AS$35)=MONTH($E51)),$E54,0)</f>
        <v>0</v>
      </c>
      <c r="AU54" s="140">
        <f t="shared" ref="AU54" si="146">IF(AND(AT$35&gt;$E51,AU$35&lt;$E53,MONTH(AT$35)=MONTH($E51)),$E54,0)</f>
        <v>0</v>
      </c>
      <c r="AV54" s="140">
        <f t="shared" ref="AV54" si="147">IF(AND(AU$35&gt;$E51,AV$35&lt;$E53,MONTH(AU$35)=MONTH($E51)),$E54,0)</f>
        <v>0</v>
      </c>
      <c r="AW54" s="140">
        <f t="shared" ref="AW54" si="148">IF(AND(AV$35&gt;$E51,AW$35&lt;$E53,MONTH(AV$35)=MONTH($E51)),$E54,0)</f>
        <v>0</v>
      </c>
      <c r="AX54" s="140">
        <f t="shared" ref="AX54" si="149">IF(AND(AW$35&gt;$E51,AX$35&lt;$E53,MONTH(AW$35)=MONTH($E51)),$E54,0)</f>
        <v>0</v>
      </c>
      <c r="AY54" s="140">
        <f t="shared" ref="AY54" si="150">IF(AND(AX$35&gt;$E51,AY$35&lt;$E53,MONTH(AX$35)=MONTH($E51)),$E54,0)</f>
        <v>0</v>
      </c>
      <c r="AZ54" s="140">
        <f t="shared" ref="AZ54" si="151">IF(AND(AY$35&gt;$E51,AZ$35&lt;$E53,MONTH(AY$35)=MONTH($E51)),$E54,0)</f>
        <v>0</v>
      </c>
      <c r="BA54" s="140">
        <f t="shared" ref="BA54" si="152">IF(AND(AZ$35&gt;$E51,BA$35&lt;$E53,MONTH(AZ$35)=MONTH($E51)),$E54,0)</f>
        <v>0</v>
      </c>
      <c r="BB54" s="140">
        <f t="shared" ref="BB54" si="153">IF(AND(BA$35&gt;$E51,BB$35&lt;$E53,MONTH(BA$35)=MONTH($E51)),$E54,0)</f>
        <v>0</v>
      </c>
      <c r="BC54" s="140">
        <f t="shared" ref="BC54" si="154">IF(AND(BB$35&gt;$E51,BC$35&lt;$E53,MONTH(BB$35)=MONTH($E51)),$E54,0)</f>
        <v>0</v>
      </c>
      <c r="BD54" s="140">
        <f t="shared" ref="BD54" si="155">IF(AND(BC$35&gt;$E51,BD$35&lt;$E53,MONTH(BC$35)=MONTH($E51)),$E54,0)</f>
        <v>0</v>
      </c>
      <c r="BE54" s="140">
        <f t="shared" ref="BE54" si="156">IF(AND(BD$35&gt;$E51,BE$35&lt;$E53,MONTH(BD$35)=MONTH($E51)),$E54,0)</f>
        <v>0</v>
      </c>
      <c r="BF54" s="140">
        <f t="shared" ref="BF54" si="157">IF(AND(BE$35&gt;$E51,BF$35&lt;$E53,MONTH(BE$35)=MONTH($E51)),$E54,0)</f>
        <v>0</v>
      </c>
      <c r="BG54" s="140">
        <f t="shared" ref="BG54" si="158">IF(AND(BF$35&gt;$E51,BG$35&lt;$E53,MONTH(BF$35)=MONTH($E51)),$E54,0)</f>
        <v>0</v>
      </c>
      <c r="BH54" s="140">
        <f t="shared" ref="BH54" si="159">IF(AND(BG$35&gt;$E51,BH$35&lt;$E53,MONTH(BG$35)=MONTH($E51)),$E54,0)</f>
        <v>0</v>
      </c>
      <c r="BI54" s="140">
        <f t="shared" ref="BI54" si="160">IF(AND(BH$35&gt;$E51,BI$35&lt;$E53,MONTH(BH$35)=MONTH($E51)),$E54,0)</f>
        <v>0</v>
      </c>
      <c r="BJ54" s="140">
        <f t="shared" ref="BJ54" si="161">IF(AND(BI$35&gt;$E51,BJ$35&lt;$E53,MONTH(BI$35)=MONTH($E51)),$E54,0)</f>
        <v>0</v>
      </c>
      <c r="BK54" s="140">
        <f t="shared" ref="BK54" si="162">IF(AND(BJ$35&gt;$E51,BK$35&lt;$E53,MONTH(BJ$35)=MONTH($E51)),$E54,0)</f>
        <v>0</v>
      </c>
      <c r="BL54" s="140">
        <f t="shared" ref="BL54" si="163">IF(AND(BK$35&gt;$E51,BL$35&lt;$E53,MONTH(BK$35)=MONTH($E51)),$E54,0)</f>
        <v>0</v>
      </c>
      <c r="BM54" s="140">
        <f t="shared" ref="BM54" si="164">IF(AND(BL$35&gt;$E51,BM$35&lt;$E53,MONTH(BL$35)=MONTH($E51)),$E54,0)</f>
        <v>0</v>
      </c>
      <c r="BN54" s="140">
        <f t="shared" ref="BN54" si="165">IF(AND(BM$35&gt;$E51,BN$35&lt;$E53,MONTH(BM$35)=MONTH($E51)),$E54,0)</f>
        <v>0</v>
      </c>
      <c r="BO54" s="140">
        <f t="shared" ref="BO54" si="166">IF(AND(BN$35&gt;$E51,BO$35&lt;$E53,MONTH(BN$35)=MONTH($E51)),$E54,0)</f>
        <v>0</v>
      </c>
      <c r="BP54" s="140">
        <f t="shared" ref="BP54" si="167">IF(AND(BO$35&gt;$E51,BP$35&lt;$E53,MONTH(BO$35)=MONTH($E51)),$E54,0)</f>
        <v>0</v>
      </c>
      <c r="BQ54" s="140">
        <f t="shared" ref="BQ54" si="168">IF(AND(BP$35&gt;$E51,BQ$35&lt;$E53,MONTH(BP$35)=MONTH($E51)),$E54,0)</f>
        <v>0</v>
      </c>
      <c r="BR54" s="140">
        <f t="shared" ref="BR54" si="169">IF(AND(BQ$35&gt;$E51,BR$35&lt;$E53,MONTH(BQ$35)=MONTH($E51)),$E54,0)</f>
        <v>0</v>
      </c>
      <c r="BS54" s="140">
        <f t="shared" ref="BS54" si="170">IF(AND(BR$35&gt;$E51,BS$35&lt;$E53,MONTH(BR$35)=MONTH($E51)),$E54,0)</f>
        <v>0</v>
      </c>
      <c r="BT54" s="140">
        <f t="shared" ref="BT54" si="171">IF(AND(BS$35&gt;$E51,BT$35&lt;$E53,MONTH(BS$35)=MONTH($E51)),$E54,0)</f>
        <v>0</v>
      </c>
      <c r="BU54" s="140">
        <f t="shared" ref="BU54" si="172">IF(AND(BT$35&gt;$E51,BU$35&lt;$E53,MONTH(BT$35)=MONTH($E51)),$E54,0)</f>
        <v>0</v>
      </c>
      <c r="BV54" s="140">
        <f t="shared" ref="BV54" si="173">IF(AND(BU$35&gt;$E51,BV$35&lt;$E53,MONTH(BU$35)=MONTH($E51)),$E54,0)</f>
        <v>0</v>
      </c>
      <c r="BW54" s="140">
        <f t="shared" ref="BW54" si="174">IF(AND(BV$35&gt;$E51,BW$35&lt;$E53,MONTH(BV$35)=MONTH($E51)),$E54,0)</f>
        <v>0</v>
      </c>
      <c r="BX54" s="140">
        <f t="shared" ref="BX54" si="175">IF(AND(BW$35&gt;$E51,BX$35&lt;$E53,MONTH(BW$35)=MONTH($E51)),$E54,0)</f>
        <v>0</v>
      </c>
      <c r="BY54" s="140">
        <f t="shared" ref="BY54" si="176">IF(AND(BX$35&gt;$E51,BY$35&lt;$E53,MONTH(BX$35)=MONTH($E51)),$E54,0)</f>
        <v>0</v>
      </c>
      <c r="BZ54" s="140">
        <f t="shared" ref="BZ54" si="177">IF(AND(BY$35&gt;$E51,BZ$35&lt;$E53,MONTH(BY$35)=MONTH($E51)),$E54,0)</f>
        <v>0</v>
      </c>
      <c r="CA54" s="140">
        <f t="shared" ref="CA54" si="178">IF(AND(BZ$35&gt;$E51,CA$35&lt;$E53,MONTH(BZ$35)=MONTH($E51)),$E54,0)</f>
        <v>0</v>
      </c>
      <c r="CB54" s="140">
        <f t="shared" ref="CB54" si="179">IF(AND(CA$35&gt;$E51,CB$35&lt;$E53,MONTH(CA$35)=MONTH($E51)),$E54,0)</f>
        <v>0</v>
      </c>
      <c r="CC54" s="140">
        <f t="shared" ref="CC54" si="180">IF(AND(CB$35&gt;$E51,CC$35&lt;$E53,MONTH(CB$35)=MONTH($E51)),$E54,0)</f>
        <v>0</v>
      </c>
      <c r="CD54" s="140">
        <f t="shared" ref="CD54" si="181">IF(AND(CC$35&gt;$E51,CD$35&lt;$E53,MONTH(CC$35)=MONTH($E51)),$E54,0)</f>
        <v>0</v>
      </c>
      <c r="CE54" s="140">
        <f t="shared" ref="CE54" si="182">IF(AND(CD$35&gt;$E51,CE$35&lt;$E53,MONTH(CD$35)=MONTH($E51)),$E54,0)</f>
        <v>0</v>
      </c>
      <c r="CF54" s="140">
        <f t="shared" ref="CF54" si="183">IF(AND(CE$35&gt;$E51,CF$35&lt;$E53,MONTH(CE$35)=MONTH($E51)),$E54,0)</f>
        <v>0</v>
      </c>
      <c r="CG54" s="140">
        <f t="shared" ref="CG54" si="184">IF(AND(CF$35&gt;$E51,CG$35&lt;$E53,MONTH(CF$35)=MONTH($E51)),$E54,0)</f>
        <v>0</v>
      </c>
      <c r="CH54" s="140">
        <f t="shared" ref="CH54" si="185">IF(AND(CG$35&gt;$E51,CH$35&lt;$E53,MONTH(CG$35)=MONTH($E51)),$E54,0)</f>
        <v>0</v>
      </c>
      <c r="CI54" s="140">
        <f t="shared" ref="CI54" si="186">IF(AND(CH$35&gt;$E51,CI$35&lt;$E53,MONTH(CH$35)=MONTH($E51)),$E54,0)</f>
        <v>0</v>
      </c>
      <c r="CJ54" s="140">
        <f t="shared" ref="CJ54" si="187">IF(AND(CI$35&gt;$E51,CJ$35&lt;$E53,MONTH(CI$35)=MONTH($E51)),$E54,0)</f>
        <v>0</v>
      </c>
      <c r="CK54" s="140">
        <f t="shared" ref="CK54" si="188">IF(AND(CJ$35&gt;$E51,CK$35&lt;$E53,MONTH(CJ$35)=MONTH($E51)),$E54,0)</f>
        <v>0</v>
      </c>
      <c r="CL54" s="140">
        <f t="shared" ref="CL54" si="189">IF(AND(CK$35&gt;$E51,CL$35&lt;$E53,MONTH(CK$35)=MONTH($E51)),$E54,0)</f>
        <v>0</v>
      </c>
      <c r="CM54" s="140">
        <f t="shared" ref="CM54" si="190">IF(AND(CL$35&gt;$E51,CM$35&lt;$E53,MONTH(CL$35)=MONTH($E51)),$E54,0)</f>
        <v>0</v>
      </c>
      <c r="CN54" s="140">
        <f t="shared" ref="CN54" si="191">IF(AND(CM$35&gt;$E51,CN$35&lt;$E53,MONTH(CM$35)=MONTH($E51)),$E54,0)</f>
        <v>0</v>
      </c>
      <c r="CO54" s="140">
        <f t="shared" ref="CO54" si="192">IF(AND(CN$35&gt;$E51,CO$35&lt;$E53,MONTH(CN$35)=MONTH($E51)),$E54,0)</f>
        <v>0</v>
      </c>
      <c r="CP54" s="140">
        <f t="shared" ref="CP54" si="193">IF(AND(CO$35&gt;$E51,CP$35&lt;$E53,MONTH(CO$35)=MONTH($E51)),$E54,0)</f>
        <v>0</v>
      </c>
      <c r="CQ54" s="140">
        <f t="shared" ref="CQ54" si="194">IF(AND(CP$35&gt;$E51,CQ$35&lt;$E53,MONTH(CP$35)=MONTH($E51)),$E54,0)</f>
        <v>0</v>
      </c>
      <c r="CR54" s="140">
        <f t="shared" ref="CR54" si="195">IF(AND(CQ$35&gt;$E51,CR$35&lt;$E53,MONTH(CQ$35)=MONTH($E51)),$E54,0)</f>
        <v>0</v>
      </c>
      <c r="CS54" s="140">
        <f t="shared" ref="CS54" si="196">IF(AND(CR$35&gt;$E51,CS$35&lt;$E53,MONTH(CR$35)=MONTH($E51)),$E54,0)</f>
        <v>0</v>
      </c>
      <c r="CT54" s="140">
        <f t="shared" ref="CT54" si="197">IF(AND(CS$35&gt;$E51,CT$35&lt;$E53,MONTH(CS$35)=MONTH($E51)),$E54,0)</f>
        <v>0</v>
      </c>
      <c r="CU54" s="140">
        <f t="shared" ref="CU54" si="198">IF(AND(CT$35&gt;$E51,CU$35&lt;$E53,MONTH(CT$35)=MONTH($E51)),$E54,0)</f>
        <v>0</v>
      </c>
      <c r="CV54" s="140">
        <f t="shared" ref="CV54" si="199">IF(AND(CU$35&gt;$E51,CV$35&lt;$E53,MONTH(CU$35)=MONTH($E51)),$E54,0)</f>
        <v>0</v>
      </c>
      <c r="CW54" s="140">
        <f t="shared" ref="CW54" si="200">IF(AND(CV$35&gt;$E51,CW$35&lt;$E53,MONTH(CV$35)=MONTH($E51)),$E54,0)</f>
        <v>0</v>
      </c>
      <c r="CX54" s="140">
        <f t="shared" ref="CX54" si="201">IF(AND(CW$35&gt;$E51,CX$35&lt;$E53,MONTH(CW$35)=MONTH($E51)),$E54,0)</f>
        <v>2.5000000000000001E-2</v>
      </c>
      <c r="CY54" s="140">
        <f t="shared" ref="CY54" si="202">IF(AND(CX$35&gt;$E51,CY$35&lt;$E53,MONTH(CX$35)=MONTH($E51)),$E54,0)</f>
        <v>0</v>
      </c>
      <c r="CZ54" s="140">
        <f t="shared" ref="CZ54" si="203">IF(AND(CY$35&gt;$E51,CZ$35&lt;$E53,MONTH(CY$35)=MONTH($E51)),$E54,0)</f>
        <v>0</v>
      </c>
      <c r="DA54" s="140">
        <f t="shared" ref="DA54" si="204">IF(AND(CZ$35&gt;$E51,DA$35&lt;$E53,MONTH(CZ$35)=MONTH($E51)),$E54,0)</f>
        <v>0</v>
      </c>
      <c r="DB54" s="140">
        <f t="shared" ref="DB54" si="205">IF(AND(DA$35&gt;$E51,DB$35&lt;$E53,MONTH(DA$35)=MONTH($E51)),$E54,0)</f>
        <v>0</v>
      </c>
      <c r="DC54" s="140">
        <f t="shared" ref="DC54" si="206">IF(AND(DB$35&gt;$E51,DC$35&lt;$E53,MONTH(DB$35)=MONTH($E51)),$E54,0)</f>
        <v>0</v>
      </c>
      <c r="DD54" s="140">
        <f t="shared" ref="DD54" si="207">IF(AND(DC$35&gt;$E51,DD$35&lt;$E53,MONTH(DC$35)=MONTH($E51)),$E54,0)</f>
        <v>0</v>
      </c>
      <c r="DE54" s="140">
        <f t="shared" ref="DE54" si="208">IF(AND(DD$35&gt;$E51,DE$35&lt;$E53,MONTH(DD$35)=MONTH($E51)),$E54,0)</f>
        <v>0</v>
      </c>
      <c r="DF54" s="140">
        <f t="shared" ref="DF54" si="209">IF(AND(DE$35&gt;$E51,DF$35&lt;$E53,MONTH(DE$35)=MONTH($E51)),$E54,0)</f>
        <v>0</v>
      </c>
      <c r="DG54" s="140">
        <f t="shared" ref="DG54" si="210">IF(AND(DF$35&gt;$E51,DG$35&lt;$E53,MONTH(DF$35)=MONTH($E51)),$E54,0)</f>
        <v>0</v>
      </c>
      <c r="DH54" s="140">
        <f t="shared" ref="DH54" si="211">IF(AND(DG$35&gt;$E51,DH$35&lt;$E53,MONTH(DG$35)=MONTH($E51)),$E54,0)</f>
        <v>0</v>
      </c>
      <c r="DI54" s="140">
        <f t="shared" ref="DI54" si="212">IF(AND(DH$35&gt;$E51,DI$35&lt;$E53,MONTH(DH$35)=MONTH($E51)),$E54,0)</f>
        <v>0</v>
      </c>
    </row>
    <row r="55" spans="2:113" customFormat="1" outlineLevel="1" x14ac:dyDescent="0.25">
      <c r="B55" s="1"/>
      <c r="C55" s="54"/>
      <c r="D55" s="66"/>
      <c r="E55" s="1"/>
      <c r="F55" s="1"/>
      <c r="G55" s="1"/>
      <c r="H55" s="1"/>
      <c r="I55" s="1"/>
      <c r="J55" s="1"/>
      <c r="AP55" s="72"/>
      <c r="CL55" s="72"/>
      <c r="CM55" s="72"/>
      <c r="CN55" s="72"/>
      <c r="CO55" s="72"/>
      <c r="CP55" s="72"/>
      <c r="CR55" s="72"/>
    </row>
    <row r="56" spans="2:113" customFormat="1" outlineLevel="1" x14ac:dyDescent="0.25">
      <c r="B56" s="1"/>
      <c r="C56" s="93" t="s">
        <v>260</v>
      </c>
      <c r="D56" s="46" t="s">
        <v>34</v>
      </c>
      <c r="E56" s="225">
        <f>EOMONTH(E47,Down_Months)</f>
        <v>44957</v>
      </c>
      <c r="F56" s="1"/>
      <c r="G56" s="1"/>
      <c r="H56" s="1"/>
      <c r="I56" s="1"/>
      <c r="J56" s="1"/>
      <c r="AP56" s="72"/>
      <c r="CL56" s="72"/>
      <c r="CM56" s="72"/>
      <c r="CN56" s="72"/>
      <c r="CO56" s="72"/>
      <c r="CP56" s="72"/>
      <c r="CR56" s="72"/>
    </row>
    <row r="57" spans="2:113" customFormat="1" outlineLevel="1" x14ac:dyDescent="0.25">
      <c r="B57" s="1"/>
      <c r="C57" s="93" t="s">
        <v>261</v>
      </c>
      <c r="D57" s="46" t="s">
        <v>42</v>
      </c>
      <c r="E57" s="226">
        <f>New_Lease_Years</f>
        <v>5</v>
      </c>
      <c r="F57" s="1"/>
      <c r="G57" s="1"/>
      <c r="H57" s="1"/>
      <c r="I57" s="1"/>
      <c r="J57" s="1"/>
      <c r="AP57" s="72"/>
      <c r="CL57" s="72"/>
      <c r="CM57" s="72"/>
      <c r="CN57" s="72"/>
      <c r="CO57" s="72"/>
      <c r="CP57" s="72"/>
      <c r="CR57" s="72"/>
    </row>
    <row r="58" spans="2:113" customFormat="1" outlineLevel="1" x14ac:dyDescent="0.25">
      <c r="B58" s="1"/>
      <c r="C58" s="60" t="s">
        <v>262</v>
      </c>
      <c r="D58" s="46" t="s">
        <v>34</v>
      </c>
      <c r="E58" s="225">
        <f>EOMONTH(E56,E57*Months)</f>
        <v>46783</v>
      </c>
      <c r="F58" s="1"/>
      <c r="G58" s="1"/>
      <c r="H58" s="1"/>
      <c r="I58" s="1"/>
      <c r="J58" s="1"/>
      <c r="AP58" s="72"/>
      <c r="CL58" s="72"/>
      <c r="CM58" s="72"/>
      <c r="CN58" s="72"/>
      <c r="CO58" s="72"/>
      <c r="CP58" s="72"/>
      <c r="CR58" s="72"/>
    </row>
    <row r="59" spans="2:113" customFormat="1" outlineLevel="1" x14ac:dyDescent="0.25">
      <c r="B59" s="1"/>
      <c r="C59" s="93" t="s">
        <v>263</v>
      </c>
      <c r="D59" s="48" t="s">
        <v>39</v>
      </c>
      <c r="E59" s="140">
        <f>INDEX(Annual!$F$69:$N$90,22,INDEX($F$5:$DI$9,5,MATCH(E56,$F$5:$DI$5,0)))</f>
        <v>2.5000000000000001E-2</v>
      </c>
      <c r="F59" s="140">
        <f>IF(AND(E$35&gt;$E56,F$35&lt;$E58,MONTH(E$35)=MONTH($E56)),$E59,0)</f>
        <v>0</v>
      </c>
      <c r="G59" s="140">
        <f t="shared" ref="G59" si="213">IF(AND(F$35&gt;$E56,G$35&lt;$E58,MONTH(F$35)=MONTH($E56)),$E59,0)</f>
        <v>0</v>
      </c>
      <c r="H59" s="140">
        <f t="shared" ref="H59" si="214">IF(AND(G$35&gt;$E56,H$35&lt;$E58,MONTH(G$35)=MONTH($E56)),$E59,0)</f>
        <v>0</v>
      </c>
      <c r="I59" s="140">
        <f t="shared" ref="I59" si="215">IF(AND(H$35&gt;$E56,I$35&lt;$E58,MONTH(H$35)=MONTH($E56)),$E59,0)</f>
        <v>0</v>
      </c>
      <c r="J59" s="140">
        <f t="shared" ref="J59" si="216">IF(AND(I$35&gt;$E56,J$35&lt;$E58,MONTH(I$35)=MONTH($E56)),$E59,0)</f>
        <v>0</v>
      </c>
      <c r="K59" s="140">
        <f t="shared" ref="K59" si="217">IF(AND(J$35&gt;$E56,K$35&lt;$E58,MONTH(J$35)=MONTH($E56)),$E59,0)</f>
        <v>0</v>
      </c>
      <c r="L59" s="140">
        <f t="shared" ref="L59" si="218">IF(AND(K$35&gt;$E56,L$35&lt;$E58,MONTH(K$35)=MONTH($E56)),$E59,0)</f>
        <v>0</v>
      </c>
      <c r="M59" s="140">
        <f t="shared" ref="M59" si="219">IF(AND(L$35&gt;$E56,M$35&lt;$E58,MONTH(L$35)=MONTH($E56)),$E59,0)</f>
        <v>0</v>
      </c>
      <c r="N59" s="140">
        <f t="shared" ref="N59" si="220">IF(AND(M$35&gt;$E56,N$35&lt;$E58,MONTH(M$35)=MONTH($E56)),$E59,0)</f>
        <v>0</v>
      </c>
      <c r="O59" s="140">
        <f t="shared" ref="O59" si="221">IF(AND(N$35&gt;$E56,O$35&lt;$E58,MONTH(N$35)=MONTH($E56)),$E59,0)</f>
        <v>0</v>
      </c>
      <c r="P59" s="140">
        <f t="shared" ref="P59" si="222">IF(AND(O$35&gt;$E56,P$35&lt;$E58,MONTH(O$35)=MONTH($E56)),$E59,0)</f>
        <v>0</v>
      </c>
      <c r="Q59" s="140">
        <f t="shared" ref="Q59" si="223">IF(AND(P$35&gt;$E56,Q$35&lt;$E58,MONTH(P$35)=MONTH($E56)),$E59,0)</f>
        <v>0</v>
      </c>
      <c r="R59" s="140">
        <f t="shared" ref="R59" si="224">IF(AND(Q$35&gt;$E56,R$35&lt;$E58,MONTH(Q$35)=MONTH($E56)),$E59,0)</f>
        <v>0</v>
      </c>
      <c r="S59" s="140">
        <f t="shared" ref="S59" si="225">IF(AND(R$35&gt;$E56,S$35&lt;$E58,MONTH(R$35)=MONTH($E56)),$E59,0)</f>
        <v>0</v>
      </c>
      <c r="T59" s="140">
        <f t="shared" ref="T59" si="226">IF(AND(S$35&gt;$E56,T$35&lt;$E58,MONTH(S$35)=MONTH($E56)),$E59,0)</f>
        <v>0</v>
      </c>
      <c r="U59" s="140">
        <f t="shared" ref="U59" si="227">IF(AND(T$35&gt;$E56,U$35&lt;$E58,MONTH(T$35)=MONTH($E56)),$E59,0)</f>
        <v>0</v>
      </c>
      <c r="V59" s="140">
        <f t="shared" ref="V59" si="228">IF(AND(U$35&gt;$E56,V$35&lt;$E58,MONTH(U$35)=MONTH($E56)),$E59,0)</f>
        <v>0</v>
      </c>
      <c r="W59" s="140">
        <f t="shared" ref="W59" si="229">IF(AND(V$35&gt;$E56,W$35&lt;$E58,MONTH(V$35)=MONTH($E56)),$E59,0)</f>
        <v>0</v>
      </c>
      <c r="X59" s="140">
        <f t="shared" ref="X59" si="230">IF(AND(W$35&gt;$E56,X$35&lt;$E58,MONTH(W$35)=MONTH($E56)),$E59,0)</f>
        <v>0</v>
      </c>
      <c r="Y59" s="140">
        <f t="shared" ref="Y59" si="231">IF(AND(X$35&gt;$E56,Y$35&lt;$E58,MONTH(X$35)=MONTH($E56)),$E59,0)</f>
        <v>0</v>
      </c>
      <c r="Z59" s="140">
        <f t="shared" ref="Z59" si="232">IF(AND(Y$35&gt;$E56,Z$35&lt;$E58,MONTH(Y$35)=MONTH($E56)),$E59,0)</f>
        <v>0</v>
      </c>
      <c r="AA59" s="140">
        <f t="shared" ref="AA59" si="233">IF(AND(Z$35&gt;$E56,AA$35&lt;$E58,MONTH(Z$35)=MONTH($E56)),$E59,0)</f>
        <v>0</v>
      </c>
      <c r="AB59" s="140">
        <f t="shared" ref="AB59" si="234">IF(AND(AA$35&gt;$E56,AB$35&lt;$E58,MONTH(AA$35)=MONTH($E56)),$E59,0)</f>
        <v>0</v>
      </c>
      <c r="AC59" s="140">
        <f t="shared" ref="AC59" si="235">IF(AND(AB$35&gt;$E56,AC$35&lt;$E58,MONTH(AB$35)=MONTH($E56)),$E59,0)</f>
        <v>0</v>
      </c>
      <c r="AD59" s="140">
        <f t="shared" ref="AD59" si="236">IF(AND(AC$35&gt;$E56,AD$35&lt;$E58,MONTH(AC$35)=MONTH($E56)),$E59,0)</f>
        <v>0</v>
      </c>
      <c r="AE59" s="140">
        <f t="shared" ref="AE59" si="237">IF(AND(AD$35&gt;$E56,AE$35&lt;$E58,MONTH(AD$35)=MONTH($E56)),$E59,0)</f>
        <v>0</v>
      </c>
      <c r="AF59" s="140">
        <f t="shared" ref="AF59" si="238">IF(AND(AE$35&gt;$E56,AF$35&lt;$E58,MONTH(AE$35)=MONTH($E56)),$E59,0)</f>
        <v>0</v>
      </c>
      <c r="AG59" s="140">
        <f t="shared" ref="AG59" si="239">IF(AND(AF$35&gt;$E56,AG$35&lt;$E58,MONTH(AF$35)=MONTH($E56)),$E59,0)</f>
        <v>0</v>
      </c>
      <c r="AH59" s="140">
        <f t="shared" ref="AH59" si="240">IF(AND(AG$35&gt;$E56,AH$35&lt;$E58,MONTH(AG$35)=MONTH($E56)),$E59,0)</f>
        <v>0</v>
      </c>
      <c r="AI59" s="140">
        <f t="shared" ref="AI59" si="241">IF(AND(AH$35&gt;$E56,AI$35&lt;$E58,MONTH(AH$35)=MONTH($E56)),$E59,0)</f>
        <v>0</v>
      </c>
      <c r="AJ59" s="140">
        <f t="shared" ref="AJ59" si="242">IF(AND(AI$35&gt;$E56,AJ$35&lt;$E58,MONTH(AI$35)=MONTH($E56)),$E59,0)</f>
        <v>0</v>
      </c>
      <c r="AK59" s="140">
        <f t="shared" ref="AK59" si="243">IF(AND(AJ$35&gt;$E56,AK$35&lt;$E58,MONTH(AJ$35)=MONTH($E56)),$E59,0)</f>
        <v>0</v>
      </c>
      <c r="AL59" s="140">
        <f t="shared" ref="AL59" si="244">IF(AND(AK$35&gt;$E56,AL$35&lt;$E58,MONTH(AK$35)=MONTH($E56)),$E59,0)</f>
        <v>0</v>
      </c>
      <c r="AM59" s="140">
        <f t="shared" ref="AM59" si="245">IF(AND(AL$35&gt;$E56,AM$35&lt;$E58,MONTH(AL$35)=MONTH($E56)),$E59,0)</f>
        <v>0</v>
      </c>
      <c r="AN59" s="140">
        <f t="shared" ref="AN59" si="246">IF(AND(AM$35&gt;$E56,AN$35&lt;$E58,MONTH(AM$35)=MONTH($E56)),$E59,0)</f>
        <v>0</v>
      </c>
      <c r="AO59" s="140">
        <f t="shared" ref="AO59" si="247">IF(AND(AN$35&gt;$E56,AO$35&lt;$E58,MONTH(AN$35)=MONTH($E56)),$E59,0)</f>
        <v>0</v>
      </c>
      <c r="AP59" s="140">
        <f t="shared" ref="AP59" si="248">IF(AND(AO$35&gt;$E56,AP$35&lt;$E58,MONTH(AO$35)=MONTH($E56)),$E59,0)</f>
        <v>0</v>
      </c>
      <c r="AQ59" s="140">
        <f t="shared" ref="AQ59" si="249">IF(AND(AP$35&gt;$E56,AQ$35&lt;$E58,MONTH(AP$35)=MONTH($E56)),$E59,0)</f>
        <v>0</v>
      </c>
      <c r="AR59" s="140">
        <f t="shared" ref="AR59" si="250">IF(AND(AQ$35&gt;$E56,AR$35&lt;$E58,MONTH(AQ$35)=MONTH($E56)),$E59,0)</f>
        <v>0</v>
      </c>
      <c r="AS59" s="140">
        <f t="shared" ref="AS59" si="251">IF(AND(AR$35&gt;$E56,AS$35&lt;$E58,MONTH(AR$35)=MONTH($E56)),$E59,0)</f>
        <v>0</v>
      </c>
      <c r="AT59" s="140">
        <f t="shared" ref="AT59" si="252">IF(AND(AS$35&gt;$E56,AT$35&lt;$E58,MONTH(AS$35)=MONTH($E56)),$E59,0)</f>
        <v>0</v>
      </c>
      <c r="AU59" s="140">
        <f t="shared" ref="AU59" si="253">IF(AND(AT$35&gt;$E56,AU$35&lt;$E58,MONTH(AT$35)=MONTH($E56)),$E59,0)</f>
        <v>0</v>
      </c>
      <c r="AV59" s="140">
        <f t="shared" ref="AV59" si="254">IF(AND(AU$35&gt;$E56,AV$35&lt;$E58,MONTH(AU$35)=MONTH($E56)),$E59,0)</f>
        <v>0</v>
      </c>
      <c r="AW59" s="140">
        <f t="shared" ref="AW59" si="255">IF(AND(AV$35&gt;$E56,AW$35&lt;$E58,MONTH(AV$35)=MONTH($E56)),$E59,0)</f>
        <v>0</v>
      </c>
      <c r="AX59" s="140">
        <f t="shared" ref="AX59" si="256">IF(AND(AW$35&gt;$E56,AX$35&lt;$E58,MONTH(AW$35)=MONTH($E56)),$E59,0)</f>
        <v>0</v>
      </c>
      <c r="AY59" s="140">
        <f t="shared" ref="AY59" si="257">IF(AND(AX$35&gt;$E56,AY$35&lt;$E58,MONTH(AX$35)=MONTH($E56)),$E59,0)</f>
        <v>0</v>
      </c>
      <c r="AZ59" s="140">
        <f t="shared" ref="AZ59" si="258">IF(AND(AY$35&gt;$E56,AZ$35&lt;$E58,MONTH(AY$35)=MONTH($E56)),$E59,0)</f>
        <v>0</v>
      </c>
      <c r="BA59" s="140">
        <f t="shared" ref="BA59" si="259">IF(AND(AZ$35&gt;$E56,BA$35&lt;$E58,MONTH(AZ$35)=MONTH($E56)),$E59,0)</f>
        <v>0</v>
      </c>
      <c r="BB59" s="140">
        <f t="shared" ref="BB59" si="260">IF(AND(BA$35&gt;$E56,BB$35&lt;$E58,MONTH(BA$35)=MONTH($E56)),$E59,0)</f>
        <v>0</v>
      </c>
      <c r="BC59" s="140">
        <f t="shared" ref="BC59" si="261">IF(AND(BB$35&gt;$E56,BC$35&lt;$E58,MONTH(BB$35)=MONTH($E56)),$E59,0)</f>
        <v>0</v>
      </c>
      <c r="BD59" s="140">
        <f t="shared" ref="BD59" si="262">IF(AND(BC$35&gt;$E56,BD$35&lt;$E58,MONTH(BC$35)=MONTH($E56)),$E59,0)</f>
        <v>0</v>
      </c>
      <c r="BE59" s="140">
        <f t="shared" ref="BE59" si="263">IF(AND(BD$35&gt;$E56,BE$35&lt;$E58,MONTH(BD$35)=MONTH($E56)),$E59,0)</f>
        <v>0</v>
      </c>
      <c r="BF59" s="140">
        <f t="shared" ref="BF59" si="264">IF(AND(BE$35&gt;$E56,BF$35&lt;$E58,MONTH(BE$35)=MONTH($E56)),$E59,0)</f>
        <v>0</v>
      </c>
      <c r="BG59" s="140">
        <f t="shared" ref="BG59" si="265">IF(AND(BF$35&gt;$E56,BG$35&lt;$E58,MONTH(BF$35)=MONTH($E56)),$E59,0)</f>
        <v>0</v>
      </c>
      <c r="BH59" s="140">
        <f t="shared" ref="BH59" si="266">IF(AND(BG$35&gt;$E56,BH$35&lt;$E58,MONTH(BG$35)=MONTH($E56)),$E59,0)</f>
        <v>0</v>
      </c>
      <c r="BI59" s="140">
        <f t="shared" ref="BI59" si="267">IF(AND(BH$35&gt;$E56,BI$35&lt;$E58,MONTH(BH$35)=MONTH($E56)),$E59,0)</f>
        <v>0</v>
      </c>
      <c r="BJ59" s="140">
        <f t="shared" ref="BJ59" si="268">IF(AND(BI$35&gt;$E56,BJ$35&lt;$E58,MONTH(BI$35)=MONTH($E56)),$E59,0)</f>
        <v>0</v>
      </c>
      <c r="BK59" s="140">
        <f t="shared" ref="BK59" si="269">IF(AND(BJ$35&gt;$E56,BK$35&lt;$E58,MONTH(BJ$35)=MONTH($E56)),$E59,0)</f>
        <v>0</v>
      </c>
      <c r="BL59" s="140">
        <f t="shared" ref="BL59" si="270">IF(AND(BK$35&gt;$E56,BL$35&lt;$E58,MONTH(BK$35)=MONTH($E56)),$E59,0)</f>
        <v>0</v>
      </c>
      <c r="BM59" s="140">
        <f t="shared" ref="BM59" si="271">IF(AND(BL$35&gt;$E56,BM$35&lt;$E58,MONTH(BL$35)=MONTH($E56)),$E59,0)</f>
        <v>0</v>
      </c>
      <c r="BN59" s="140">
        <f t="shared" ref="BN59" si="272">IF(AND(BM$35&gt;$E56,BN$35&lt;$E58,MONTH(BM$35)=MONTH($E56)),$E59,0)</f>
        <v>0</v>
      </c>
      <c r="BO59" s="140">
        <f t="shared" ref="BO59" si="273">IF(AND(BN$35&gt;$E56,BO$35&lt;$E58,MONTH(BN$35)=MONTH($E56)),$E59,0)</f>
        <v>0</v>
      </c>
      <c r="BP59" s="140">
        <f t="shared" ref="BP59" si="274">IF(AND(BO$35&gt;$E56,BP$35&lt;$E58,MONTH(BO$35)=MONTH($E56)),$E59,0)</f>
        <v>0</v>
      </c>
      <c r="BQ59" s="140">
        <f t="shared" ref="BQ59" si="275">IF(AND(BP$35&gt;$E56,BQ$35&lt;$E58,MONTH(BP$35)=MONTH($E56)),$E59,0)</f>
        <v>0</v>
      </c>
      <c r="BR59" s="140">
        <f t="shared" ref="BR59" si="276">IF(AND(BQ$35&gt;$E56,BR$35&lt;$E58,MONTH(BQ$35)=MONTH($E56)),$E59,0)</f>
        <v>0</v>
      </c>
      <c r="BS59" s="140">
        <f t="shared" ref="BS59" si="277">IF(AND(BR$35&gt;$E56,BS$35&lt;$E58,MONTH(BR$35)=MONTH($E56)),$E59,0)</f>
        <v>0</v>
      </c>
      <c r="BT59" s="140">
        <f t="shared" ref="BT59" si="278">IF(AND(BS$35&gt;$E56,BT$35&lt;$E58,MONTH(BS$35)=MONTH($E56)),$E59,0)</f>
        <v>0</v>
      </c>
      <c r="BU59" s="140">
        <f t="shared" ref="BU59" si="279">IF(AND(BT$35&gt;$E56,BU$35&lt;$E58,MONTH(BT$35)=MONTH($E56)),$E59,0)</f>
        <v>0</v>
      </c>
      <c r="BV59" s="140">
        <f t="shared" ref="BV59" si="280">IF(AND(BU$35&gt;$E56,BV$35&lt;$E58,MONTH(BU$35)=MONTH($E56)),$E59,0)</f>
        <v>0</v>
      </c>
      <c r="BW59" s="140">
        <f t="shared" ref="BW59" si="281">IF(AND(BV$35&gt;$E56,BW$35&lt;$E58,MONTH(BV$35)=MONTH($E56)),$E59,0)</f>
        <v>0</v>
      </c>
      <c r="BX59" s="140">
        <f t="shared" ref="BX59" si="282">IF(AND(BW$35&gt;$E56,BX$35&lt;$E58,MONTH(BW$35)=MONTH($E56)),$E59,0)</f>
        <v>0</v>
      </c>
      <c r="BY59" s="140">
        <f t="shared" ref="BY59" si="283">IF(AND(BX$35&gt;$E56,BY$35&lt;$E58,MONTH(BX$35)=MONTH($E56)),$E59,0)</f>
        <v>0</v>
      </c>
      <c r="BZ59" s="140">
        <f t="shared" ref="BZ59" si="284">IF(AND(BY$35&gt;$E56,BZ$35&lt;$E58,MONTH(BY$35)=MONTH($E56)),$E59,0)</f>
        <v>0</v>
      </c>
      <c r="CA59" s="140">
        <f t="shared" ref="CA59" si="285">IF(AND(BZ$35&gt;$E56,CA$35&lt;$E58,MONTH(BZ$35)=MONTH($E56)),$E59,0)</f>
        <v>0</v>
      </c>
      <c r="CB59" s="140">
        <f t="shared" ref="CB59" si="286">IF(AND(CA$35&gt;$E56,CB$35&lt;$E58,MONTH(CA$35)=MONTH($E56)),$E59,0)</f>
        <v>0</v>
      </c>
      <c r="CC59" s="140">
        <f t="shared" ref="CC59" si="287">IF(AND(CB$35&gt;$E56,CC$35&lt;$E58,MONTH(CB$35)=MONTH($E56)),$E59,0)</f>
        <v>0</v>
      </c>
      <c r="CD59" s="140">
        <f t="shared" ref="CD59" si="288">IF(AND(CC$35&gt;$E56,CD$35&lt;$E58,MONTH(CC$35)=MONTH($E56)),$E59,0)</f>
        <v>0</v>
      </c>
      <c r="CE59" s="140">
        <f t="shared" ref="CE59" si="289">IF(AND(CD$35&gt;$E56,CE$35&lt;$E58,MONTH(CD$35)=MONTH($E56)),$E59,0)</f>
        <v>0</v>
      </c>
      <c r="CF59" s="140">
        <f t="shared" ref="CF59" si="290">IF(AND(CE$35&gt;$E56,CF$35&lt;$E58,MONTH(CE$35)=MONTH($E56)),$E59,0)</f>
        <v>0</v>
      </c>
      <c r="CG59" s="140">
        <f t="shared" ref="CG59" si="291">IF(AND(CF$35&gt;$E56,CG$35&lt;$E58,MONTH(CF$35)=MONTH($E56)),$E59,0)</f>
        <v>0</v>
      </c>
      <c r="CH59" s="140">
        <f t="shared" ref="CH59" si="292">IF(AND(CG$35&gt;$E56,CH$35&lt;$E58,MONTH(CG$35)=MONTH($E56)),$E59,0)</f>
        <v>0</v>
      </c>
      <c r="CI59" s="140">
        <f t="shared" ref="CI59" si="293">IF(AND(CH$35&gt;$E56,CI$35&lt;$E58,MONTH(CH$35)=MONTH($E56)),$E59,0)</f>
        <v>0</v>
      </c>
      <c r="CJ59" s="140">
        <f t="shared" ref="CJ59" si="294">IF(AND(CI$35&gt;$E56,CJ$35&lt;$E58,MONTH(CI$35)=MONTH($E56)),$E59,0)</f>
        <v>0</v>
      </c>
      <c r="CK59" s="140">
        <f t="shared" ref="CK59" si="295">IF(AND(CJ$35&gt;$E56,CK$35&lt;$E58,MONTH(CJ$35)=MONTH($E56)),$E59,0)</f>
        <v>0</v>
      </c>
      <c r="CL59" s="140">
        <f t="shared" ref="CL59" si="296">IF(AND(CK$35&gt;$E56,CL$35&lt;$E58,MONTH(CK$35)=MONTH($E56)),$E59,0)</f>
        <v>0</v>
      </c>
      <c r="CM59" s="140">
        <f t="shared" ref="CM59" si="297">IF(AND(CL$35&gt;$E56,CM$35&lt;$E58,MONTH(CL$35)=MONTH($E56)),$E59,0)</f>
        <v>0</v>
      </c>
      <c r="CN59" s="140">
        <f t="shared" ref="CN59" si="298">IF(AND(CM$35&gt;$E56,CN$35&lt;$E58,MONTH(CM$35)=MONTH($E56)),$E59,0)</f>
        <v>0</v>
      </c>
      <c r="CO59" s="140">
        <f t="shared" ref="CO59" si="299">IF(AND(CN$35&gt;$E56,CO$35&lt;$E58,MONTH(CN$35)=MONTH($E56)),$E59,0)</f>
        <v>0</v>
      </c>
      <c r="CP59" s="140">
        <f t="shared" ref="CP59" si="300">IF(AND(CO$35&gt;$E56,CP$35&lt;$E58,MONTH(CO$35)=MONTH($E56)),$E59,0)</f>
        <v>0</v>
      </c>
      <c r="CQ59" s="140">
        <f t="shared" ref="CQ59" si="301">IF(AND(CP$35&gt;$E56,CQ$35&lt;$E58,MONTH(CP$35)=MONTH($E56)),$E59,0)</f>
        <v>0</v>
      </c>
      <c r="CR59" s="140">
        <f t="shared" ref="CR59" si="302">IF(AND(CQ$35&gt;$E56,CR$35&lt;$E58,MONTH(CQ$35)=MONTH($E56)),$E59,0)</f>
        <v>0</v>
      </c>
      <c r="CS59" s="140">
        <f t="shared" ref="CS59" si="303">IF(AND(CR$35&gt;$E56,CS$35&lt;$E58,MONTH(CR$35)=MONTH($E56)),$E59,0)</f>
        <v>0</v>
      </c>
      <c r="CT59" s="140">
        <f t="shared" ref="CT59" si="304">IF(AND(CS$35&gt;$E56,CT$35&lt;$E58,MONTH(CS$35)=MONTH($E56)),$E59,0)</f>
        <v>0</v>
      </c>
      <c r="CU59" s="140">
        <f t="shared" ref="CU59" si="305">IF(AND(CT$35&gt;$E56,CU$35&lt;$E58,MONTH(CT$35)=MONTH($E56)),$E59,0)</f>
        <v>0</v>
      </c>
      <c r="CV59" s="140">
        <f t="shared" ref="CV59" si="306">IF(AND(CU$35&gt;$E56,CV$35&lt;$E58,MONTH(CU$35)=MONTH($E56)),$E59,0)</f>
        <v>0</v>
      </c>
      <c r="CW59" s="140">
        <f t="shared" ref="CW59" si="307">IF(AND(CV$35&gt;$E56,CW$35&lt;$E58,MONTH(CV$35)=MONTH($E56)),$E59,0)</f>
        <v>0</v>
      </c>
      <c r="CX59" s="140">
        <f t="shared" ref="CX59" si="308">IF(AND(CW$35&gt;$E56,CX$35&lt;$E58,MONTH(CW$35)=MONTH($E56)),$E59,0)</f>
        <v>0</v>
      </c>
      <c r="CY59" s="140">
        <f t="shared" ref="CY59" si="309">IF(AND(CX$35&gt;$E56,CY$35&lt;$E58,MONTH(CX$35)=MONTH($E56)),$E59,0)</f>
        <v>0</v>
      </c>
      <c r="CZ59" s="140">
        <f t="shared" ref="CZ59" si="310">IF(AND(CY$35&gt;$E56,CZ$35&lt;$E58,MONTH(CY$35)=MONTH($E56)),$E59,0)</f>
        <v>0</v>
      </c>
      <c r="DA59" s="140">
        <f t="shared" ref="DA59" si="311">IF(AND(CZ$35&gt;$E56,DA$35&lt;$E58,MONTH(CZ$35)=MONTH($E56)),$E59,0)</f>
        <v>0</v>
      </c>
      <c r="DB59" s="140">
        <f t="shared" ref="DB59" si="312">IF(AND(DA$35&gt;$E56,DB$35&lt;$E58,MONTH(DA$35)=MONTH($E56)),$E59,0)</f>
        <v>0</v>
      </c>
      <c r="DC59" s="140">
        <f t="shared" ref="DC59" si="313">IF(AND(DB$35&gt;$E56,DC$35&lt;$E58,MONTH(DB$35)=MONTH($E56)),$E59,0)</f>
        <v>0</v>
      </c>
      <c r="DD59" s="140">
        <f t="shared" ref="DD59" si="314">IF(AND(DC$35&gt;$E56,DD$35&lt;$E58,MONTH(DC$35)=MONTH($E56)),$E59,0)</f>
        <v>0</v>
      </c>
      <c r="DE59" s="140">
        <f t="shared" ref="DE59" si="315">IF(AND(DD$35&gt;$E56,DE$35&lt;$E58,MONTH(DD$35)=MONTH($E56)),$E59,0)</f>
        <v>0</v>
      </c>
      <c r="DF59" s="140">
        <f t="shared" ref="DF59" si="316">IF(AND(DE$35&gt;$E56,DF$35&lt;$E58,MONTH(DE$35)=MONTH($E56)),$E59,0)</f>
        <v>0</v>
      </c>
      <c r="DG59" s="140">
        <f t="shared" ref="DG59" si="317">IF(AND(DF$35&gt;$E56,DG$35&lt;$E58,MONTH(DF$35)=MONTH($E56)),$E59,0)</f>
        <v>2.5000000000000001E-2</v>
      </c>
      <c r="DH59" s="140">
        <f t="shared" ref="DH59" si="318">IF(AND(DG$35&gt;$E56,DH$35&lt;$E58,MONTH(DG$35)=MONTH($E56)),$E59,0)</f>
        <v>0</v>
      </c>
      <c r="DI59" s="140">
        <f t="shared" ref="DI59" si="319">IF(AND(DH$35&gt;$E56,DI$35&lt;$E58,MONTH(DH$35)=MONTH($E56)),$E59,0)</f>
        <v>0</v>
      </c>
    </row>
    <row r="60" spans="2:113" customFormat="1" outlineLevel="1" x14ac:dyDescent="0.25">
      <c r="B60" s="1"/>
      <c r="C60" s="54"/>
      <c r="D60" s="66"/>
      <c r="E60" s="233"/>
      <c r="F60" s="1"/>
      <c r="G60" s="1"/>
      <c r="H60" s="1"/>
      <c r="I60" s="1"/>
      <c r="J60" s="1"/>
      <c r="AP60" s="137"/>
      <c r="CL60" s="72"/>
      <c r="CM60" s="72"/>
      <c r="CN60" s="72"/>
      <c r="CO60" s="72"/>
      <c r="CP60" s="72"/>
      <c r="CR60" s="72"/>
    </row>
    <row r="61" spans="2:113" customFormat="1" outlineLevel="1" x14ac:dyDescent="0.25">
      <c r="B61" s="1"/>
      <c r="C61" s="60" t="s">
        <v>264</v>
      </c>
      <c r="D61" s="46" t="s">
        <v>125</v>
      </c>
      <c r="E61" s="136">
        <v>850</v>
      </c>
      <c r="F61" s="137">
        <f>+E61*(1+F$37)</f>
        <v>856.77801936456819</v>
      </c>
      <c r="G61" s="137">
        <f t="shared" ref="G61:BR61" si="320">+F61*(1+G$37)</f>
        <v>863.61008760737934</v>
      </c>
      <c r="H61" s="137">
        <f t="shared" si="320"/>
        <v>870.49663572177849</v>
      </c>
      <c r="I61" s="137">
        <f t="shared" si="320"/>
        <v>877.43809813791222</v>
      </c>
      <c r="J61" s="137">
        <f t="shared" si="320"/>
        <v>884.43491275013423</v>
      </c>
      <c r="K61" s="137">
        <f t="shared" si="320"/>
        <v>891.48752094462907</v>
      </c>
      <c r="L61" s="137">
        <f t="shared" si="320"/>
        <v>898.59636762725688</v>
      </c>
      <c r="M61" s="137">
        <f t="shared" si="320"/>
        <v>905.76190125161941</v>
      </c>
      <c r="N61" s="137">
        <f t="shared" si="320"/>
        <v>912.9845738473507</v>
      </c>
      <c r="O61" s="137">
        <f t="shared" si="320"/>
        <v>920.26484104863232</v>
      </c>
      <c r="P61" s="137">
        <f t="shared" si="320"/>
        <v>927.60316212293696</v>
      </c>
      <c r="Q61" s="137">
        <f t="shared" si="320"/>
        <v>935.00000000000045</v>
      </c>
      <c r="R61" s="137">
        <f t="shared" si="320"/>
        <v>935.00000000000045</v>
      </c>
      <c r="S61" s="137">
        <f t="shared" si="320"/>
        <v>935.00000000000045</v>
      </c>
      <c r="T61" s="137">
        <f t="shared" si="320"/>
        <v>935.00000000000045</v>
      </c>
      <c r="U61" s="137">
        <f t="shared" si="320"/>
        <v>935.00000000000045</v>
      </c>
      <c r="V61" s="137">
        <f t="shared" si="320"/>
        <v>935.00000000000045</v>
      </c>
      <c r="W61" s="137">
        <f t="shared" si="320"/>
        <v>935.00000000000045</v>
      </c>
      <c r="X61" s="137">
        <f t="shared" si="320"/>
        <v>935.00000000000045</v>
      </c>
      <c r="Y61" s="137">
        <f t="shared" si="320"/>
        <v>935.00000000000045</v>
      </c>
      <c r="Z61" s="137">
        <f t="shared" si="320"/>
        <v>935.00000000000045</v>
      </c>
      <c r="AA61" s="137">
        <f t="shared" si="320"/>
        <v>935.00000000000045</v>
      </c>
      <c r="AB61" s="137">
        <f t="shared" si="320"/>
        <v>935.00000000000045</v>
      </c>
      <c r="AC61" s="137">
        <f t="shared" si="320"/>
        <v>935.00000000000045</v>
      </c>
      <c r="AD61" s="137">
        <f t="shared" si="320"/>
        <v>935.00000000000045</v>
      </c>
      <c r="AE61" s="137">
        <f t="shared" si="320"/>
        <v>935.00000000000045</v>
      </c>
      <c r="AF61" s="137">
        <f t="shared" si="320"/>
        <v>935.00000000000045</v>
      </c>
      <c r="AG61" s="137">
        <f t="shared" si="320"/>
        <v>935.00000000000045</v>
      </c>
      <c r="AH61" s="137">
        <f t="shared" si="320"/>
        <v>935.00000000000045</v>
      </c>
      <c r="AI61" s="137">
        <f t="shared" si="320"/>
        <v>935.00000000000045</v>
      </c>
      <c r="AJ61" s="137">
        <f t="shared" si="320"/>
        <v>935.00000000000045</v>
      </c>
      <c r="AK61" s="137">
        <f t="shared" si="320"/>
        <v>935.00000000000045</v>
      </c>
      <c r="AL61" s="137">
        <f t="shared" si="320"/>
        <v>935.00000000000045</v>
      </c>
      <c r="AM61" s="137">
        <f t="shared" si="320"/>
        <v>935.00000000000045</v>
      </c>
      <c r="AN61" s="137">
        <f t="shared" si="320"/>
        <v>935.00000000000045</v>
      </c>
      <c r="AO61" s="137">
        <f t="shared" si="320"/>
        <v>935.00000000000045</v>
      </c>
      <c r="AP61" s="137">
        <f t="shared" si="320"/>
        <v>937.6842903023371</v>
      </c>
      <c r="AQ61" s="137">
        <f t="shared" si="320"/>
        <v>940.37628693026443</v>
      </c>
      <c r="AR61" s="137">
        <f t="shared" si="320"/>
        <v>943.07601200786257</v>
      </c>
      <c r="AS61" s="137">
        <f t="shared" si="320"/>
        <v>945.78348772272784</v>
      </c>
      <c r="AT61" s="137">
        <f t="shared" si="320"/>
        <v>948.49873632615481</v>
      </c>
      <c r="AU61" s="137">
        <f t="shared" si="320"/>
        <v>951.22178013331938</v>
      </c>
      <c r="AV61" s="137">
        <f t="shared" si="320"/>
        <v>953.95264152346192</v>
      </c>
      <c r="AW61" s="137">
        <f t="shared" si="320"/>
        <v>956.69134294007142</v>
      </c>
      <c r="AX61" s="137">
        <f t="shared" si="320"/>
        <v>959.43790689106982</v>
      </c>
      <c r="AY61" s="137">
        <f t="shared" si="320"/>
        <v>962.19235594899692</v>
      </c>
      <c r="AZ61" s="137">
        <f t="shared" si="320"/>
        <v>964.95471275119621</v>
      </c>
      <c r="BA61" s="137">
        <f t="shared" si="320"/>
        <v>967.72500000000059</v>
      </c>
      <c r="BB61" s="137">
        <f t="shared" si="320"/>
        <v>970.50324046291905</v>
      </c>
      <c r="BC61" s="137">
        <f t="shared" si="320"/>
        <v>973.28945697282381</v>
      </c>
      <c r="BD61" s="137">
        <f t="shared" si="320"/>
        <v>976.0836724281379</v>
      </c>
      <c r="BE61" s="137">
        <f t="shared" si="320"/>
        <v>978.88590979302342</v>
      </c>
      <c r="BF61" s="137">
        <f t="shared" si="320"/>
        <v>981.69619209757036</v>
      </c>
      <c r="BG61" s="137">
        <f t="shared" si="320"/>
        <v>984.51454243798571</v>
      </c>
      <c r="BH61" s="137">
        <f t="shared" si="320"/>
        <v>987.34098397678326</v>
      </c>
      <c r="BI61" s="137">
        <f t="shared" si="320"/>
        <v>990.17553994297407</v>
      </c>
      <c r="BJ61" s="137">
        <f t="shared" si="320"/>
        <v>993.01823363225742</v>
      </c>
      <c r="BK61" s="137">
        <f t="shared" si="320"/>
        <v>995.86908840721196</v>
      </c>
      <c r="BL61" s="137">
        <f t="shared" si="320"/>
        <v>998.72812769748828</v>
      </c>
      <c r="BM61" s="137">
        <f t="shared" si="320"/>
        <v>1001.5953750000008</v>
      </c>
      <c r="BN61" s="137">
        <f t="shared" si="320"/>
        <v>1004.4708538791214</v>
      </c>
      <c r="BO61" s="137">
        <f t="shared" si="320"/>
        <v>1007.3545879668727</v>
      </c>
      <c r="BP61" s="137">
        <f t="shared" si="320"/>
        <v>1010.2466009631228</v>
      </c>
      <c r="BQ61" s="137">
        <f t="shared" si="320"/>
        <v>1013.1469166357793</v>
      </c>
      <c r="BR61" s="137">
        <f t="shared" si="320"/>
        <v>1016.0555588209854</v>
      </c>
      <c r="BS61" s="137">
        <f t="shared" ref="BS61:DI61" si="321">+BR61*(1+BS$37)</f>
        <v>1018.9725514233153</v>
      </c>
      <c r="BT61" s="137">
        <f t="shared" si="321"/>
        <v>1021.8979184159707</v>
      </c>
      <c r="BU61" s="137">
        <f t="shared" si="321"/>
        <v>1024.8316838409783</v>
      </c>
      <c r="BV61" s="137">
        <f t="shared" si="321"/>
        <v>1027.7738718093865</v>
      </c>
      <c r="BW61" s="137">
        <f t="shared" si="321"/>
        <v>1030.7245065014645</v>
      </c>
      <c r="BX61" s="137">
        <f t="shared" si="321"/>
        <v>1033.6836121669005</v>
      </c>
      <c r="BY61" s="137">
        <f t="shared" si="321"/>
        <v>1036.651213125001</v>
      </c>
      <c r="BZ61" s="137">
        <f t="shared" si="321"/>
        <v>1039.2078746763532</v>
      </c>
      <c r="CA61" s="137">
        <f t="shared" si="321"/>
        <v>1041.7708416448074</v>
      </c>
      <c r="CB61" s="137">
        <f t="shared" si="321"/>
        <v>1044.3401295812234</v>
      </c>
      <c r="CC61" s="137">
        <f t="shared" si="321"/>
        <v>1046.9157540748133</v>
      </c>
      <c r="CD61" s="137">
        <f t="shared" si="321"/>
        <v>1049.4977307532365</v>
      </c>
      <c r="CE61" s="137">
        <f t="shared" si="321"/>
        <v>1052.0860752826945</v>
      </c>
      <c r="CF61" s="137">
        <f t="shared" si="321"/>
        <v>1054.6808033680259</v>
      </c>
      <c r="CG61" s="137">
        <f t="shared" si="321"/>
        <v>1057.2819307528014</v>
      </c>
      <c r="CH61" s="137">
        <f t="shared" si="321"/>
        <v>1059.8894732194199</v>
      </c>
      <c r="CI61" s="137">
        <f t="shared" si="321"/>
        <v>1062.5034465892038</v>
      </c>
      <c r="CJ61" s="137">
        <f t="shared" si="321"/>
        <v>1065.1238667224952</v>
      </c>
      <c r="CK61" s="137">
        <f t="shared" si="321"/>
        <v>1067.7507495187522</v>
      </c>
      <c r="CL61" s="137">
        <f t="shared" si="321"/>
        <v>1070.3841109166449</v>
      </c>
      <c r="CM61" s="137">
        <f t="shared" si="321"/>
        <v>1073.0239668941529</v>
      </c>
      <c r="CN61" s="137">
        <f t="shared" si="321"/>
        <v>1075.6703334686613</v>
      </c>
      <c r="CO61" s="137">
        <f t="shared" si="321"/>
        <v>1078.3232266970588</v>
      </c>
      <c r="CP61" s="137">
        <f t="shared" si="321"/>
        <v>1080.9826626758347</v>
      </c>
      <c r="CQ61" s="137">
        <f t="shared" si="321"/>
        <v>1083.6486575411766</v>
      </c>
      <c r="CR61" s="137">
        <f t="shared" si="321"/>
        <v>1086.3212274690679</v>
      </c>
      <c r="CS61" s="137">
        <f t="shared" si="321"/>
        <v>1089.0003886753868</v>
      </c>
      <c r="CT61" s="137">
        <f t="shared" si="321"/>
        <v>1091.6861574160039</v>
      </c>
      <c r="CU61" s="137">
        <f t="shared" si="321"/>
        <v>1094.3785499868814</v>
      </c>
      <c r="CV61" s="137">
        <f t="shared" si="321"/>
        <v>1097.0775827241716</v>
      </c>
      <c r="CW61" s="137">
        <f t="shared" si="321"/>
        <v>1099.7832720043164</v>
      </c>
      <c r="CX61" s="137">
        <f t="shared" si="321"/>
        <v>1102.4956342441458</v>
      </c>
      <c r="CY61" s="137">
        <f t="shared" si="321"/>
        <v>1105.2146859009788</v>
      </c>
      <c r="CZ61" s="137">
        <f t="shared" si="321"/>
        <v>1107.9404434727226</v>
      </c>
      <c r="DA61" s="137">
        <f t="shared" si="321"/>
        <v>1110.6729234979721</v>
      </c>
      <c r="DB61" s="137">
        <f t="shared" si="321"/>
        <v>1113.4121425561113</v>
      </c>
      <c r="DC61" s="137">
        <f t="shared" si="321"/>
        <v>1116.1581172674134</v>
      </c>
      <c r="DD61" s="137">
        <f t="shared" si="321"/>
        <v>1118.9108642931415</v>
      </c>
      <c r="DE61" s="137">
        <f t="shared" si="321"/>
        <v>1121.6704003356499</v>
      </c>
      <c r="DF61" s="137">
        <f t="shared" si="321"/>
        <v>1124.4367421384854</v>
      </c>
      <c r="DG61" s="137">
        <f t="shared" si="321"/>
        <v>1127.2099064864892</v>
      </c>
      <c r="DH61" s="137">
        <f t="shared" si="321"/>
        <v>1129.989910205898</v>
      </c>
      <c r="DI61" s="137">
        <f t="shared" si="321"/>
        <v>1132.776770164447</v>
      </c>
    </row>
    <row r="62" spans="2:113" customFormat="1" outlineLevel="1" x14ac:dyDescent="0.25">
      <c r="B62" s="1"/>
      <c r="C62" s="60" t="s">
        <v>249</v>
      </c>
      <c r="D62" s="46" t="s">
        <v>125</v>
      </c>
      <c r="E62" s="1"/>
      <c r="F62" s="224">
        <f>IF(F$35=EOMONTH($E45,1),F61,IF(AND(F$35&gt;EOMONTH($E45,1),F$35&lt;=$E47),E62*(1+F48),0))</f>
        <v>0</v>
      </c>
      <c r="G62" s="224">
        <f t="shared" ref="G62:BR62" si="322">IF(G$35=EOMONTH($E45,1),G61,IF(AND(G$35&gt;EOMONTH($E45,1),G$35&lt;=$E47),F62*(1+G48),0))</f>
        <v>0</v>
      </c>
      <c r="H62" s="224">
        <f t="shared" si="322"/>
        <v>0</v>
      </c>
      <c r="I62" s="224">
        <f t="shared" si="322"/>
        <v>0</v>
      </c>
      <c r="J62" s="224">
        <f t="shared" si="322"/>
        <v>0</v>
      </c>
      <c r="K62" s="224">
        <f t="shared" si="322"/>
        <v>0</v>
      </c>
      <c r="L62" s="224">
        <f t="shared" si="322"/>
        <v>0</v>
      </c>
      <c r="M62" s="224">
        <f t="shared" si="322"/>
        <v>0</v>
      </c>
      <c r="N62" s="224">
        <f t="shared" si="322"/>
        <v>0</v>
      </c>
      <c r="O62" s="224">
        <f t="shared" si="322"/>
        <v>0</v>
      </c>
      <c r="P62" s="224">
        <f t="shared" si="322"/>
        <v>0</v>
      </c>
      <c r="Q62" s="224">
        <f t="shared" si="322"/>
        <v>0</v>
      </c>
      <c r="R62" s="224">
        <f t="shared" si="322"/>
        <v>0</v>
      </c>
      <c r="S62" s="224">
        <f t="shared" si="322"/>
        <v>0</v>
      </c>
      <c r="T62" s="224">
        <f t="shared" si="322"/>
        <v>0</v>
      </c>
      <c r="U62" s="224">
        <f t="shared" si="322"/>
        <v>0</v>
      </c>
      <c r="V62" s="224">
        <f t="shared" si="322"/>
        <v>0</v>
      </c>
      <c r="W62" s="224">
        <f t="shared" si="322"/>
        <v>0</v>
      </c>
      <c r="X62" s="224">
        <f t="shared" si="322"/>
        <v>0</v>
      </c>
      <c r="Y62" s="224">
        <f t="shared" si="322"/>
        <v>0</v>
      </c>
      <c r="Z62" s="224">
        <f t="shared" si="322"/>
        <v>0</v>
      </c>
      <c r="AA62" s="224">
        <f t="shared" si="322"/>
        <v>0</v>
      </c>
      <c r="AB62" s="224">
        <f t="shared" si="322"/>
        <v>0</v>
      </c>
      <c r="AC62" s="224">
        <f t="shared" si="322"/>
        <v>0</v>
      </c>
      <c r="AD62" s="224">
        <f t="shared" si="322"/>
        <v>0</v>
      </c>
      <c r="AE62" s="224">
        <f t="shared" si="322"/>
        <v>0</v>
      </c>
      <c r="AF62" s="224">
        <f t="shared" si="322"/>
        <v>0</v>
      </c>
      <c r="AG62" s="224">
        <f t="shared" si="322"/>
        <v>0</v>
      </c>
      <c r="AH62" s="224">
        <f t="shared" si="322"/>
        <v>0</v>
      </c>
      <c r="AI62" s="224">
        <f t="shared" si="322"/>
        <v>0</v>
      </c>
      <c r="AJ62" s="224">
        <f t="shared" si="322"/>
        <v>0</v>
      </c>
      <c r="AK62" s="224">
        <f t="shared" si="322"/>
        <v>0</v>
      </c>
      <c r="AL62" s="224">
        <f t="shared" si="322"/>
        <v>0</v>
      </c>
      <c r="AM62" s="224">
        <f t="shared" si="322"/>
        <v>0</v>
      </c>
      <c r="AN62" s="224">
        <f t="shared" si="322"/>
        <v>0</v>
      </c>
      <c r="AO62" s="224">
        <f t="shared" si="322"/>
        <v>0</v>
      </c>
      <c r="AP62" s="224">
        <f t="shared" si="322"/>
        <v>0</v>
      </c>
      <c r="AQ62" s="224">
        <f t="shared" si="322"/>
        <v>0</v>
      </c>
      <c r="AR62" s="224">
        <f t="shared" si="322"/>
        <v>0</v>
      </c>
      <c r="AS62" s="224">
        <f t="shared" si="322"/>
        <v>0</v>
      </c>
      <c r="AT62" s="224">
        <f t="shared" si="322"/>
        <v>0</v>
      </c>
      <c r="AU62" s="224">
        <f t="shared" si="322"/>
        <v>0</v>
      </c>
      <c r="AV62" s="224">
        <f t="shared" si="322"/>
        <v>0</v>
      </c>
      <c r="AW62" s="224">
        <f t="shared" si="322"/>
        <v>0</v>
      </c>
      <c r="AX62" s="224">
        <f t="shared" si="322"/>
        <v>0</v>
      </c>
      <c r="AY62" s="224">
        <f t="shared" si="322"/>
        <v>0</v>
      </c>
      <c r="AZ62" s="224">
        <f t="shared" si="322"/>
        <v>0</v>
      </c>
      <c r="BA62" s="224">
        <f t="shared" si="322"/>
        <v>0</v>
      </c>
      <c r="BB62" s="224">
        <f t="shared" si="322"/>
        <v>970.50324046291905</v>
      </c>
      <c r="BC62" s="224">
        <f t="shared" si="322"/>
        <v>970.50324046291905</v>
      </c>
      <c r="BD62" s="224">
        <f t="shared" si="322"/>
        <v>970.50324046291905</v>
      </c>
      <c r="BE62" s="224">
        <f t="shared" si="322"/>
        <v>970.50324046291905</v>
      </c>
      <c r="BF62" s="224">
        <f t="shared" si="322"/>
        <v>970.50324046291905</v>
      </c>
      <c r="BG62" s="224">
        <f t="shared" si="322"/>
        <v>970.50324046291905</v>
      </c>
      <c r="BH62" s="224">
        <f t="shared" si="322"/>
        <v>970.50324046291905</v>
      </c>
      <c r="BI62" s="224">
        <f t="shared" si="322"/>
        <v>970.50324046291905</v>
      </c>
      <c r="BJ62" s="224">
        <f t="shared" si="322"/>
        <v>970.50324046291905</v>
      </c>
      <c r="BK62" s="224">
        <f t="shared" si="322"/>
        <v>970.50324046291905</v>
      </c>
      <c r="BL62" s="224">
        <f t="shared" si="322"/>
        <v>970.50324046291905</v>
      </c>
      <c r="BM62" s="224">
        <f t="shared" si="322"/>
        <v>970.50324046291905</v>
      </c>
      <c r="BN62" s="224">
        <f t="shared" si="322"/>
        <v>992.33956337333473</v>
      </c>
      <c r="BO62" s="224">
        <f t="shared" si="322"/>
        <v>992.33956337333473</v>
      </c>
      <c r="BP62" s="224">
        <f t="shared" si="322"/>
        <v>992.33956337333473</v>
      </c>
      <c r="BQ62" s="224">
        <f t="shared" si="322"/>
        <v>992.33956337333473</v>
      </c>
      <c r="BR62" s="224">
        <f t="shared" si="322"/>
        <v>992.33956337333473</v>
      </c>
      <c r="BS62" s="224">
        <f t="shared" ref="BS62:DI62" si="323">IF(BS$35=EOMONTH($E45,1),BS61,IF(AND(BS$35&gt;EOMONTH($E45,1),BS$35&lt;=$E47),BR62*(1+BS48),0))</f>
        <v>992.33956337333473</v>
      </c>
      <c r="BT62" s="224">
        <f t="shared" si="323"/>
        <v>992.33956337333473</v>
      </c>
      <c r="BU62" s="224">
        <f t="shared" si="323"/>
        <v>992.33956337333473</v>
      </c>
      <c r="BV62" s="224">
        <f t="shared" si="323"/>
        <v>992.33956337333473</v>
      </c>
      <c r="BW62" s="224">
        <f t="shared" si="323"/>
        <v>992.33956337333473</v>
      </c>
      <c r="BX62" s="224">
        <f t="shared" si="323"/>
        <v>992.33956337333473</v>
      </c>
      <c r="BY62" s="224">
        <f t="shared" si="323"/>
        <v>992.33956337333473</v>
      </c>
      <c r="BZ62" s="224">
        <f t="shared" si="323"/>
        <v>1014.6672035492347</v>
      </c>
      <c r="CA62" s="224">
        <f t="shared" si="323"/>
        <v>1014.6672035492347</v>
      </c>
      <c r="CB62" s="224">
        <f t="shared" si="323"/>
        <v>1014.6672035492347</v>
      </c>
      <c r="CC62" s="224">
        <f t="shared" si="323"/>
        <v>1014.6672035492347</v>
      </c>
      <c r="CD62" s="224">
        <f t="shared" si="323"/>
        <v>1014.6672035492347</v>
      </c>
      <c r="CE62" s="224">
        <f t="shared" si="323"/>
        <v>1014.6672035492347</v>
      </c>
      <c r="CF62" s="224">
        <f t="shared" si="323"/>
        <v>1014.6672035492347</v>
      </c>
      <c r="CG62" s="224">
        <f t="shared" si="323"/>
        <v>1014.6672035492347</v>
      </c>
      <c r="CH62" s="224">
        <f t="shared" si="323"/>
        <v>1014.6672035492347</v>
      </c>
      <c r="CI62" s="224">
        <f t="shared" si="323"/>
        <v>1014.6672035492347</v>
      </c>
      <c r="CJ62" s="224">
        <f t="shared" si="323"/>
        <v>1014.6672035492347</v>
      </c>
      <c r="CK62" s="224">
        <f t="shared" si="323"/>
        <v>1014.6672035492347</v>
      </c>
      <c r="CL62" s="224">
        <f t="shared" si="323"/>
        <v>0</v>
      </c>
      <c r="CM62" s="224">
        <f t="shared" si="323"/>
        <v>0</v>
      </c>
      <c r="CN62" s="224">
        <f t="shared" si="323"/>
        <v>0</v>
      </c>
      <c r="CO62" s="224">
        <f t="shared" si="323"/>
        <v>0</v>
      </c>
      <c r="CP62" s="224">
        <f t="shared" si="323"/>
        <v>0</v>
      </c>
      <c r="CQ62" s="224">
        <f t="shared" si="323"/>
        <v>0</v>
      </c>
      <c r="CR62" s="224">
        <f t="shared" si="323"/>
        <v>0</v>
      </c>
      <c r="CS62" s="224">
        <f t="shared" si="323"/>
        <v>0</v>
      </c>
      <c r="CT62" s="224">
        <f t="shared" si="323"/>
        <v>0</v>
      </c>
      <c r="CU62" s="224">
        <f t="shared" si="323"/>
        <v>0</v>
      </c>
      <c r="CV62" s="224">
        <f t="shared" si="323"/>
        <v>0</v>
      </c>
      <c r="CW62" s="224">
        <f t="shared" si="323"/>
        <v>0</v>
      </c>
      <c r="CX62" s="224">
        <f t="shared" si="323"/>
        <v>0</v>
      </c>
      <c r="CY62" s="224">
        <f t="shared" si="323"/>
        <v>0</v>
      </c>
      <c r="CZ62" s="224">
        <f t="shared" si="323"/>
        <v>0</v>
      </c>
      <c r="DA62" s="224">
        <f t="shared" si="323"/>
        <v>0</v>
      </c>
      <c r="DB62" s="224">
        <f t="shared" si="323"/>
        <v>0</v>
      </c>
      <c r="DC62" s="224">
        <f t="shared" si="323"/>
        <v>0</v>
      </c>
      <c r="DD62" s="224">
        <f t="shared" si="323"/>
        <v>0</v>
      </c>
      <c r="DE62" s="224">
        <f t="shared" si="323"/>
        <v>0</v>
      </c>
      <c r="DF62" s="224">
        <f t="shared" si="323"/>
        <v>0</v>
      </c>
      <c r="DG62" s="224">
        <f t="shared" si="323"/>
        <v>0</v>
      </c>
      <c r="DH62" s="224">
        <f t="shared" si="323"/>
        <v>0</v>
      </c>
      <c r="DI62" s="224">
        <f t="shared" si="323"/>
        <v>0</v>
      </c>
    </row>
    <row r="63" spans="2:113" customFormat="1" outlineLevel="1" x14ac:dyDescent="0.25">
      <c r="B63" s="1"/>
      <c r="C63" s="60" t="s">
        <v>255</v>
      </c>
      <c r="D63" s="46" t="s">
        <v>125</v>
      </c>
      <c r="E63" s="1"/>
      <c r="F63" s="224">
        <f>IF(F$35=EOMONTH($E51,1),F61,IF(AND(F$35&gt;EOMONTH($E51,1),F$35&lt;=$E53),E63*(1+F54),0))</f>
        <v>0</v>
      </c>
      <c r="G63" s="224">
        <f t="shared" ref="G63:BR63" si="324">IF(G$35=EOMONTH($E51,1),G61,IF(AND(G$35&gt;EOMONTH($E51,1),G$35&lt;=$E53),F63*(1+G54),0))</f>
        <v>0</v>
      </c>
      <c r="H63" s="224">
        <f t="shared" si="324"/>
        <v>0</v>
      </c>
      <c r="I63" s="224">
        <f t="shared" si="324"/>
        <v>0</v>
      </c>
      <c r="J63" s="224">
        <f t="shared" si="324"/>
        <v>0</v>
      </c>
      <c r="K63" s="224">
        <f t="shared" si="324"/>
        <v>0</v>
      </c>
      <c r="L63" s="224">
        <f t="shared" si="324"/>
        <v>0</v>
      </c>
      <c r="M63" s="224">
        <f t="shared" si="324"/>
        <v>0</v>
      </c>
      <c r="N63" s="224">
        <f t="shared" si="324"/>
        <v>0</v>
      </c>
      <c r="O63" s="224">
        <f t="shared" si="324"/>
        <v>0</v>
      </c>
      <c r="P63" s="224">
        <f t="shared" si="324"/>
        <v>0</v>
      </c>
      <c r="Q63" s="224">
        <f t="shared" si="324"/>
        <v>0</v>
      </c>
      <c r="R63" s="224">
        <f t="shared" si="324"/>
        <v>0</v>
      </c>
      <c r="S63" s="224">
        <f t="shared" si="324"/>
        <v>0</v>
      </c>
      <c r="T63" s="224">
        <f t="shared" si="324"/>
        <v>0</v>
      </c>
      <c r="U63" s="224">
        <f t="shared" si="324"/>
        <v>0</v>
      </c>
      <c r="V63" s="224">
        <f t="shared" si="324"/>
        <v>0</v>
      </c>
      <c r="W63" s="224">
        <f t="shared" si="324"/>
        <v>0</v>
      </c>
      <c r="X63" s="224">
        <f t="shared" si="324"/>
        <v>0</v>
      </c>
      <c r="Y63" s="224">
        <f t="shared" si="324"/>
        <v>0</v>
      </c>
      <c r="Z63" s="224">
        <f t="shared" si="324"/>
        <v>0</v>
      </c>
      <c r="AA63" s="224">
        <f t="shared" si="324"/>
        <v>0</v>
      </c>
      <c r="AB63" s="224">
        <f t="shared" si="324"/>
        <v>0</v>
      </c>
      <c r="AC63" s="224">
        <f t="shared" si="324"/>
        <v>0</v>
      </c>
      <c r="AD63" s="224">
        <f t="shared" si="324"/>
        <v>0</v>
      </c>
      <c r="AE63" s="224">
        <f t="shared" si="324"/>
        <v>0</v>
      </c>
      <c r="AF63" s="224">
        <f t="shared" si="324"/>
        <v>0</v>
      </c>
      <c r="AG63" s="224">
        <f t="shared" si="324"/>
        <v>0</v>
      </c>
      <c r="AH63" s="224">
        <f t="shared" si="324"/>
        <v>0</v>
      </c>
      <c r="AI63" s="224">
        <f t="shared" si="324"/>
        <v>0</v>
      </c>
      <c r="AJ63" s="224">
        <f t="shared" si="324"/>
        <v>0</v>
      </c>
      <c r="AK63" s="224">
        <f t="shared" si="324"/>
        <v>0</v>
      </c>
      <c r="AL63" s="224">
        <f t="shared" si="324"/>
        <v>0</v>
      </c>
      <c r="AM63" s="224">
        <f t="shared" si="324"/>
        <v>0</v>
      </c>
      <c r="AN63" s="224">
        <f t="shared" si="324"/>
        <v>0</v>
      </c>
      <c r="AO63" s="224">
        <f t="shared" si="324"/>
        <v>0</v>
      </c>
      <c r="AP63" s="224">
        <f t="shared" si="324"/>
        <v>0</v>
      </c>
      <c r="AQ63" s="224">
        <f t="shared" si="324"/>
        <v>0</v>
      </c>
      <c r="AR63" s="224">
        <f t="shared" si="324"/>
        <v>0</v>
      </c>
      <c r="AS63" s="224">
        <f t="shared" si="324"/>
        <v>0</v>
      </c>
      <c r="AT63" s="224">
        <f t="shared" si="324"/>
        <v>0</v>
      </c>
      <c r="AU63" s="224">
        <f t="shared" si="324"/>
        <v>0</v>
      </c>
      <c r="AV63" s="224">
        <f t="shared" si="324"/>
        <v>0</v>
      </c>
      <c r="AW63" s="224">
        <f t="shared" si="324"/>
        <v>0</v>
      </c>
      <c r="AX63" s="224">
        <f t="shared" si="324"/>
        <v>0</v>
      </c>
      <c r="AY63" s="224">
        <f t="shared" si="324"/>
        <v>0</v>
      </c>
      <c r="AZ63" s="224">
        <f t="shared" si="324"/>
        <v>0</v>
      </c>
      <c r="BA63" s="224">
        <f t="shared" si="324"/>
        <v>0</v>
      </c>
      <c r="BB63" s="224">
        <f t="shared" si="324"/>
        <v>0</v>
      </c>
      <c r="BC63" s="224">
        <f t="shared" si="324"/>
        <v>0</v>
      </c>
      <c r="BD63" s="224">
        <f t="shared" si="324"/>
        <v>0</v>
      </c>
      <c r="BE63" s="224">
        <f t="shared" si="324"/>
        <v>0</v>
      </c>
      <c r="BF63" s="224">
        <f t="shared" si="324"/>
        <v>0</v>
      </c>
      <c r="BG63" s="224">
        <f t="shared" si="324"/>
        <v>0</v>
      </c>
      <c r="BH63" s="224">
        <f t="shared" si="324"/>
        <v>0</v>
      </c>
      <c r="BI63" s="224">
        <f t="shared" si="324"/>
        <v>0</v>
      </c>
      <c r="BJ63" s="224">
        <f t="shared" si="324"/>
        <v>0</v>
      </c>
      <c r="BK63" s="224">
        <f t="shared" si="324"/>
        <v>0</v>
      </c>
      <c r="BL63" s="224">
        <f t="shared" si="324"/>
        <v>0</v>
      </c>
      <c r="BM63" s="224">
        <f t="shared" si="324"/>
        <v>0</v>
      </c>
      <c r="BN63" s="224">
        <f t="shared" si="324"/>
        <v>0</v>
      </c>
      <c r="BO63" s="224">
        <f t="shared" si="324"/>
        <v>0</v>
      </c>
      <c r="BP63" s="224">
        <f t="shared" si="324"/>
        <v>0</v>
      </c>
      <c r="BQ63" s="224">
        <f t="shared" si="324"/>
        <v>0</v>
      </c>
      <c r="BR63" s="224">
        <f t="shared" si="324"/>
        <v>0</v>
      </c>
      <c r="BS63" s="224">
        <f t="shared" ref="BS63:DI63" si="325">IF(BS$35=EOMONTH($E51,1),BS61,IF(AND(BS$35&gt;EOMONTH($E51,1),BS$35&lt;=$E53),BR63*(1+BS54),0))</f>
        <v>0</v>
      </c>
      <c r="BT63" s="224">
        <f t="shared" si="325"/>
        <v>0</v>
      </c>
      <c r="BU63" s="224">
        <f t="shared" si="325"/>
        <v>0</v>
      </c>
      <c r="BV63" s="224">
        <f t="shared" si="325"/>
        <v>0</v>
      </c>
      <c r="BW63" s="224">
        <f t="shared" si="325"/>
        <v>0</v>
      </c>
      <c r="BX63" s="224">
        <f t="shared" si="325"/>
        <v>0</v>
      </c>
      <c r="BY63" s="224">
        <f t="shared" si="325"/>
        <v>0</v>
      </c>
      <c r="BZ63" s="224">
        <f t="shared" si="325"/>
        <v>0</v>
      </c>
      <c r="CA63" s="224">
        <f t="shared" si="325"/>
        <v>0</v>
      </c>
      <c r="CB63" s="224">
        <f t="shared" si="325"/>
        <v>0</v>
      </c>
      <c r="CC63" s="224">
        <f t="shared" si="325"/>
        <v>0</v>
      </c>
      <c r="CD63" s="224">
        <f t="shared" si="325"/>
        <v>0</v>
      </c>
      <c r="CE63" s="224">
        <f t="shared" si="325"/>
        <v>0</v>
      </c>
      <c r="CF63" s="224">
        <f t="shared" si="325"/>
        <v>0</v>
      </c>
      <c r="CG63" s="224">
        <f t="shared" si="325"/>
        <v>0</v>
      </c>
      <c r="CH63" s="224">
        <f t="shared" si="325"/>
        <v>0</v>
      </c>
      <c r="CI63" s="224">
        <f t="shared" si="325"/>
        <v>0</v>
      </c>
      <c r="CJ63" s="224">
        <f t="shared" si="325"/>
        <v>0</v>
      </c>
      <c r="CK63" s="224">
        <f t="shared" si="325"/>
        <v>0</v>
      </c>
      <c r="CL63" s="224">
        <f t="shared" si="325"/>
        <v>1070.3841109166449</v>
      </c>
      <c r="CM63" s="224">
        <f t="shared" si="325"/>
        <v>1070.3841109166449</v>
      </c>
      <c r="CN63" s="224">
        <f t="shared" si="325"/>
        <v>1070.3841109166449</v>
      </c>
      <c r="CO63" s="224">
        <f t="shared" si="325"/>
        <v>1070.3841109166449</v>
      </c>
      <c r="CP63" s="224">
        <f t="shared" si="325"/>
        <v>1070.3841109166449</v>
      </c>
      <c r="CQ63" s="224">
        <f t="shared" si="325"/>
        <v>1070.3841109166449</v>
      </c>
      <c r="CR63" s="224">
        <f t="shared" si="325"/>
        <v>1070.3841109166449</v>
      </c>
      <c r="CS63" s="224">
        <f t="shared" si="325"/>
        <v>1070.3841109166449</v>
      </c>
      <c r="CT63" s="224">
        <f t="shared" si="325"/>
        <v>1070.3841109166449</v>
      </c>
      <c r="CU63" s="224">
        <f t="shared" si="325"/>
        <v>1070.3841109166449</v>
      </c>
      <c r="CV63" s="224">
        <f t="shared" si="325"/>
        <v>1070.3841109166449</v>
      </c>
      <c r="CW63" s="224">
        <f t="shared" si="325"/>
        <v>1070.3841109166449</v>
      </c>
      <c r="CX63" s="224">
        <f t="shared" si="325"/>
        <v>1097.1437136895609</v>
      </c>
      <c r="CY63" s="224">
        <f t="shared" si="325"/>
        <v>1097.1437136895609</v>
      </c>
      <c r="CZ63" s="224">
        <f t="shared" si="325"/>
        <v>1097.1437136895609</v>
      </c>
      <c r="DA63" s="224">
        <f t="shared" si="325"/>
        <v>1097.1437136895609</v>
      </c>
      <c r="DB63" s="224">
        <f t="shared" si="325"/>
        <v>1097.1437136895609</v>
      </c>
      <c r="DC63" s="224">
        <f t="shared" si="325"/>
        <v>1097.1437136895609</v>
      </c>
      <c r="DD63" s="224">
        <f t="shared" si="325"/>
        <v>1097.1437136895609</v>
      </c>
      <c r="DE63" s="224">
        <f t="shared" si="325"/>
        <v>1097.1437136895609</v>
      </c>
      <c r="DF63" s="224">
        <f t="shared" si="325"/>
        <v>1097.1437136895609</v>
      </c>
      <c r="DG63" s="224">
        <f t="shared" si="325"/>
        <v>1097.1437136895609</v>
      </c>
      <c r="DH63" s="224">
        <f t="shared" si="325"/>
        <v>1097.1437136895609</v>
      </c>
      <c r="DI63" s="224">
        <f t="shared" si="325"/>
        <v>1097.1437136895609</v>
      </c>
    </row>
    <row r="64" spans="2:113" customFormat="1" outlineLevel="1" x14ac:dyDescent="0.25">
      <c r="B64" s="1"/>
      <c r="C64" s="60" t="s">
        <v>250</v>
      </c>
      <c r="D64" s="46" t="s">
        <v>125</v>
      </c>
      <c r="E64" s="1"/>
      <c r="F64" s="224">
        <f>IF(F$35=EOMONTH($E56,1),F61,IF(F$35&gt;EOMONTH($E56,1),E64*(1+F59),IF(AND(F$35&gt;$E47,F$35&lt;=$E56),F61,0)))</f>
        <v>0</v>
      </c>
      <c r="G64" s="224">
        <f t="shared" ref="G64:BR64" si="326">IF(G$35=EOMONTH($E56,1),G61,IF(G$35&gt;EOMONTH($E56,1),F64*(1+G59),IF(AND(G$35&gt;$E47,G$35&lt;=$E56),G61,0)))</f>
        <v>0</v>
      </c>
      <c r="H64" s="224">
        <f t="shared" si="326"/>
        <v>0</v>
      </c>
      <c r="I64" s="224">
        <f t="shared" si="326"/>
        <v>0</v>
      </c>
      <c r="J64" s="224">
        <f t="shared" si="326"/>
        <v>0</v>
      </c>
      <c r="K64" s="224">
        <f t="shared" si="326"/>
        <v>0</v>
      </c>
      <c r="L64" s="224">
        <f t="shared" si="326"/>
        <v>0</v>
      </c>
      <c r="M64" s="224">
        <f t="shared" si="326"/>
        <v>0</v>
      </c>
      <c r="N64" s="224">
        <f t="shared" si="326"/>
        <v>0</v>
      </c>
      <c r="O64" s="224">
        <f t="shared" si="326"/>
        <v>0</v>
      </c>
      <c r="P64" s="224">
        <f t="shared" si="326"/>
        <v>0</v>
      </c>
      <c r="Q64" s="224">
        <f t="shared" si="326"/>
        <v>0</v>
      </c>
      <c r="R64" s="224">
        <f t="shared" si="326"/>
        <v>0</v>
      </c>
      <c r="S64" s="224">
        <f t="shared" si="326"/>
        <v>0</v>
      </c>
      <c r="T64" s="224">
        <f t="shared" si="326"/>
        <v>0</v>
      </c>
      <c r="U64" s="224">
        <f t="shared" si="326"/>
        <v>0</v>
      </c>
      <c r="V64" s="224">
        <f t="shared" si="326"/>
        <v>0</v>
      </c>
      <c r="W64" s="224">
        <f t="shared" si="326"/>
        <v>0</v>
      </c>
      <c r="X64" s="224">
        <f t="shared" si="326"/>
        <v>0</v>
      </c>
      <c r="Y64" s="224">
        <f t="shared" si="326"/>
        <v>0</v>
      </c>
      <c r="Z64" s="224">
        <f t="shared" si="326"/>
        <v>0</v>
      </c>
      <c r="AA64" s="224">
        <f t="shared" si="326"/>
        <v>0</v>
      </c>
      <c r="AB64" s="224">
        <f t="shared" si="326"/>
        <v>0</v>
      </c>
      <c r="AC64" s="224">
        <f t="shared" si="326"/>
        <v>0</v>
      </c>
      <c r="AD64" s="224">
        <f t="shared" si="326"/>
        <v>0</v>
      </c>
      <c r="AE64" s="224">
        <f t="shared" si="326"/>
        <v>0</v>
      </c>
      <c r="AF64" s="224">
        <f t="shared" si="326"/>
        <v>0</v>
      </c>
      <c r="AG64" s="224">
        <f t="shared" si="326"/>
        <v>0</v>
      </c>
      <c r="AH64" s="224">
        <f t="shared" si="326"/>
        <v>0</v>
      </c>
      <c r="AI64" s="224">
        <f t="shared" si="326"/>
        <v>0</v>
      </c>
      <c r="AJ64" s="224">
        <f t="shared" si="326"/>
        <v>0</v>
      </c>
      <c r="AK64" s="224">
        <f t="shared" si="326"/>
        <v>0</v>
      </c>
      <c r="AL64" s="224">
        <f t="shared" si="326"/>
        <v>0</v>
      </c>
      <c r="AM64" s="224">
        <f t="shared" si="326"/>
        <v>0</v>
      </c>
      <c r="AN64" s="224">
        <f t="shared" si="326"/>
        <v>0</v>
      </c>
      <c r="AO64" s="224">
        <f t="shared" si="326"/>
        <v>0</v>
      </c>
      <c r="AP64" s="224">
        <f t="shared" si="326"/>
        <v>0</v>
      </c>
      <c r="AQ64" s="224">
        <f t="shared" si="326"/>
        <v>0</v>
      </c>
      <c r="AR64" s="224">
        <f t="shared" si="326"/>
        <v>0</v>
      </c>
      <c r="AS64" s="224">
        <f t="shared" si="326"/>
        <v>0</v>
      </c>
      <c r="AT64" s="224">
        <f t="shared" si="326"/>
        <v>0</v>
      </c>
      <c r="AU64" s="224">
        <f t="shared" si="326"/>
        <v>0</v>
      </c>
      <c r="AV64" s="224">
        <f t="shared" si="326"/>
        <v>0</v>
      </c>
      <c r="AW64" s="224">
        <f t="shared" si="326"/>
        <v>0</v>
      </c>
      <c r="AX64" s="224">
        <f t="shared" si="326"/>
        <v>0</v>
      </c>
      <c r="AY64" s="224">
        <f t="shared" si="326"/>
        <v>0</v>
      </c>
      <c r="AZ64" s="224">
        <f t="shared" si="326"/>
        <v>0</v>
      </c>
      <c r="BA64" s="224">
        <f t="shared" si="326"/>
        <v>0</v>
      </c>
      <c r="BB64" s="224">
        <f t="shared" si="326"/>
        <v>0</v>
      </c>
      <c r="BC64" s="224">
        <f t="shared" si="326"/>
        <v>0</v>
      </c>
      <c r="BD64" s="224">
        <f t="shared" si="326"/>
        <v>0</v>
      </c>
      <c r="BE64" s="224">
        <f t="shared" si="326"/>
        <v>0</v>
      </c>
      <c r="BF64" s="224">
        <f t="shared" si="326"/>
        <v>0</v>
      </c>
      <c r="BG64" s="224">
        <f t="shared" si="326"/>
        <v>0</v>
      </c>
      <c r="BH64" s="224">
        <f t="shared" si="326"/>
        <v>0</v>
      </c>
      <c r="BI64" s="224">
        <f t="shared" si="326"/>
        <v>0</v>
      </c>
      <c r="BJ64" s="224">
        <f t="shared" si="326"/>
        <v>0</v>
      </c>
      <c r="BK64" s="224">
        <f t="shared" si="326"/>
        <v>0</v>
      </c>
      <c r="BL64" s="224">
        <f t="shared" si="326"/>
        <v>0</v>
      </c>
      <c r="BM64" s="224">
        <f t="shared" si="326"/>
        <v>0</v>
      </c>
      <c r="BN64" s="224">
        <f t="shared" si="326"/>
        <v>0</v>
      </c>
      <c r="BO64" s="224">
        <f t="shared" si="326"/>
        <v>0</v>
      </c>
      <c r="BP64" s="224">
        <f t="shared" si="326"/>
        <v>0</v>
      </c>
      <c r="BQ64" s="224">
        <f t="shared" si="326"/>
        <v>0</v>
      </c>
      <c r="BR64" s="224">
        <f t="shared" si="326"/>
        <v>0</v>
      </c>
      <c r="BS64" s="224">
        <f t="shared" ref="BS64:DI64" si="327">IF(BS$35=EOMONTH($E56,1),BS61,IF(BS$35&gt;EOMONTH($E56,1),BR64*(1+BS59),IF(AND(BS$35&gt;$E47,BS$35&lt;=$E56),BS61,0)))</f>
        <v>0</v>
      </c>
      <c r="BT64" s="224">
        <f t="shared" si="327"/>
        <v>0</v>
      </c>
      <c r="BU64" s="224">
        <f t="shared" si="327"/>
        <v>0</v>
      </c>
      <c r="BV64" s="224">
        <f t="shared" si="327"/>
        <v>0</v>
      </c>
      <c r="BW64" s="224">
        <f t="shared" si="327"/>
        <v>0</v>
      </c>
      <c r="BX64" s="224">
        <f t="shared" si="327"/>
        <v>0</v>
      </c>
      <c r="BY64" s="224">
        <f t="shared" si="327"/>
        <v>0</v>
      </c>
      <c r="BZ64" s="224">
        <f t="shared" si="327"/>
        <v>0</v>
      </c>
      <c r="CA64" s="224">
        <f t="shared" si="327"/>
        <v>0</v>
      </c>
      <c r="CB64" s="224">
        <f t="shared" si="327"/>
        <v>0</v>
      </c>
      <c r="CC64" s="224">
        <f t="shared" si="327"/>
        <v>0</v>
      </c>
      <c r="CD64" s="224">
        <f t="shared" si="327"/>
        <v>0</v>
      </c>
      <c r="CE64" s="224">
        <f t="shared" si="327"/>
        <v>0</v>
      </c>
      <c r="CF64" s="224">
        <f t="shared" si="327"/>
        <v>0</v>
      </c>
      <c r="CG64" s="224">
        <f t="shared" si="327"/>
        <v>0</v>
      </c>
      <c r="CH64" s="224">
        <f t="shared" si="327"/>
        <v>0</v>
      </c>
      <c r="CI64" s="224">
        <f t="shared" si="327"/>
        <v>0</v>
      </c>
      <c r="CJ64" s="224">
        <f t="shared" si="327"/>
        <v>0</v>
      </c>
      <c r="CK64" s="224">
        <f t="shared" si="327"/>
        <v>0</v>
      </c>
      <c r="CL64" s="224">
        <f t="shared" si="327"/>
        <v>1070.3841109166449</v>
      </c>
      <c r="CM64" s="224">
        <f t="shared" si="327"/>
        <v>1073.0239668941529</v>
      </c>
      <c r="CN64" s="224">
        <f t="shared" si="327"/>
        <v>1075.6703334686613</v>
      </c>
      <c r="CO64" s="224">
        <f t="shared" si="327"/>
        <v>1078.3232266970588</v>
      </c>
      <c r="CP64" s="224">
        <f t="shared" si="327"/>
        <v>1080.9826626758347</v>
      </c>
      <c r="CQ64" s="224">
        <f t="shared" si="327"/>
        <v>1083.6486575411766</v>
      </c>
      <c r="CR64" s="224">
        <f t="shared" si="327"/>
        <v>1086.3212274690679</v>
      </c>
      <c r="CS64" s="224">
        <f t="shared" si="327"/>
        <v>1089.0003886753868</v>
      </c>
      <c r="CT64" s="224">
        <f t="shared" si="327"/>
        <v>1091.6861574160039</v>
      </c>
      <c r="CU64" s="224">
        <f t="shared" si="327"/>
        <v>1094.3785499868814</v>
      </c>
      <c r="CV64" s="224">
        <f t="shared" si="327"/>
        <v>1094.3785499868814</v>
      </c>
      <c r="CW64" s="224">
        <f t="shared" si="327"/>
        <v>1094.3785499868814</v>
      </c>
      <c r="CX64" s="224">
        <f t="shared" si="327"/>
        <v>1094.3785499868814</v>
      </c>
      <c r="CY64" s="224">
        <f t="shared" si="327"/>
        <v>1094.3785499868814</v>
      </c>
      <c r="CZ64" s="224">
        <f t="shared" si="327"/>
        <v>1094.3785499868814</v>
      </c>
      <c r="DA64" s="224">
        <f t="shared" si="327"/>
        <v>1094.3785499868814</v>
      </c>
      <c r="DB64" s="224">
        <f t="shared" si="327"/>
        <v>1094.3785499868814</v>
      </c>
      <c r="DC64" s="224">
        <f t="shared" si="327"/>
        <v>1094.3785499868814</v>
      </c>
      <c r="DD64" s="224">
        <f t="shared" si="327"/>
        <v>1094.3785499868814</v>
      </c>
      <c r="DE64" s="224">
        <f t="shared" si="327"/>
        <v>1094.3785499868814</v>
      </c>
      <c r="DF64" s="224">
        <f t="shared" si="327"/>
        <v>1094.3785499868814</v>
      </c>
      <c r="DG64" s="224">
        <f t="shared" si="327"/>
        <v>1121.7380137365533</v>
      </c>
      <c r="DH64" s="224">
        <f t="shared" si="327"/>
        <v>1121.7380137365533</v>
      </c>
      <c r="DI64" s="224">
        <f t="shared" si="327"/>
        <v>1121.7380137365533</v>
      </c>
    </row>
    <row r="65" spans="2:113" customFormat="1" outlineLevel="1" x14ac:dyDescent="0.25">
      <c r="B65" s="1"/>
      <c r="C65" s="54"/>
      <c r="D65" s="66"/>
      <c r="E65" s="1"/>
      <c r="F65" s="227"/>
      <c r="G65" s="1"/>
      <c r="H65" s="1"/>
      <c r="I65" s="1"/>
      <c r="J65" s="1"/>
      <c r="AP65" s="228"/>
      <c r="AQ65" s="228"/>
      <c r="AR65" s="146"/>
      <c r="AS65" s="146"/>
      <c r="AT65" s="146"/>
      <c r="CL65" s="222"/>
      <c r="CM65" s="222"/>
      <c r="CN65" s="222"/>
      <c r="CR65" s="222"/>
      <c r="CS65" s="222"/>
      <c r="CT65" s="222"/>
      <c r="CU65" s="222"/>
      <c r="CV65" s="222"/>
      <c r="CW65" s="222"/>
      <c r="CX65" s="222"/>
      <c r="CY65" s="222"/>
      <c r="CZ65" s="222"/>
      <c r="DA65" s="222"/>
      <c r="DB65" s="222"/>
      <c r="DC65" s="222"/>
      <c r="DD65" s="222"/>
      <c r="DE65" s="222"/>
      <c r="DF65" s="222"/>
      <c r="DG65" s="222"/>
      <c r="DH65" s="222"/>
      <c r="DI65" s="222"/>
    </row>
    <row r="66" spans="2:113" customFormat="1" outlineLevel="1" x14ac:dyDescent="0.25">
      <c r="B66" s="1"/>
      <c r="C66" s="60" t="s">
        <v>252</v>
      </c>
      <c r="D66" s="47" t="s">
        <v>107</v>
      </c>
      <c r="E66" s="1"/>
      <c r="F66" s="126">
        <f t="shared" ref="F66:AK66" si="328">+F62*$E44/Months</f>
        <v>0</v>
      </c>
      <c r="G66" s="126">
        <f t="shared" si="328"/>
        <v>0</v>
      </c>
      <c r="H66" s="126">
        <f t="shared" si="328"/>
        <v>0</v>
      </c>
      <c r="I66" s="126">
        <f t="shared" si="328"/>
        <v>0</v>
      </c>
      <c r="J66" s="126">
        <f t="shared" si="328"/>
        <v>0</v>
      </c>
      <c r="K66" s="126">
        <f t="shared" si="328"/>
        <v>0</v>
      </c>
      <c r="L66" s="126">
        <f t="shared" si="328"/>
        <v>0</v>
      </c>
      <c r="M66" s="126">
        <f t="shared" si="328"/>
        <v>0</v>
      </c>
      <c r="N66" s="126">
        <f t="shared" si="328"/>
        <v>0</v>
      </c>
      <c r="O66" s="126">
        <f t="shared" si="328"/>
        <v>0</v>
      </c>
      <c r="P66" s="126">
        <f t="shared" si="328"/>
        <v>0</v>
      </c>
      <c r="Q66" s="126">
        <f t="shared" si="328"/>
        <v>0</v>
      </c>
      <c r="R66" s="126">
        <f t="shared" si="328"/>
        <v>0</v>
      </c>
      <c r="S66" s="126">
        <f t="shared" si="328"/>
        <v>0</v>
      </c>
      <c r="T66" s="126">
        <f t="shared" si="328"/>
        <v>0</v>
      </c>
      <c r="U66" s="126">
        <f t="shared" si="328"/>
        <v>0</v>
      </c>
      <c r="V66" s="126">
        <f t="shared" si="328"/>
        <v>0</v>
      </c>
      <c r="W66" s="126">
        <f t="shared" si="328"/>
        <v>0</v>
      </c>
      <c r="X66" s="126">
        <f t="shared" si="328"/>
        <v>0</v>
      </c>
      <c r="Y66" s="126">
        <f t="shared" si="328"/>
        <v>0</v>
      </c>
      <c r="Z66" s="126">
        <f t="shared" si="328"/>
        <v>0</v>
      </c>
      <c r="AA66" s="126">
        <f t="shared" si="328"/>
        <v>0</v>
      </c>
      <c r="AB66" s="126">
        <f t="shared" si="328"/>
        <v>0</v>
      </c>
      <c r="AC66" s="126">
        <f t="shared" si="328"/>
        <v>0</v>
      </c>
      <c r="AD66" s="126">
        <f t="shared" si="328"/>
        <v>0</v>
      </c>
      <c r="AE66" s="126">
        <f t="shared" si="328"/>
        <v>0</v>
      </c>
      <c r="AF66" s="126">
        <f t="shared" si="328"/>
        <v>0</v>
      </c>
      <c r="AG66" s="126">
        <f t="shared" si="328"/>
        <v>0</v>
      </c>
      <c r="AH66" s="126">
        <f t="shared" si="328"/>
        <v>0</v>
      </c>
      <c r="AI66" s="126">
        <f t="shared" si="328"/>
        <v>0</v>
      </c>
      <c r="AJ66" s="126">
        <f t="shared" si="328"/>
        <v>0</v>
      </c>
      <c r="AK66" s="126">
        <f t="shared" si="328"/>
        <v>0</v>
      </c>
      <c r="AL66" s="126">
        <f t="shared" ref="AL66:BQ66" si="329">+AL62*$E44/Months</f>
        <v>0</v>
      </c>
      <c r="AM66" s="126">
        <f t="shared" si="329"/>
        <v>0</v>
      </c>
      <c r="AN66" s="126">
        <f t="shared" si="329"/>
        <v>0</v>
      </c>
      <c r="AO66" s="126">
        <f t="shared" si="329"/>
        <v>0</v>
      </c>
      <c r="AP66" s="126">
        <f t="shared" si="329"/>
        <v>0</v>
      </c>
      <c r="AQ66" s="126">
        <f t="shared" si="329"/>
        <v>0</v>
      </c>
      <c r="AR66" s="126">
        <f t="shared" si="329"/>
        <v>0</v>
      </c>
      <c r="AS66" s="126">
        <f t="shared" si="329"/>
        <v>0</v>
      </c>
      <c r="AT66" s="126">
        <f t="shared" si="329"/>
        <v>0</v>
      </c>
      <c r="AU66" s="126">
        <f t="shared" si="329"/>
        <v>0</v>
      </c>
      <c r="AV66" s="126">
        <f t="shared" si="329"/>
        <v>0</v>
      </c>
      <c r="AW66" s="126">
        <f t="shared" si="329"/>
        <v>0</v>
      </c>
      <c r="AX66" s="126">
        <f t="shared" si="329"/>
        <v>0</v>
      </c>
      <c r="AY66" s="126">
        <f t="shared" si="329"/>
        <v>0</v>
      </c>
      <c r="AZ66" s="126">
        <f t="shared" si="329"/>
        <v>0</v>
      </c>
      <c r="BA66" s="126">
        <f t="shared" si="329"/>
        <v>0</v>
      </c>
      <c r="BB66" s="126">
        <f t="shared" si="329"/>
        <v>2775396.6419138326</v>
      </c>
      <c r="BC66" s="126">
        <f t="shared" si="329"/>
        <v>2775396.6419138326</v>
      </c>
      <c r="BD66" s="126">
        <f t="shared" si="329"/>
        <v>2775396.6419138326</v>
      </c>
      <c r="BE66" s="126">
        <f t="shared" si="329"/>
        <v>2775396.6419138326</v>
      </c>
      <c r="BF66" s="126">
        <f t="shared" si="329"/>
        <v>2775396.6419138326</v>
      </c>
      <c r="BG66" s="126">
        <f t="shared" si="329"/>
        <v>2775396.6419138326</v>
      </c>
      <c r="BH66" s="126">
        <f t="shared" si="329"/>
        <v>2775396.6419138326</v>
      </c>
      <c r="BI66" s="126">
        <f t="shared" si="329"/>
        <v>2775396.6419138326</v>
      </c>
      <c r="BJ66" s="126">
        <f t="shared" si="329"/>
        <v>2775396.6419138326</v>
      </c>
      <c r="BK66" s="126">
        <f t="shared" si="329"/>
        <v>2775396.6419138326</v>
      </c>
      <c r="BL66" s="126">
        <f t="shared" si="329"/>
        <v>2775396.6419138326</v>
      </c>
      <c r="BM66" s="126">
        <f t="shared" si="329"/>
        <v>2775396.6419138326</v>
      </c>
      <c r="BN66" s="126">
        <f t="shared" si="329"/>
        <v>2837843.0663568941</v>
      </c>
      <c r="BO66" s="126">
        <f t="shared" si="329"/>
        <v>2837843.0663568941</v>
      </c>
      <c r="BP66" s="126">
        <f t="shared" si="329"/>
        <v>2837843.0663568941</v>
      </c>
      <c r="BQ66" s="126">
        <f t="shared" si="329"/>
        <v>2837843.0663568941</v>
      </c>
      <c r="BR66" s="126">
        <f t="shared" ref="BR66:CW66" si="330">+BR62*$E44/Months</f>
        <v>2837843.0663568941</v>
      </c>
      <c r="BS66" s="126">
        <f t="shared" si="330"/>
        <v>2837843.0663568941</v>
      </c>
      <c r="BT66" s="126">
        <f t="shared" si="330"/>
        <v>2837843.0663568941</v>
      </c>
      <c r="BU66" s="126">
        <f t="shared" si="330"/>
        <v>2837843.0663568941</v>
      </c>
      <c r="BV66" s="126">
        <f t="shared" si="330"/>
        <v>2837843.0663568941</v>
      </c>
      <c r="BW66" s="126">
        <f t="shared" si="330"/>
        <v>2837843.0663568941</v>
      </c>
      <c r="BX66" s="126">
        <f t="shared" si="330"/>
        <v>2837843.0663568941</v>
      </c>
      <c r="BY66" s="126">
        <f t="shared" si="330"/>
        <v>2837843.0663568941</v>
      </c>
      <c r="BZ66" s="126">
        <f t="shared" si="330"/>
        <v>2901694.5353499241</v>
      </c>
      <c r="CA66" s="126">
        <f t="shared" si="330"/>
        <v>2901694.5353499241</v>
      </c>
      <c r="CB66" s="126">
        <f t="shared" si="330"/>
        <v>2901694.5353499241</v>
      </c>
      <c r="CC66" s="126">
        <f t="shared" si="330"/>
        <v>2901694.5353499241</v>
      </c>
      <c r="CD66" s="126">
        <f t="shared" si="330"/>
        <v>2901694.5353499241</v>
      </c>
      <c r="CE66" s="126">
        <f t="shared" si="330"/>
        <v>2901694.5353499241</v>
      </c>
      <c r="CF66" s="126">
        <f t="shared" si="330"/>
        <v>2901694.5353499241</v>
      </c>
      <c r="CG66" s="126">
        <f t="shared" si="330"/>
        <v>2901694.5353499241</v>
      </c>
      <c r="CH66" s="126">
        <f t="shared" si="330"/>
        <v>2901694.5353499241</v>
      </c>
      <c r="CI66" s="126">
        <f t="shared" si="330"/>
        <v>2901694.5353499241</v>
      </c>
      <c r="CJ66" s="126">
        <f t="shared" si="330"/>
        <v>2901694.5353499241</v>
      </c>
      <c r="CK66" s="126">
        <f t="shared" si="330"/>
        <v>2901694.5353499241</v>
      </c>
      <c r="CL66" s="126">
        <f t="shared" si="330"/>
        <v>0</v>
      </c>
      <c r="CM66" s="126">
        <f t="shared" si="330"/>
        <v>0</v>
      </c>
      <c r="CN66" s="126">
        <f t="shared" si="330"/>
        <v>0</v>
      </c>
      <c r="CO66" s="126">
        <f t="shared" si="330"/>
        <v>0</v>
      </c>
      <c r="CP66" s="126">
        <f t="shared" si="330"/>
        <v>0</v>
      </c>
      <c r="CQ66" s="126">
        <f t="shared" si="330"/>
        <v>0</v>
      </c>
      <c r="CR66" s="126">
        <f t="shared" si="330"/>
        <v>0</v>
      </c>
      <c r="CS66" s="126">
        <f t="shared" si="330"/>
        <v>0</v>
      </c>
      <c r="CT66" s="126">
        <f t="shared" si="330"/>
        <v>0</v>
      </c>
      <c r="CU66" s="126">
        <f t="shared" si="330"/>
        <v>0</v>
      </c>
      <c r="CV66" s="126">
        <f t="shared" si="330"/>
        <v>0</v>
      </c>
      <c r="CW66" s="126">
        <f t="shared" si="330"/>
        <v>0</v>
      </c>
      <c r="CX66" s="126">
        <f t="shared" ref="CX66:DI66" si="331">+CX62*$E44/Months</f>
        <v>0</v>
      </c>
      <c r="CY66" s="126">
        <f t="shared" si="331"/>
        <v>0</v>
      </c>
      <c r="CZ66" s="126">
        <f t="shared" si="331"/>
        <v>0</v>
      </c>
      <c r="DA66" s="126">
        <f t="shared" si="331"/>
        <v>0</v>
      </c>
      <c r="DB66" s="126">
        <f t="shared" si="331"/>
        <v>0</v>
      </c>
      <c r="DC66" s="126">
        <f t="shared" si="331"/>
        <v>0</v>
      </c>
      <c r="DD66" s="126">
        <f t="shared" si="331"/>
        <v>0</v>
      </c>
      <c r="DE66" s="126">
        <f t="shared" si="331"/>
        <v>0</v>
      </c>
      <c r="DF66" s="126">
        <f t="shared" si="331"/>
        <v>0</v>
      </c>
      <c r="DG66" s="126">
        <f t="shared" si="331"/>
        <v>0</v>
      </c>
      <c r="DH66" s="126">
        <f t="shared" si="331"/>
        <v>0</v>
      </c>
      <c r="DI66" s="126">
        <f t="shared" si="331"/>
        <v>0</v>
      </c>
    </row>
    <row r="67" spans="2:113" customFormat="1" outlineLevel="1" x14ac:dyDescent="0.25">
      <c r="B67" s="1"/>
      <c r="C67" s="60" t="s">
        <v>253</v>
      </c>
      <c r="D67" s="47" t="s">
        <v>107</v>
      </c>
      <c r="E67" s="1"/>
      <c r="F67" s="72">
        <f t="shared" ref="F67:AK67" si="332">+F63*$E44/Months*Renewal_Probability</f>
        <v>0</v>
      </c>
      <c r="G67" s="72">
        <f t="shared" si="332"/>
        <v>0</v>
      </c>
      <c r="H67" s="72">
        <f t="shared" si="332"/>
        <v>0</v>
      </c>
      <c r="I67" s="72">
        <f t="shared" si="332"/>
        <v>0</v>
      </c>
      <c r="J67" s="72">
        <f t="shared" si="332"/>
        <v>0</v>
      </c>
      <c r="K67" s="72">
        <f t="shared" si="332"/>
        <v>0</v>
      </c>
      <c r="L67" s="72">
        <f t="shared" si="332"/>
        <v>0</v>
      </c>
      <c r="M67" s="72">
        <f t="shared" si="332"/>
        <v>0</v>
      </c>
      <c r="N67" s="72">
        <f t="shared" si="332"/>
        <v>0</v>
      </c>
      <c r="O67" s="72">
        <f t="shared" si="332"/>
        <v>0</v>
      </c>
      <c r="P67" s="72">
        <f t="shared" si="332"/>
        <v>0</v>
      </c>
      <c r="Q67" s="72">
        <f t="shared" si="332"/>
        <v>0</v>
      </c>
      <c r="R67" s="72">
        <f t="shared" si="332"/>
        <v>0</v>
      </c>
      <c r="S67" s="72">
        <f t="shared" si="332"/>
        <v>0</v>
      </c>
      <c r="T67" s="72">
        <f t="shared" si="332"/>
        <v>0</v>
      </c>
      <c r="U67" s="72">
        <f t="shared" si="332"/>
        <v>0</v>
      </c>
      <c r="V67" s="72">
        <f t="shared" si="332"/>
        <v>0</v>
      </c>
      <c r="W67" s="72">
        <f t="shared" si="332"/>
        <v>0</v>
      </c>
      <c r="X67" s="72">
        <f t="shared" si="332"/>
        <v>0</v>
      </c>
      <c r="Y67" s="72">
        <f t="shared" si="332"/>
        <v>0</v>
      </c>
      <c r="Z67" s="72">
        <f t="shared" si="332"/>
        <v>0</v>
      </c>
      <c r="AA67" s="72">
        <f t="shared" si="332"/>
        <v>0</v>
      </c>
      <c r="AB67" s="72">
        <f t="shared" si="332"/>
        <v>0</v>
      </c>
      <c r="AC67" s="72">
        <f t="shared" si="332"/>
        <v>0</v>
      </c>
      <c r="AD67" s="72">
        <f t="shared" si="332"/>
        <v>0</v>
      </c>
      <c r="AE67" s="72">
        <f t="shared" si="332"/>
        <v>0</v>
      </c>
      <c r="AF67" s="72">
        <f t="shared" si="332"/>
        <v>0</v>
      </c>
      <c r="AG67" s="72">
        <f t="shared" si="332"/>
        <v>0</v>
      </c>
      <c r="AH67" s="72">
        <f t="shared" si="332"/>
        <v>0</v>
      </c>
      <c r="AI67" s="72">
        <f t="shared" si="332"/>
        <v>0</v>
      </c>
      <c r="AJ67" s="72">
        <f t="shared" si="332"/>
        <v>0</v>
      </c>
      <c r="AK67" s="72">
        <f t="shared" si="332"/>
        <v>0</v>
      </c>
      <c r="AL67" s="72">
        <f t="shared" ref="AL67:BQ67" si="333">+AL63*$E44/Months*Renewal_Probability</f>
        <v>0</v>
      </c>
      <c r="AM67" s="72">
        <f t="shared" si="333"/>
        <v>0</v>
      </c>
      <c r="AN67" s="72">
        <f t="shared" si="333"/>
        <v>0</v>
      </c>
      <c r="AO67" s="72">
        <f t="shared" si="333"/>
        <v>0</v>
      </c>
      <c r="AP67" s="72">
        <f t="shared" si="333"/>
        <v>0</v>
      </c>
      <c r="AQ67" s="72">
        <f t="shared" si="333"/>
        <v>0</v>
      </c>
      <c r="AR67" s="72">
        <f t="shared" si="333"/>
        <v>0</v>
      </c>
      <c r="AS67" s="72">
        <f t="shared" si="333"/>
        <v>0</v>
      </c>
      <c r="AT67" s="72">
        <f t="shared" si="333"/>
        <v>0</v>
      </c>
      <c r="AU67" s="72">
        <f t="shared" si="333"/>
        <v>0</v>
      </c>
      <c r="AV67" s="72">
        <f t="shared" si="333"/>
        <v>0</v>
      </c>
      <c r="AW67" s="72">
        <f t="shared" si="333"/>
        <v>0</v>
      </c>
      <c r="AX67" s="72">
        <f t="shared" si="333"/>
        <v>0</v>
      </c>
      <c r="AY67" s="72">
        <f t="shared" si="333"/>
        <v>0</v>
      </c>
      <c r="AZ67" s="72">
        <f t="shared" si="333"/>
        <v>0</v>
      </c>
      <c r="BA67" s="72">
        <f t="shared" si="333"/>
        <v>0</v>
      </c>
      <c r="BB67" s="72">
        <f t="shared" si="333"/>
        <v>0</v>
      </c>
      <c r="BC67" s="72">
        <f t="shared" si="333"/>
        <v>0</v>
      </c>
      <c r="BD67" s="72">
        <f t="shared" si="333"/>
        <v>0</v>
      </c>
      <c r="BE67" s="72">
        <f t="shared" si="333"/>
        <v>0</v>
      </c>
      <c r="BF67" s="72">
        <f t="shared" si="333"/>
        <v>0</v>
      </c>
      <c r="BG67" s="72">
        <f t="shared" si="333"/>
        <v>0</v>
      </c>
      <c r="BH67" s="72">
        <f t="shared" si="333"/>
        <v>0</v>
      </c>
      <c r="BI67" s="72">
        <f t="shared" si="333"/>
        <v>0</v>
      </c>
      <c r="BJ67" s="72">
        <f t="shared" si="333"/>
        <v>0</v>
      </c>
      <c r="BK67" s="72">
        <f t="shared" si="333"/>
        <v>0</v>
      </c>
      <c r="BL67" s="72">
        <f t="shared" si="333"/>
        <v>0</v>
      </c>
      <c r="BM67" s="72">
        <f t="shared" si="333"/>
        <v>0</v>
      </c>
      <c r="BN67" s="72">
        <f t="shared" si="333"/>
        <v>0</v>
      </c>
      <c r="BO67" s="72">
        <f t="shared" si="333"/>
        <v>0</v>
      </c>
      <c r="BP67" s="72">
        <f t="shared" si="333"/>
        <v>0</v>
      </c>
      <c r="BQ67" s="72">
        <f t="shared" si="333"/>
        <v>0</v>
      </c>
      <c r="BR67" s="72">
        <f t="shared" ref="BR67:CW67" si="334">+BR63*$E44/Months*Renewal_Probability</f>
        <v>0</v>
      </c>
      <c r="BS67" s="72">
        <f t="shared" si="334"/>
        <v>0</v>
      </c>
      <c r="BT67" s="72">
        <f t="shared" si="334"/>
        <v>0</v>
      </c>
      <c r="BU67" s="72">
        <f t="shared" si="334"/>
        <v>0</v>
      </c>
      <c r="BV67" s="72">
        <f t="shared" si="334"/>
        <v>0</v>
      </c>
      <c r="BW67" s="72">
        <f t="shared" si="334"/>
        <v>0</v>
      </c>
      <c r="BX67" s="72">
        <f t="shared" si="334"/>
        <v>0</v>
      </c>
      <c r="BY67" s="72">
        <f t="shared" si="334"/>
        <v>0</v>
      </c>
      <c r="BZ67" s="72">
        <f t="shared" si="334"/>
        <v>0</v>
      </c>
      <c r="CA67" s="72">
        <f t="shared" si="334"/>
        <v>0</v>
      </c>
      <c r="CB67" s="72">
        <f t="shared" si="334"/>
        <v>0</v>
      </c>
      <c r="CC67" s="72">
        <f t="shared" si="334"/>
        <v>0</v>
      </c>
      <c r="CD67" s="72">
        <f t="shared" si="334"/>
        <v>0</v>
      </c>
      <c r="CE67" s="72">
        <f t="shared" si="334"/>
        <v>0</v>
      </c>
      <c r="CF67" s="72">
        <f t="shared" si="334"/>
        <v>0</v>
      </c>
      <c r="CG67" s="72">
        <f t="shared" si="334"/>
        <v>0</v>
      </c>
      <c r="CH67" s="72">
        <f t="shared" si="334"/>
        <v>0</v>
      </c>
      <c r="CI67" s="72">
        <f t="shared" si="334"/>
        <v>0</v>
      </c>
      <c r="CJ67" s="72">
        <f t="shared" si="334"/>
        <v>0</v>
      </c>
      <c r="CK67" s="72">
        <f t="shared" si="334"/>
        <v>0</v>
      </c>
      <c r="CL67" s="72">
        <f t="shared" si="334"/>
        <v>1530515.4805969375</v>
      </c>
      <c r="CM67" s="72">
        <f t="shared" si="334"/>
        <v>1530515.4805969375</v>
      </c>
      <c r="CN67" s="72">
        <f t="shared" si="334"/>
        <v>1530515.4805969375</v>
      </c>
      <c r="CO67" s="72">
        <f t="shared" si="334"/>
        <v>1530515.4805969375</v>
      </c>
      <c r="CP67" s="72">
        <f t="shared" si="334"/>
        <v>1530515.4805969375</v>
      </c>
      <c r="CQ67" s="72">
        <f t="shared" si="334"/>
        <v>1530515.4805969375</v>
      </c>
      <c r="CR67" s="72">
        <f t="shared" si="334"/>
        <v>1530515.4805969375</v>
      </c>
      <c r="CS67" s="72">
        <f t="shared" si="334"/>
        <v>1530515.4805969375</v>
      </c>
      <c r="CT67" s="72">
        <f t="shared" si="334"/>
        <v>1530515.4805969375</v>
      </c>
      <c r="CU67" s="72">
        <f t="shared" si="334"/>
        <v>1530515.4805969375</v>
      </c>
      <c r="CV67" s="72">
        <f t="shared" si="334"/>
        <v>1530515.4805969375</v>
      </c>
      <c r="CW67" s="72">
        <f t="shared" si="334"/>
        <v>1530515.4805969375</v>
      </c>
      <c r="CX67" s="72">
        <f t="shared" ref="CX67:DI67" si="335">+CX63*$E44/Months*Renewal_Probability</f>
        <v>1568778.3676118609</v>
      </c>
      <c r="CY67" s="72">
        <f t="shared" si="335"/>
        <v>1568778.3676118609</v>
      </c>
      <c r="CZ67" s="72">
        <f t="shared" si="335"/>
        <v>1568778.3676118609</v>
      </c>
      <c r="DA67" s="72">
        <f t="shared" si="335"/>
        <v>1568778.3676118609</v>
      </c>
      <c r="DB67" s="72">
        <f t="shared" si="335"/>
        <v>1568778.3676118609</v>
      </c>
      <c r="DC67" s="72">
        <f t="shared" si="335"/>
        <v>1568778.3676118609</v>
      </c>
      <c r="DD67" s="72">
        <f t="shared" si="335"/>
        <v>1568778.3676118609</v>
      </c>
      <c r="DE67" s="72">
        <f t="shared" si="335"/>
        <v>1568778.3676118609</v>
      </c>
      <c r="DF67" s="72">
        <f t="shared" si="335"/>
        <v>1568778.3676118609</v>
      </c>
      <c r="DG67" s="72">
        <f t="shared" si="335"/>
        <v>1568778.3676118609</v>
      </c>
      <c r="DH67" s="72">
        <f t="shared" si="335"/>
        <v>1568778.3676118609</v>
      </c>
      <c r="DI67" s="72">
        <f t="shared" si="335"/>
        <v>1568778.3676118609</v>
      </c>
    </row>
    <row r="68" spans="2:113" customFormat="1" outlineLevel="1" x14ac:dyDescent="0.25">
      <c r="B68" s="1"/>
      <c r="C68" s="60" t="s">
        <v>254</v>
      </c>
      <c r="D68" s="47" t="s">
        <v>107</v>
      </c>
      <c r="E68" s="1"/>
      <c r="F68" s="72">
        <f t="shared" ref="F68:AK68" si="336">+F64*$E44/Months*(1-Renewal_Probability)</f>
        <v>0</v>
      </c>
      <c r="G68" s="72">
        <f t="shared" si="336"/>
        <v>0</v>
      </c>
      <c r="H68" s="72">
        <f t="shared" si="336"/>
        <v>0</v>
      </c>
      <c r="I68" s="72">
        <f t="shared" si="336"/>
        <v>0</v>
      </c>
      <c r="J68" s="72">
        <f t="shared" si="336"/>
        <v>0</v>
      </c>
      <c r="K68" s="72">
        <f t="shared" si="336"/>
        <v>0</v>
      </c>
      <c r="L68" s="72">
        <f t="shared" si="336"/>
        <v>0</v>
      </c>
      <c r="M68" s="72">
        <f t="shared" si="336"/>
        <v>0</v>
      </c>
      <c r="N68" s="72">
        <f t="shared" si="336"/>
        <v>0</v>
      </c>
      <c r="O68" s="72">
        <f t="shared" si="336"/>
        <v>0</v>
      </c>
      <c r="P68" s="72">
        <f t="shared" si="336"/>
        <v>0</v>
      </c>
      <c r="Q68" s="72">
        <f t="shared" si="336"/>
        <v>0</v>
      </c>
      <c r="R68" s="72">
        <f t="shared" si="336"/>
        <v>0</v>
      </c>
      <c r="S68" s="72">
        <f t="shared" si="336"/>
        <v>0</v>
      </c>
      <c r="T68" s="72">
        <f t="shared" si="336"/>
        <v>0</v>
      </c>
      <c r="U68" s="72">
        <f t="shared" si="336"/>
        <v>0</v>
      </c>
      <c r="V68" s="72">
        <f t="shared" si="336"/>
        <v>0</v>
      </c>
      <c r="W68" s="72">
        <f t="shared" si="336"/>
        <v>0</v>
      </c>
      <c r="X68" s="72">
        <f t="shared" si="336"/>
        <v>0</v>
      </c>
      <c r="Y68" s="72">
        <f t="shared" si="336"/>
        <v>0</v>
      </c>
      <c r="Z68" s="72">
        <f t="shared" si="336"/>
        <v>0</v>
      </c>
      <c r="AA68" s="72">
        <f t="shared" si="336"/>
        <v>0</v>
      </c>
      <c r="AB68" s="72">
        <f t="shared" si="336"/>
        <v>0</v>
      </c>
      <c r="AC68" s="72">
        <f t="shared" si="336"/>
        <v>0</v>
      </c>
      <c r="AD68" s="72">
        <f t="shared" si="336"/>
        <v>0</v>
      </c>
      <c r="AE68" s="72">
        <f t="shared" si="336"/>
        <v>0</v>
      </c>
      <c r="AF68" s="72">
        <f t="shared" si="336"/>
        <v>0</v>
      </c>
      <c r="AG68" s="72">
        <f t="shared" si="336"/>
        <v>0</v>
      </c>
      <c r="AH68" s="72">
        <f t="shared" si="336"/>
        <v>0</v>
      </c>
      <c r="AI68" s="72">
        <f t="shared" si="336"/>
        <v>0</v>
      </c>
      <c r="AJ68" s="72">
        <f t="shared" si="336"/>
        <v>0</v>
      </c>
      <c r="AK68" s="72">
        <f t="shared" si="336"/>
        <v>0</v>
      </c>
      <c r="AL68" s="72">
        <f t="shared" ref="AL68:BQ68" si="337">+AL64*$E44/Months*(1-Renewal_Probability)</f>
        <v>0</v>
      </c>
      <c r="AM68" s="72">
        <f t="shared" si="337"/>
        <v>0</v>
      </c>
      <c r="AN68" s="72">
        <f t="shared" si="337"/>
        <v>0</v>
      </c>
      <c r="AO68" s="72">
        <f t="shared" si="337"/>
        <v>0</v>
      </c>
      <c r="AP68" s="72">
        <f t="shared" si="337"/>
        <v>0</v>
      </c>
      <c r="AQ68" s="72">
        <f t="shared" si="337"/>
        <v>0</v>
      </c>
      <c r="AR68" s="72">
        <f t="shared" si="337"/>
        <v>0</v>
      </c>
      <c r="AS68" s="72">
        <f t="shared" si="337"/>
        <v>0</v>
      </c>
      <c r="AT68" s="72">
        <f t="shared" si="337"/>
        <v>0</v>
      </c>
      <c r="AU68" s="72">
        <f t="shared" si="337"/>
        <v>0</v>
      </c>
      <c r="AV68" s="72">
        <f t="shared" si="337"/>
        <v>0</v>
      </c>
      <c r="AW68" s="72">
        <f t="shared" si="337"/>
        <v>0</v>
      </c>
      <c r="AX68" s="72">
        <f t="shared" si="337"/>
        <v>0</v>
      </c>
      <c r="AY68" s="72">
        <f t="shared" si="337"/>
        <v>0</v>
      </c>
      <c r="AZ68" s="72">
        <f t="shared" si="337"/>
        <v>0</v>
      </c>
      <c r="BA68" s="72">
        <f t="shared" si="337"/>
        <v>0</v>
      </c>
      <c r="BB68" s="72">
        <f t="shared" si="337"/>
        <v>0</v>
      </c>
      <c r="BC68" s="72">
        <f t="shared" si="337"/>
        <v>0</v>
      </c>
      <c r="BD68" s="72">
        <f t="shared" si="337"/>
        <v>0</v>
      </c>
      <c r="BE68" s="72">
        <f t="shared" si="337"/>
        <v>0</v>
      </c>
      <c r="BF68" s="72">
        <f t="shared" si="337"/>
        <v>0</v>
      </c>
      <c r="BG68" s="72">
        <f t="shared" si="337"/>
        <v>0</v>
      </c>
      <c r="BH68" s="72">
        <f t="shared" si="337"/>
        <v>0</v>
      </c>
      <c r="BI68" s="72">
        <f t="shared" si="337"/>
        <v>0</v>
      </c>
      <c r="BJ68" s="72">
        <f t="shared" si="337"/>
        <v>0</v>
      </c>
      <c r="BK68" s="72">
        <f t="shared" si="337"/>
        <v>0</v>
      </c>
      <c r="BL68" s="72">
        <f t="shared" si="337"/>
        <v>0</v>
      </c>
      <c r="BM68" s="72">
        <f t="shared" si="337"/>
        <v>0</v>
      </c>
      <c r="BN68" s="72">
        <f t="shared" si="337"/>
        <v>0</v>
      </c>
      <c r="BO68" s="72">
        <f t="shared" si="337"/>
        <v>0</v>
      </c>
      <c r="BP68" s="72">
        <f t="shared" si="337"/>
        <v>0</v>
      </c>
      <c r="BQ68" s="72">
        <f t="shared" si="337"/>
        <v>0</v>
      </c>
      <c r="BR68" s="72">
        <f t="shared" ref="BR68:CW68" si="338">+BR64*$E44/Months*(1-Renewal_Probability)</f>
        <v>0</v>
      </c>
      <c r="BS68" s="72">
        <f t="shared" si="338"/>
        <v>0</v>
      </c>
      <c r="BT68" s="72">
        <f t="shared" si="338"/>
        <v>0</v>
      </c>
      <c r="BU68" s="72">
        <f t="shared" si="338"/>
        <v>0</v>
      </c>
      <c r="BV68" s="72">
        <f t="shared" si="338"/>
        <v>0</v>
      </c>
      <c r="BW68" s="72">
        <f t="shared" si="338"/>
        <v>0</v>
      </c>
      <c r="BX68" s="72">
        <f t="shared" si="338"/>
        <v>0</v>
      </c>
      <c r="BY68" s="72">
        <f t="shared" si="338"/>
        <v>0</v>
      </c>
      <c r="BZ68" s="72">
        <f t="shared" si="338"/>
        <v>0</v>
      </c>
      <c r="CA68" s="72">
        <f t="shared" si="338"/>
        <v>0</v>
      </c>
      <c r="CB68" s="72">
        <f t="shared" si="338"/>
        <v>0</v>
      </c>
      <c r="CC68" s="72">
        <f t="shared" si="338"/>
        <v>0</v>
      </c>
      <c r="CD68" s="72">
        <f t="shared" si="338"/>
        <v>0</v>
      </c>
      <c r="CE68" s="72">
        <f t="shared" si="338"/>
        <v>0</v>
      </c>
      <c r="CF68" s="72">
        <f t="shared" si="338"/>
        <v>0</v>
      </c>
      <c r="CG68" s="72">
        <f t="shared" si="338"/>
        <v>0</v>
      </c>
      <c r="CH68" s="72">
        <f t="shared" si="338"/>
        <v>0</v>
      </c>
      <c r="CI68" s="72">
        <f t="shared" si="338"/>
        <v>0</v>
      </c>
      <c r="CJ68" s="72">
        <f t="shared" si="338"/>
        <v>0</v>
      </c>
      <c r="CK68" s="72">
        <f t="shared" si="338"/>
        <v>0</v>
      </c>
      <c r="CL68" s="72">
        <f t="shared" si="338"/>
        <v>1530515.4805969375</v>
      </c>
      <c r="CM68" s="72">
        <f t="shared" si="338"/>
        <v>1534290.144662777</v>
      </c>
      <c r="CN68" s="72">
        <f t="shared" si="338"/>
        <v>1538074.1180685021</v>
      </c>
      <c r="CO68" s="72">
        <f t="shared" si="338"/>
        <v>1541867.4237734571</v>
      </c>
      <c r="CP68" s="72">
        <f t="shared" si="338"/>
        <v>1545670.0847936093</v>
      </c>
      <c r="CQ68" s="72">
        <f t="shared" si="338"/>
        <v>1549482.1242016898</v>
      </c>
      <c r="CR68" s="72">
        <f t="shared" si="338"/>
        <v>1553303.5651273336</v>
      </c>
      <c r="CS68" s="72">
        <f t="shared" si="338"/>
        <v>1557134.4307572187</v>
      </c>
      <c r="CT68" s="72">
        <f t="shared" si="338"/>
        <v>1560974.7443352083</v>
      </c>
      <c r="CU68" s="72">
        <f t="shared" si="338"/>
        <v>1564824.5291624919</v>
      </c>
      <c r="CV68" s="72">
        <f t="shared" si="338"/>
        <v>1564824.5291624919</v>
      </c>
      <c r="CW68" s="72">
        <f t="shared" si="338"/>
        <v>1564824.5291624919</v>
      </c>
      <c r="CX68" s="72">
        <f t="shared" ref="CX68:DI68" si="339">+CX64*$E44/Months*(1-Renewal_Probability)</f>
        <v>1564824.5291624919</v>
      </c>
      <c r="CY68" s="72">
        <f t="shared" si="339"/>
        <v>1564824.5291624919</v>
      </c>
      <c r="CZ68" s="72">
        <f t="shared" si="339"/>
        <v>1564824.5291624919</v>
      </c>
      <c r="DA68" s="72">
        <f t="shared" si="339"/>
        <v>1564824.5291624919</v>
      </c>
      <c r="DB68" s="72">
        <f t="shared" si="339"/>
        <v>1564824.5291624919</v>
      </c>
      <c r="DC68" s="72">
        <f t="shared" si="339"/>
        <v>1564824.5291624919</v>
      </c>
      <c r="DD68" s="72">
        <f t="shared" si="339"/>
        <v>1564824.5291624919</v>
      </c>
      <c r="DE68" s="72">
        <f t="shared" si="339"/>
        <v>1564824.5291624919</v>
      </c>
      <c r="DF68" s="72">
        <f t="shared" si="339"/>
        <v>1564824.5291624919</v>
      </c>
      <c r="DG68" s="72">
        <f t="shared" si="339"/>
        <v>1603945.1423915541</v>
      </c>
      <c r="DH68" s="72">
        <f t="shared" si="339"/>
        <v>1603945.1423915541</v>
      </c>
      <c r="DI68" s="72">
        <f t="shared" si="339"/>
        <v>1603945.1423915541</v>
      </c>
    </row>
    <row r="69" spans="2:113" customFormat="1" outlineLevel="1" x14ac:dyDescent="0.25">
      <c r="B69" s="1"/>
      <c r="C69" s="60" t="s">
        <v>50</v>
      </c>
      <c r="D69" s="47" t="s">
        <v>107</v>
      </c>
      <c r="E69" s="1"/>
      <c r="F69" s="72">
        <f>IF(AND(F$35&gt;$E47,F$35&lt;=$E56),-F68,0)</f>
        <v>0</v>
      </c>
      <c r="G69" s="72">
        <f t="shared" ref="G69:BR69" si="340">IF(AND(G$35&gt;$E47,G$35&lt;=$E56),-G68,0)</f>
        <v>0</v>
      </c>
      <c r="H69" s="72">
        <f t="shared" si="340"/>
        <v>0</v>
      </c>
      <c r="I69" s="72">
        <f t="shared" si="340"/>
        <v>0</v>
      </c>
      <c r="J69" s="72">
        <f t="shared" si="340"/>
        <v>0</v>
      </c>
      <c r="K69" s="72">
        <f t="shared" si="340"/>
        <v>0</v>
      </c>
      <c r="L69" s="72">
        <f t="shared" si="340"/>
        <v>0</v>
      </c>
      <c r="M69" s="72">
        <f t="shared" si="340"/>
        <v>0</v>
      </c>
      <c r="N69" s="72">
        <f t="shared" si="340"/>
        <v>0</v>
      </c>
      <c r="O69" s="72">
        <f t="shared" si="340"/>
        <v>0</v>
      </c>
      <c r="P69" s="72">
        <f t="shared" si="340"/>
        <v>0</v>
      </c>
      <c r="Q69" s="72">
        <f t="shared" si="340"/>
        <v>0</v>
      </c>
      <c r="R69" s="72">
        <f t="shared" si="340"/>
        <v>0</v>
      </c>
      <c r="S69" s="72">
        <f t="shared" si="340"/>
        <v>0</v>
      </c>
      <c r="T69" s="72">
        <f t="shared" si="340"/>
        <v>0</v>
      </c>
      <c r="U69" s="72">
        <f t="shared" si="340"/>
        <v>0</v>
      </c>
      <c r="V69" s="72">
        <f t="shared" si="340"/>
        <v>0</v>
      </c>
      <c r="W69" s="72">
        <f t="shared" si="340"/>
        <v>0</v>
      </c>
      <c r="X69" s="72">
        <f t="shared" si="340"/>
        <v>0</v>
      </c>
      <c r="Y69" s="72">
        <f t="shared" si="340"/>
        <v>0</v>
      </c>
      <c r="Z69" s="72">
        <f t="shared" si="340"/>
        <v>0</v>
      </c>
      <c r="AA69" s="72">
        <f t="shared" si="340"/>
        <v>0</v>
      </c>
      <c r="AB69" s="72">
        <f t="shared" si="340"/>
        <v>0</v>
      </c>
      <c r="AC69" s="72">
        <f t="shared" si="340"/>
        <v>0</v>
      </c>
      <c r="AD69" s="72">
        <f t="shared" si="340"/>
        <v>0</v>
      </c>
      <c r="AE69" s="72">
        <f t="shared" si="340"/>
        <v>0</v>
      </c>
      <c r="AF69" s="72">
        <f t="shared" si="340"/>
        <v>0</v>
      </c>
      <c r="AG69" s="72">
        <f t="shared" si="340"/>
        <v>0</v>
      </c>
      <c r="AH69" s="72">
        <f t="shared" si="340"/>
        <v>0</v>
      </c>
      <c r="AI69" s="72">
        <f t="shared" si="340"/>
        <v>0</v>
      </c>
      <c r="AJ69" s="72">
        <f t="shared" si="340"/>
        <v>0</v>
      </c>
      <c r="AK69" s="72">
        <f t="shared" si="340"/>
        <v>0</v>
      </c>
      <c r="AL69" s="72">
        <f t="shared" si="340"/>
        <v>0</v>
      </c>
      <c r="AM69" s="72">
        <f t="shared" si="340"/>
        <v>0</v>
      </c>
      <c r="AN69" s="72">
        <f t="shared" si="340"/>
        <v>0</v>
      </c>
      <c r="AO69" s="72">
        <f t="shared" si="340"/>
        <v>0</v>
      </c>
      <c r="AP69" s="72">
        <f t="shared" si="340"/>
        <v>0</v>
      </c>
      <c r="AQ69" s="72">
        <f t="shared" si="340"/>
        <v>0</v>
      </c>
      <c r="AR69" s="72">
        <f t="shared" si="340"/>
        <v>0</v>
      </c>
      <c r="AS69" s="72">
        <f t="shared" si="340"/>
        <v>0</v>
      </c>
      <c r="AT69" s="72">
        <f t="shared" si="340"/>
        <v>0</v>
      </c>
      <c r="AU69" s="72">
        <f t="shared" si="340"/>
        <v>0</v>
      </c>
      <c r="AV69" s="72">
        <f t="shared" si="340"/>
        <v>0</v>
      </c>
      <c r="AW69" s="72">
        <f t="shared" si="340"/>
        <v>0</v>
      </c>
      <c r="AX69" s="72">
        <f t="shared" si="340"/>
        <v>0</v>
      </c>
      <c r="AY69" s="72">
        <f t="shared" si="340"/>
        <v>0</v>
      </c>
      <c r="AZ69" s="72">
        <f t="shared" si="340"/>
        <v>0</v>
      </c>
      <c r="BA69" s="72">
        <f t="shared" si="340"/>
        <v>0</v>
      </c>
      <c r="BB69" s="72">
        <f t="shared" si="340"/>
        <v>0</v>
      </c>
      <c r="BC69" s="72">
        <f t="shared" si="340"/>
        <v>0</v>
      </c>
      <c r="BD69" s="72">
        <f t="shared" si="340"/>
        <v>0</v>
      </c>
      <c r="BE69" s="72">
        <f t="shared" si="340"/>
        <v>0</v>
      </c>
      <c r="BF69" s="72">
        <f t="shared" si="340"/>
        <v>0</v>
      </c>
      <c r="BG69" s="72">
        <f t="shared" si="340"/>
        <v>0</v>
      </c>
      <c r="BH69" s="72">
        <f t="shared" si="340"/>
        <v>0</v>
      </c>
      <c r="BI69" s="72">
        <f t="shared" si="340"/>
        <v>0</v>
      </c>
      <c r="BJ69" s="72">
        <f t="shared" si="340"/>
        <v>0</v>
      </c>
      <c r="BK69" s="72">
        <f t="shared" si="340"/>
        <v>0</v>
      </c>
      <c r="BL69" s="72">
        <f t="shared" si="340"/>
        <v>0</v>
      </c>
      <c r="BM69" s="72">
        <f t="shared" si="340"/>
        <v>0</v>
      </c>
      <c r="BN69" s="72">
        <f t="shared" si="340"/>
        <v>0</v>
      </c>
      <c r="BO69" s="72">
        <f t="shared" si="340"/>
        <v>0</v>
      </c>
      <c r="BP69" s="72">
        <f t="shared" si="340"/>
        <v>0</v>
      </c>
      <c r="BQ69" s="72">
        <f t="shared" si="340"/>
        <v>0</v>
      </c>
      <c r="BR69" s="72">
        <f t="shared" si="340"/>
        <v>0</v>
      </c>
      <c r="BS69" s="72">
        <f t="shared" ref="BS69:DI69" si="341">IF(AND(BS$35&gt;$E47,BS$35&lt;=$E56),-BS68,0)</f>
        <v>0</v>
      </c>
      <c r="BT69" s="72">
        <f t="shared" si="341"/>
        <v>0</v>
      </c>
      <c r="BU69" s="72">
        <f t="shared" si="341"/>
        <v>0</v>
      </c>
      <c r="BV69" s="72">
        <f t="shared" si="341"/>
        <v>0</v>
      </c>
      <c r="BW69" s="72">
        <f t="shared" si="341"/>
        <v>0</v>
      </c>
      <c r="BX69" s="72">
        <f t="shared" si="341"/>
        <v>0</v>
      </c>
      <c r="BY69" s="72">
        <f t="shared" si="341"/>
        <v>0</v>
      </c>
      <c r="BZ69" s="72">
        <f t="shared" si="341"/>
        <v>0</v>
      </c>
      <c r="CA69" s="72">
        <f t="shared" si="341"/>
        <v>0</v>
      </c>
      <c r="CB69" s="72">
        <f t="shared" si="341"/>
        <v>0</v>
      </c>
      <c r="CC69" s="72">
        <f t="shared" si="341"/>
        <v>0</v>
      </c>
      <c r="CD69" s="72">
        <f t="shared" si="341"/>
        <v>0</v>
      </c>
      <c r="CE69" s="72">
        <f t="shared" si="341"/>
        <v>0</v>
      </c>
      <c r="CF69" s="72">
        <f t="shared" si="341"/>
        <v>0</v>
      </c>
      <c r="CG69" s="72">
        <f t="shared" si="341"/>
        <v>0</v>
      </c>
      <c r="CH69" s="72">
        <f t="shared" si="341"/>
        <v>0</v>
      </c>
      <c r="CI69" s="72">
        <f t="shared" si="341"/>
        <v>0</v>
      </c>
      <c r="CJ69" s="72">
        <f t="shared" si="341"/>
        <v>0</v>
      </c>
      <c r="CK69" s="72">
        <f t="shared" si="341"/>
        <v>0</v>
      </c>
      <c r="CL69" s="72">
        <f t="shared" si="341"/>
        <v>-1530515.4805969375</v>
      </c>
      <c r="CM69" s="72">
        <f t="shared" si="341"/>
        <v>-1534290.144662777</v>
      </c>
      <c r="CN69" s="72">
        <f t="shared" si="341"/>
        <v>-1538074.1180685021</v>
      </c>
      <c r="CO69" s="72">
        <f t="shared" si="341"/>
        <v>-1541867.4237734571</v>
      </c>
      <c r="CP69" s="72">
        <f t="shared" si="341"/>
        <v>-1545670.0847936093</v>
      </c>
      <c r="CQ69" s="72">
        <f t="shared" si="341"/>
        <v>-1549482.1242016898</v>
      </c>
      <c r="CR69" s="72">
        <f t="shared" si="341"/>
        <v>-1553303.5651273336</v>
      </c>
      <c r="CS69" s="72">
        <f t="shared" si="341"/>
        <v>-1557134.4307572187</v>
      </c>
      <c r="CT69" s="72">
        <f t="shared" si="341"/>
        <v>-1560974.7443352083</v>
      </c>
      <c r="CU69" s="72">
        <f t="shared" si="341"/>
        <v>0</v>
      </c>
      <c r="CV69" s="72">
        <f t="shared" si="341"/>
        <v>0</v>
      </c>
      <c r="CW69" s="72">
        <f t="shared" si="341"/>
        <v>0</v>
      </c>
      <c r="CX69" s="72">
        <f t="shared" si="341"/>
        <v>0</v>
      </c>
      <c r="CY69" s="72">
        <f t="shared" si="341"/>
        <v>0</v>
      </c>
      <c r="CZ69" s="72">
        <f t="shared" si="341"/>
        <v>0</v>
      </c>
      <c r="DA69" s="72">
        <f t="shared" si="341"/>
        <v>0</v>
      </c>
      <c r="DB69" s="72">
        <f t="shared" si="341"/>
        <v>0</v>
      </c>
      <c r="DC69" s="72">
        <f t="shared" si="341"/>
        <v>0</v>
      </c>
      <c r="DD69" s="72">
        <f t="shared" si="341"/>
        <v>0</v>
      </c>
      <c r="DE69" s="72">
        <f t="shared" si="341"/>
        <v>0</v>
      </c>
      <c r="DF69" s="72">
        <f t="shared" si="341"/>
        <v>0</v>
      </c>
      <c r="DG69" s="72">
        <f t="shared" si="341"/>
        <v>0</v>
      </c>
      <c r="DH69" s="72">
        <f t="shared" si="341"/>
        <v>0</v>
      </c>
      <c r="DI69" s="72">
        <f t="shared" si="341"/>
        <v>0</v>
      </c>
    </row>
    <row r="70" spans="2:113" customFormat="1" outlineLevel="1" x14ac:dyDescent="0.25">
      <c r="B70" s="1"/>
      <c r="C70" s="60" t="s">
        <v>51</v>
      </c>
      <c r="D70" s="47" t="s">
        <v>107</v>
      </c>
      <c r="E70" s="1"/>
      <c r="F70" s="72">
        <f t="shared" ref="F70:AK70" si="342">IF(AND(F$35&gt;$E45,F$35&lt;=EOMONTH($E45,$E49)),-F66,0)+IF(AND(F$35&gt;$E47,F$35&lt;=EOMONTH($E47,Renewal_Free_Rent_Months)),-F67,0)+IF(AND(F$35&gt;EOMONTH($E47,Down_Months),F$35&lt;=EOMONTH($E47,Down_Months+New_Free_Rent_Months)),-F68,0)</f>
        <v>0</v>
      </c>
      <c r="G70" s="72">
        <f t="shared" si="342"/>
        <v>0</v>
      </c>
      <c r="H70" s="72">
        <f t="shared" si="342"/>
        <v>0</v>
      </c>
      <c r="I70" s="72">
        <f t="shared" si="342"/>
        <v>0</v>
      </c>
      <c r="J70" s="72">
        <f t="shared" si="342"/>
        <v>0</v>
      </c>
      <c r="K70" s="72">
        <f t="shared" si="342"/>
        <v>0</v>
      </c>
      <c r="L70" s="72">
        <f t="shared" si="342"/>
        <v>0</v>
      </c>
      <c r="M70" s="72">
        <f t="shared" si="342"/>
        <v>0</v>
      </c>
      <c r="N70" s="72">
        <f t="shared" si="342"/>
        <v>0</v>
      </c>
      <c r="O70" s="72">
        <f t="shared" si="342"/>
        <v>0</v>
      </c>
      <c r="P70" s="72">
        <f t="shared" si="342"/>
        <v>0</v>
      </c>
      <c r="Q70" s="72">
        <f t="shared" si="342"/>
        <v>0</v>
      </c>
      <c r="R70" s="72">
        <f t="shared" si="342"/>
        <v>0</v>
      </c>
      <c r="S70" s="72">
        <f t="shared" si="342"/>
        <v>0</v>
      </c>
      <c r="T70" s="72">
        <f t="shared" si="342"/>
        <v>0</v>
      </c>
      <c r="U70" s="72">
        <f t="shared" si="342"/>
        <v>0</v>
      </c>
      <c r="V70" s="72">
        <f t="shared" si="342"/>
        <v>0</v>
      </c>
      <c r="W70" s="72">
        <f t="shared" si="342"/>
        <v>0</v>
      </c>
      <c r="X70" s="72">
        <f t="shared" si="342"/>
        <v>0</v>
      </c>
      <c r="Y70" s="72">
        <f t="shared" si="342"/>
        <v>0</v>
      </c>
      <c r="Z70" s="72">
        <f t="shared" si="342"/>
        <v>0</v>
      </c>
      <c r="AA70" s="72">
        <f t="shared" si="342"/>
        <v>0</v>
      </c>
      <c r="AB70" s="72">
        <f t="shared" si="342"/>
        <v>0</v>
      </c>
      <c r="AC70" s="72">
        <f t="shared" si="342"/>
        <v>0</v>
      </c>
      <c r="AD70" s="72">
        <f t="shared" si="342"/>
        <v>0</v>
      </c>
      <c r="AE70" s="72">
        <f t="shared" si="342"/>
        <v>0</v>
      </c>
      <c r="AF70" s="72">
        <f t="shared" si="342"/>
        <v>0</v>
      </c>
      <c r="AG70" s="72">
        <f t="shared" si="342"/>
        <v>0</v>
      </c>
      <c r="AH70" s="72">
        <f t="shared" si="342"/>
        <v>0</v>
      </c>
      <c r="AI70" s="72">
        <f t="shared" si="342"/>
        <v>0</v>
      </c>
      <c r="AJ70" s="72">
        <f t="shared" si="342"/>
        <v>0</v>
      </c>
      <c r="AK70" s="72">
        <f t="shared" si="342"/>
        <v>0</v>
      </c>
      <c r="AL70" s="72">
        <f t="shared" ref="AL70:BQ70" si="343">IF(AND(AL$35&gt;$E45,AL$35&lt;=EOMONTH($E45,$E49)),-AL66,0)+IF(AND(AL$35&gt;$E47,AL$35&lt;=EOMONTH($E47,Renewal_Free_Rent_Months)),-AL67,0)+IF(AND(AL$35&gt;EOMONTH($E47,Down_Months),AL$35&lt;=EOMONTH($E47,Down_Months+New_Free_Rent_Months)),-AL68,0)</f>
        <v>0</v>
      </c>
      <c r="AM70" s="72">
        <f t="shared" si="343"/>
        <v>0</v>
      </c>
      <c r="AN70" s="72">
        <f t="shared" si="343"/>
        <v>0</v>
      </c>
      <c r="AO70" s="72">
        <f t="shared" si="343"/>
        <v>0</v>
      </c>
      <c r="AP70" s="72">
        <f t="shared" si="343"/>
        <v>0</v>
      </c>
      <c r="AQ70" s="72">
        <f t="shared" si="343"/>
        <v>0</v>
      </c>
      <c r="AR70" s="72">
        <f t="shared" si="343"/>
        <v>0</v>
      </c>
      <c r="AS70" s="72">
        <f t="shared" si="343"/>
        <v>0</v>
      </c>
      <c r="AT70" s="72">
        <f t="shared" si="343"/>
        <v>0</v>
      </c>
      <c r="AU70" s="72">
        <f t="shared" si="343"/>
        <v>0</v>
      </c>
      <c r="AV70" s="72">
        <f t="shared" si="343"/>
        <v>0</v>
      </c>
      <c r="AW70" s="72">
        <f t="shared" si="343"/>
        <v>0</v>
      </c>
      <c r="AX70" s="72">
        <f t="shared" si="343"/>
        <v>0</v>
      </c>
      <c r="AY70" s="72">
        <f t="shared" si="343"/>
        <v>0</v>
      </c>
      <c r="AZ70" s="72">
        <f t="shared" si="343"/>
        <v>0</v>
      </c>
      <c r="BA70" s="72">
        <f t="shared" si="343"/>
        <v>0</v>
      </c>
      <c r="BB70" s="72">
        <f t="shared" si="343"/>
        <v>-2775396.6419138326</v>
      </c>
      <c r="BC70" s="72">
        <f t="shared" si="343"/>
        <v>-2775396.6419138326</v>
      </c>
      <c r="BD70" s="72">
        <f t="shared" si="343"/>
        <v>-2775396.6419138326</v>
      </c>
      <c r="BE70" s="72">
        <f t="shared" si="343"/>
        <v>-2775396.6419138326</v>
      </c>
      <c r="BF70" s="72">
        <f t="shared" si="343"/>
        <v>-2775396.6419138326</v>
      </c>
      <c r="BG70" s="72">
        <f t="shared" si="343"/>
        <v>-2775396.6419138326</v>
      </c>
      <c r="BH70" s="72">
        <f t="shared" si="343"/>
        <v>0</v>
      </c>
      <c r="BI70" s="72">
        <f t="shared" si="343"/>
        <v>0</v>
      </c>
      <c r="BJ70" s="72">
        <f t="shared" si="343"/>
        <v>0</v>
      </c>
      <c r="BK70" s="72">
        <f t="shared" si="343"/>
        <v>0</v>
      </c>
      <c r="BL70" s="72">
        <f t="shared" si="343"/>
        <v>0</v>
      </c>
      <c r="BM70" s="72">
        <f t="shared" si="343"/>
        <v>0</v>
      </c>
      <c r="BN70" s="72">
        <f t="shared" si="343"/>
        <v>0</v>
      </c>
      <c r="BO70" s="72">
        <f t="shared" si="343"/>
        <v>0</v>
      </c>
      <c r="BP70" s="72">
        <f t="shared" si="343"/>
        <v>0</v>
      </c>
      <c r="BQ70" s="72">
        <f t="shared" si="343"/>
        <v>0</v>
      </c>
      <c r="BR70" s="72">
        <f t="shared" ref="BR70:CW70" si="344">IF(AND(BR$35&gt;$E45,BR$35&lt;=EOMONTH($E45,$E49)),-BR66,0)+IF(AND(BR$35&gt;$E47,BR$35&lt;=EOMONTH($E47,Renewal_Free_Rent_Months)),-BR67,0)+IF(AND(BR$35&gt;EOMONTH($E47,Down_Months),BR$35&lt;=EOMONTH($E47,Down_Months+New_Free_Rent_Months)),-BR68,0)</f>
        <v>0</v>
      </c>
      <c r="BS70" s="72">
        <f t="shared" si="344"/>
        <v>0</v>
      </c>
      <c r="BT70" s="72">
        <f t="shared" si="344"/>
        <v>0</v>
      </c>
      <c r="BU70" s="72">
        <f t="shared" si="344"/>
        <v>0</v>
      </c>
      <c r="BV70" s="72">
        <f t="shared" si="344"/>
        <v>0</v>
      </c>
      <c r="BW70" s="72">
        <f t="shared" si="344"/>
        <v>0</v>
      </c>
      <c r="BX70" s="72">
        <f t="shared" si="344"/>
        <v>0</v>
      </c>
      <c r="BY70" s="72">
        <f t="shared" si="344"/>
        <v>0</v>
      </c>
      <c r="BZ70" s="72">
        <f t="shared" si="344"/>
        <v>0</v>
      </c>
      <c r="CA70" s="72">
        <f t="shared" si="344"/>
        <v>0</v>
      </c>
      <c r="CB70" s="72">
        <f t="shared" si="344"/>
        <v>0</v>
      </c>
      <c r="CC70" s="72">
        <f t="shared" si="344"/>
        <v>0</v>
      </c>
      <c r="CD70" s="72">
        <f t="shared" si="344"/>
        <v>0</v>
      </c>
      <c r="CE70" s="72">
        <f t="shared" si="344"/>
        <v>0</v>
      </c>
      <c r="CF70" s="72">
        <f t="shared" si="344"/>
        <v>0</v>
      </c>
      <c r="CG70" s="72">
        <f t="shared" si="344"/>
        <v>0</v>
      </c>
      <c r="CH70" s="72">
        <f t="shared" si="344"/>
        <v>0</v>
      </c>
      <c r="CI70" s="72">
        <f t="shared" si="344"/>
        <v>0</v>
      </c>
      <c r="CJ70" s="72">
        <f t="shared" si="344"/>
        <v>0</v>
      </c>
      <c r="CK70" s="72">
        <f t="shared" si="344"/>
        <v>0</v>
      </c>
      <c r="CL70" s="72">
        <f t="shared" si="344"/>
        <v>-1530515.4805969375</v>
      </c>
      <c r="CM70" s="72">
        <f t="shared" si="344"/>
        <v>-1530515.4805969375</v>
      </c>
      <c r="CN70" s="72">
        <f t="shared" si="344"/>
        <v>-1530515.4805969375</v>
      </c>
      <c r="CO70" s="72">
        <f t="shared" si="344"/>
        <v>-1530515.4805969375</v>
      </c>
      <c r="CP70" s="72">
        <f t="shared" si="344"/>
        <v>-1530515.4805969375</v>
      </c>
      <c r="CQ70" s="72">
        <f t="shared" si="344"/>
        <v>-1530515.4805969375</v>
      </c>
      <c r="CR70" s="72">
        <f t="shared" si="344"/>
        <v>-1530515.4805969375</v>
      </c>
      <c r="CS70" s="72">
        <f t="shared" si="344"/>
        <v>-1530515.4805969375</v>
      </c>
      <c r="CT70" s="72">
        <f t="shared" si="344"/>
        <v>0</v>
      </c>
      <c r="CU70" s="72">
        <f t="shared" si="344"/>
        <v>-1564824.5291624919</v>
      </c>
      <c r="CV70" s="72">
        <f t="shared" si="344"/>
        <v>-1564824.5291624919</v>
      </c>
      <c r="CW70" s="72">
        <f t="shared" si="344"/>
        <v>-1564824.5291624919</v>
      </c>
      <c r="CX70" s="72">
        <f t="shared" ref="CX70:DI70" si="345">IF(AND(CX$35&gt;$E45,CX$35&lt;=EOMONTH($E45,$E49)),-CX66,0)+IF(AND(CX$35&gt;$E47,CX$35&lt;=EOMONTH($E47,Renewal_Free_Rent_Months)),-CX67,0)+IF(AND(CX$35&gt;EOMONTH($E47,Down_Months),CX$35&lt;=EOMONTH($E47,Down_Months+New_Free_Rent_Months)),-CX68,0)</f>
        <v>-1564824.5291624919</v>
      </c>
      <c r="CY70" s="72">
        <f t="shared" si="345"/>
        <v>-1564824.5291624919</v>
      </c>
      <c r="CZ70" s="72">
        <f t="shared" si="345"/>
        <v>-1564824.5291624919</v>
      </c>
      <c r="DA70" s="72">
        <f t="shared" si="345"/>
        <v>-1564824.5291624919</v>
      </c>
      <c r="DB70" s="72">
        <f t="shared" si="345"/>
        <v>-1564824.5291624919</v>
      </c>
      <c r="DC70" s="72">
        <f t="shared" si="345"/>
        <v>-1564824.5291624919</v>
      </c>
      <c r="DD70" s="72">
        <f t="shared" si="345"/>
        <v>-1564824.5291624919</v>
      </c>
      <c r="DE70" s="72">
        <f t="shared" si="345"/>
        <v>0</v>
      </c>
      <c r="DF70" s="72">
        <f t="shared" si="345"/>
        <v>0</v>
      </c>
      <c r="DG70" s="72">
        <f t="shared" si="345"/>
        <v>0</v>
      </c>
      <c r="DH70" s="72">
        <f t="shared" si="345"/>
        <v>0</v>
      </c>
      <c r="DI70" s="72">
        <f t="shared" si="345"/>
        <v>0</v>
      </c>
    </row>
    <row r="71" spans="2:113" customFormat="1" outlineLevel="1" x14ac:dyDescent="0.25">
      <c r="B71" s="1"/>
      <c r="C71" s="60" t="s">
        <v>52</v>
      </c>
      <c r="D71" s="47" t="s">
        <v>107</v>
      </c>
      <c r="E71" s="1"/>
      <c r="F71" s="72">
        <f t="shared" ref="F71:AK71" si="346">IF(F$35=EOMONTH($E45,1),-New_TIs*$E44*F$40,0)+IF(F$35=EOMONTH($E51,1),-Renewal_TIs*$E44*F$40*Renewal_Probability,0)+IF(F$35=EOMONTH($E51,Down_Months+1),-New_TIs*$E44*F$40*(1-Renewal_Probability),0)</f>
        <v>0</v>
      </c>
      <c r="G71" s="72">
        <f t="shared" si="346"/>
        <v>0</v>
      </c>
      <c r="H71" s="72">
        <f t="shared" si="346"/>
        <v>0</v>
      </c>
      <c r="I71" s="72">
        <f t="shared" si="346"/>
        <v>0</v>
      </c>
      <c r="J71" s="72">
        <f t="shared" si="346"/>
        <v>0</v>
      </c>
      <c r="K71" s="72">
        <f t="shared" si="346"/>
        <v>0</v>
      </c>
      <c r="L71" s="72">
        <f t="shared" si="346"/>
        <v>0</v>
      </c>
      <c r="M71" s="72">
        <f t="shared" si="346"/>
        <v>0</v>
      </c>
      <c r="N71" s="72">
        <f t="shared" si="346"/>
        <v>0</v>
      </c>
      <c r="O71" s="72">
        <f t="shared" si="346"/>
        <v>0</v>
      </c>
      <c r="P71" s="72">
        <f t="shared" si="346"/>
        <v>0</v>
      </c>
      <c r="Q71" s="72">
        <f t="shared" si="346"/>
        <v>0</v>
      </c>
      <c r="R71" s="72">
        <f t="shared" si="346"/>
        <v>0</v>
      </c>
      <c r="S71" s="72">
        <f t="shared" si="346"/>
        <v>0</v>
      </c>
      <c r="T71" s="72">
        <f t="shared" si="346"/>
        <v>0</v>
      </c>
      <c r="U71" s="72">
        <f t="shared" si="346"/>
        <v>0</v>
      </c>
      <c r="V71" s="72">
        <f t="shared" si="346"/>
        <v>0</v>
      </c>
      <c r="W71" s="72">
        <f t="shared" si="346"/>
        <v>0</v>
      </c>
      <c r="X71" s="72">
        <f t="shared" si="346"/>
        <v>0</v>
      </c>
      <c r="Y71" s="72">
        <f t="shared" si="346"/>
        <v>0</v>
      </c>
      <c r="Z71" s="72">
        <f t="shared" si="346"/>
        <v>0</v>
      </c>
      <c r="AA71" s="72">
        <f t="shared" si="346"/>
        <v>0</v>
      </c>
      <c r="AB71" s="72">
        <f t="shared" si="346"/>
        <v>0</v>
      </c>
      <c r="AC71" s="72">
        <f t="shared" si="346"/>
        <v>0</v>
      </c>
      <c r="AD71" s="72">
        <f t="shared" si="346"/>
        <v>0</v>
      </c>
      <c r="AE71" s="72">
        <f t="shared" si="346"/>
        <v>0</v>
      </c>
      <c r="AF71" s="72">
        <f t="shared" si="346"/>
        <v>0</v>
      </c>
      <c r="AG71" s="72">
        <f t="shared" si="346"/>
        <v>0</v>
      </c>
      <c r="AH71" s="72">
        <f t="shared" si="346"/>
        <v>0</v>
      </c>
      <c r="AI71" s="72">
        <f t="shared" si="346"/>
        <v>0</v>
      </c>
      <c r="AJ71" s="72">
        <f t="shared" si="346"/>
        <v>0</v>
      </c>
      <c r="AK71" s="72">
        <f t="shared" si="346"/>
        <v>0</v>
      </c>
      <c r="AL71" s="72">
        <f t="shared" ref="AL71:BQ71" si="347">IF(AL$35=EOMONTH($E45,1),-New_TIs*$E44*AL$40,0)+IF(AL$35=EOMONTH($E51,1),-Renewal_TIs*$E44*AL$40*Renewal_Probability,0)+IF(AL$35=EOMONTH($E51,Down_Months+1),-New_TIs*$E44*AL$40*(1-Renewal_Probability),0)</f>
        <v>0</v>
      </c>
      <c r="AM71" s="72">
        <f t="shared" si="347"/>
        <v>0</v>
      </c>
      <c r="AN71" s="72">
        <f t="shared" si="347"/>
        <v>0</v>
      </c>
      <c r="AO71" s="72">
        <f t="shared" si="347"/>
        <v>0</v>
      </c>
      <c r="AP71" s="72">
        <f t="shared" si="347"/>
        <v>0</v>
      </c>
      <c r="AQ71" s="72">
        <f t="shared" si="347"/>
        <v>0</v>
      </c>
      <c r="AR71" s="72">
        <f t="shared" si="347"/>
        <v>0</v>
      </c>
      <c r="AS71" s="72">
        <f t="shared" si="347"/>
        <v>0</v>
      </c>
      <c r="AT71" s="72">
        <f t="shared" si="347"/>
        <v>0</v>
      </c>
      <c r="AU71" s="72">
        <f t="shared" si="347"/>
        <v>0</v>
      </c>
      <c r="AV71" s="72">
        <f t="shared" si="347"/>
        <v>0</v>
      </c>
      <c r="AW71" s="72">
        <f t="shared" si="347"/>
        <v>0</v>
      </c>
      <c r="AX71" s="72">
        <f t="shared" si="347"/>
        <v>0</v>
      </c>
      <c r="AY71" s="72">
        <f t="shared" si="347"/>
        <v>0</v>
      </c>
      <c r="AZ71" s="72">
        <f t="shared" si="347"/>
        <v>0</v>
      </c>
      <c r="BA71" s="72">
        <f t="shared" si="347"/>
        <v>0</v>
      </c>
      <c r="BB71" s="72">
        <f t="shared" si="347"/>
        <v>-559589.66134959296</v>
      </c>
      <c r="BC71" s="72">
        <f t="shared" si="347"/>
        <v>0</v>
      </c>
      <c r="BD71" s="72">
        <f t="shared" si="347"/>
        <v>0</v>
      </c>
      <c r="BE71" s="72">
        <f t="shared" si="347"/>
        <v>0</v>
      </c>
      <c r="BF71" s="72">
        <f t="shared" si="347"/>
        <v>0</v>
      </c>
      <c r="BG71" s="72">
        <f t="shared" si="347"/>
        <v>0</v>
      </c>
      <c r="BH71" s="72">
        <f t="shared" si="347"/>
        <v>0</v>
      </c>
      <c r="BI71" s="72">
        <f t="shared" si="347"/>
        <v>0</v>
      </c>
      <c r="BJ71" s="72">
        <f t="shared" si="347"/>
        <v>0</v>
      </c>
      <c r="BK71" s="72">
        <f t="shared" si="347"/>
        <v>0</v>
      </c>
      <c r="BL71" s="72">
        <f t="shared" si="347"/>
        <v>0</v>
      </c>
      <c r="BM71" s="72">
        <f t="shared" si="347"/>
        <v>0</v>
      </c>
      <c r="BN71" s="72">
        <f t="shared" si="347"/>
        <v>0</v>
      </c>
      <c r="BO71" s="72">
        <f t="shared" si="347"/>
        <v>0</v>
      </c>
      <c r="BP71" s="72">
        <f t="shared" si="347"/>
        <v>0</v>
      </c>
      <c r="BQ71" s="72">
        <f t="shared" si="347"/>
        <v>0</v>
      </c>
      <c r="BR71" s="72">
        <f t="shared" ref="BR71:CW71" si="348">IF(BR$35=EOMONTH($E45,1),-New_TIs*$E44*BR$40,0)+IF(BR$35=EOMONTH($E51,1),-Renewal_TIs*$E44*BR$40*Renewal_Probability,0)+IF(BR$35=EOMONTH($E51,Down_Months+1),-New_TIs*$E44*BR$40*(1-Renewal_Probability),0)</f>
        <v>0</v>
      </c>
      <c r="BS71" s="72">
        <f t="shared" si="348"/>
        <v>0</v>
      </c>
      <c r="BT71" s="72">
        <f t="shared" si="348"/>
        <v>0</v>
      </c>
      <c r="BU71" s="72">
        <f t="shared" si="348"/>
        <v>0</v>
      </c>
      <c r="BV71" s="72">
        <f t="shared" si="348"/>
        <v>0</v>
      </c>
      <c r="BW71" s="72">
        <f t="shared" si="348"/>
        <v>0</v>
      </c>
      <c r="BX71" s="72">
        <f t="shared" si="348"/>
        <v>0</v>
      </c>
      <c r="BY71" s="72">
        <f t="shared" si="348"/>
        <v>0</v>
      </c>
      <c r="BZ71" s="72">
        <f t="shared" si="348"/>
        <v>0</v>
      </c>
      <c r="CA71" s="72">
        <f t="shared" si="348"/>
        <v>0</v>
      </c>
      <c r="CB71" s="72">
        <f t="shared" si="348"/>
        <v>0</v>
      </c>
      <c r="CC71" s="72">
        <f t="shared" si="348"/>
        <v>0</v>
      </c>
      <c r="CD71" s="72">
        <f t="shared" si="348"/>
        <v>0</v>
      </c>
      <c r="CE71" s="72">
        <f t="shared" si="348"/>
        <v>0</v>
      </c>
      <c r="CF71" s="72">
        <f t="shared" si="348"/>
        <v>0</v>
      </c>
      <c r="CG71" s="72">
        <f t="shared" si="348"/>
        <v>0</v>
      </c>
      <c r="CH71" s="72">
        <f t="shared" si="348"/>
        <v>0</v>
      </c>
      <c r="CI71" s="72">
        <f t="shared" si="348"/>
        <v>0</v>
      </c>
      <c r="CJ71" s="72">
        <f t="shared" si="348"/>
        <v>0</v>
      </c>
      <c r="CK71" s="72">
        <f t="shared" si="348"/>
        <v>0</v>
      </c>
      <c r="CL71" s="72">
        <f t="shared" si="348"/>
        <v>-140296.19543173598</v>
      </c>
      <c r="CM71" s="72">
        <f t="shared" si="348"/>
        <v>0</v>
      </c>
      <c r="CN71" s="72">
        <f t="shared" si="348"/>
        <v>0</v>
      </c>
      <c r="CO71" s="72">
        <f t="shared" si="348"/>
        <v>0</v>
      </c>
      <c r="CP71" s="72">
        <f t="shared" si="348"/>
        <v>0</v>
      </c>
      <c r="CQ71" s="72">
        <f t="shared" si="348"/>
        <v>0</v>
      </c>
      <c r="CR71" s="72">
        <f t="shared" si="348"/>
        <v>0</v>
      </c>
      <c r="CS71" s="72">
        <f t="shared" si="348"/>
        <v>0</v>
      </c>
      <c r="CT71" s="72">
        <f t="shared" si="348"/>
        <v>0</v>
      </c>
      <c r="CU71" s="72">
        <f t="shared" si="348"/>
        <v>-306254.17084486643</v>
      </c>
      <c r="CV71" s="72">
        <f t="shared" si="348"/>
        <v>0</v>
      </c>
      <c r="CW71" s="72">
        <f t="shared" si="348"/>
        <v>0</v>
      </c>
      <c r="CX71" s="72">
        <f t="shared" ref="CX71:DI71" si="349">IF(CX$35=EOMONTH($E45,1),-New_TIs*$E44*CX$40,0)+IF(CX$35=EOMONTH($E51,1),-Renewal_TIs*$E44*CX$40*Renewal_Probability,0)+IF(CX$35=EOMONTH($E51,Down_Months+1),-New_TIs*$E44*CX$40*(1-Renewal_Probability),0)</f>
        <v>0</v>
      </c>
      <c r="CY71" s="72">
        <f t="shared" si="349"/>
        <v>0</v>
      </c>
      <c r="CZ71" s="72">
        <f t="shared" si="349"/>
        <v>0</v>
      </c>
      <c r="DA71" s="72">
        <f t="shared" si="349"/>
        <v>0</v>
      </c>
      <c r="DB71" s="72">
        <f t="shared" si="349"/>
        <v>0</v>
      </c>
      <c r="DC71" s="72">
        <f t="shared" si="349"/>
        <v>0</v>
      </c>
      <c r="DD71" s="72">
        <f t="shared" si="349"/>
        <v>0</v>
      </c>
      <c r="DE71" s="72">
        <f t="shared" si="349"/>
        <v>0</v>
      </c>
      <c r="DF71" s="72">
        <f t="shared" si="349"/>
        <v>0</v>
      </c>
      <c r="DG71" s="72">
        <f t="shared" si="349"/>
        <v>0</v>
      </c>
      <c r="DH71" s="72">
        <f t="shared" si="349"/>
        <v>0</v>
      </c>
      <c r="DI71" s="72">
        <f t="shared" si="349"/>
        <v>0</v>
      </c>
    </row>
    <row r="72" spans="2:113" customFormat="1" outlineLevel="1" x14ac:dyDescent="0.25">
      <c r="B72" s="1"/>
      <c r="C72" s="60" t="s">
        <v>53</v>
      </c>
      <c r="D72" s="47" t="s">
        <v>107</v>
      </c>
      <c r="E72" s="1"/>
      <c r="F72" s="72">
        <f t="shared" ref="F72:AK72" si="350">IF(F$35=EOMONTH($E45,1),-New_LC_Pct*FV($E48,$E46,-F62*$E44),0)+IF(F$35=EOMONTH($E51,1),-Renewal_LC_Pct*FV($E54,$E52,-F63*$E44)*Renewal_Probability,0)+IF(F$35=EOMONTH($E56,1),-New_LC_Pct*FV($E59,$E57,-F64*$E44)*(1-Renewal_Probability),0)</f>
        <v>0</v>
      </c>
      <c r="G72" s="72">
        <f t="shared" si="350"/>
        <v>0</v>
      </c>
      <c r="H72" s="72">
        <f t="shared" si="350"/>
        <v>0</v>
      </c>
      <c r="I72" s="72">
        <f t="shared" si="350"/>
        <v>0</v>
      </c>
      <c r="J72" s="72">
        <f t="shared" si="350"/>
        <v>0</v>
      </c>
      <c r="K72" s="72">
        <f t="shared" si="350"/>
        <v>0</v>
      </c>
      <c r="L72" s="72">
        <f t="shared" si="350"/>
        <v>0</v>
      </c>
      <c r="M72" s="72">
        <f t="shared" si="350"/>
        <v>0</v>
      </c>
      <c r="N72" s="72">
        <f t="shared" si="350"/>
        <v>0</v>
      </c>
      <c r="O72" s="72">
        <f t="shared" si="350"/>
        <v>0</v>
      </c>
      <c r="P72" s="72">
        <f t="shared" si="350"/>
        <v>0</v>
      </c>
      <c r="Q72" s="72">
        <f t="shared" si="350"/>
        <v>0</v>
      </c>
      <c r="R72" s="72">
        <f t="shared" si="350"/>
        <v>0</v>
      </c>
      <c r="S72" s="72">
        <f t="shared" si="350"/>
        <v>0</v>
      </c>
      <c r="T72" s="72">
        <f t="shared" si="350"/>
        <v>0</v>
      </c>
      <c r="U72" s="72">
        <f t="shared" si="350"/>
        <v>0</v>
      </c>
      <c r="V72" s="72">
        <f t="shared" si="350"/>
        <v>0</v>
      </c>
      <c r="W72" s="72">
        <f t="shared" si="350"/>
        <v>0</v>
      </c>
      <c r="X72" s="72">
        <f t="shared" si="350"/>
        <v>0</v>
      </c>
      <c r="Y72" s="72">
        <f t="shared" si="350"/>
        <v>0</v>
      </c>
      <c r="Z72" s="72">
        <f t="shared" si="350"/>
        <v>0</v>
      </c>
      <c r="AA72" s="72">
        <f t="shared" si="350"/>
        <v>0</v>
      </c>
      <c r="AB72" s="72">
        <f t="shared" si="350"/>
        <v>0</v>
      </c>
      <c r="AC72" s="72">
        <f t="shared" si="350"/>
        <v>0</v>
      </c>
      <c r="AD72" s="72">
        <f t="shared" si="350"/>
        <v>0</v>
      </c>
      <c r="AE72" s="72">
        <f t="shared" si="350"/>
        <v>0</v>
      </c>
      <c r="AF72" s="72">
        <f t="shared" si="350"/>
        <v>0</v>
      </c>
      <c r="AG72" s="72">
        <f t="shared" si="350"/>
        <v>0</v>
      </c>
      <c r="AH72" s="72">
        <f t="shared" si="350"/>
        <v>0</v>
      </c>
      <c r="AI72" s="72">
        <f t="shared" si="350"/>
        <v>0</v>
      </c>
      <c r="AJ72" s="72">
        <f t="shared" si="350"/>
        <v>0</v>
      </c>
      <c r="AK72" s="72">
        <f t="shared" si="350"/>
        <v>0</v>
      </c>
      <c r="AL72" s="72">
        <f t="shared" ref="AL72:BQ72" si="351">IF(AL$35=EOMONTH($E45,1),-New_LC_Pct*FV($E48,$E46,-AL62*$E44),0)+IF(AL$35=EOMONTH($E51,1),-Renewal_LC_Pct*FV($E54,$E52,-AL63*$E44)*Renewal_Probability,0)+IF(AL$35=EOMONTH($E56,1),-New_LC_Pct*FV($E59,$E57,-AL64*$E44)*(1-Renewal_Probability),0)</f>
        <v>0</v>
      </c>
      <c r="AM72" s="72">
        <f t="shared" si="351"/>
        <v>0</v>
      </c>
      <c r="AN72" s="72">
        <f t="shared" si="351"/>
        <v>0</v>
      </c>
      <c r="AO72" s="72">
        <f t="shared" si="351"/>
        <v>0</v>
      </c>
      <c r="AP72" s="72">
        <f t="shared" si="351"/>
        <v>0</v>
      </c>
      <c r="AQ72" s="72">
        <f t="shared" si="351"/>
        <v>0</v>
      </c>
      <c r="AR72" s="72">
        <f t="shared" si="351"/>
        <v>0</v>
      </c>
      <c r="AS72" s="72">
        <f t="shared" si="351"/>
        <v>0</v>
      </c>
      <c r="AT72" s="72">
        <f t="shared" si="351"/>
        <v>0</v>
      </c>
      <c r="AU72" s="72">
        <f t="shared" si="351"/>
        <v>0</v>
      </c>
      <c r="AV72" s="72">
        <f t="shared" si="351"/>
        <v>0</v>
      </c>
      <c r="AW72" s="72">
        <f t="shared" si="351"/>
        <v>0</v>
      </c>
      <c r="AX72" s="72">
        <f t="shared" si="351"/>
        <v>0</v>
      </c>
      <c r="AY72" s="72">
        <f t="shared" si="351"/>
        <v>0</v>
      </c>
      <c r="AZ72" s="72">
        <f t="shared" si="351"/>
        <v>0</v>
      </c>
      <c r="BA72" s="72">
        <f t="shared" si="351"/>
        <v>0</v>
      </c>
      <c r="BB72" s="72">
        <f t="shared" si="351"/>
        <v>-2554480.2730861879</v>
      </c>
      <c r="BC72" s="72">
        <f t="shared" si="351"/>
        <v>0</v>
      </c>
      <c r="BD72" s="72">
        <f t="shared" si="351"/>
        <v>0</v>
      </c>
      <c r="BE72" s="72">
        <f t="shared" si="351"/>
        <v>0</v>
      </c>
      <c r="BF72" s="72">
        <f t="shared" si="351"/>
        <v>0</v>
      </c>
      <c r="BG72" s="72">
        <f t="shared" si="351"/>
        <v>0</v>
      </c>
      <c r="BH72" s="72">
        <f t="shared" si="351"/>
        <v>0</v>
      </c>
      <c r="BI72" s="72">
        <f t="shared" si="351"/>
        <v>0</v>
      </c>
      <c r="BJ72" s="72">
        <f t="shared" si="351"/>
        <v>0</v>
      </c>
      <c r="BK72" s="72">
        <f t="shared" si="351"/>
        <v>0</v>
      </c>
      <c r="BL72" s="72">
        <f t="shared" si="351"/>
        <v>0</v>
      </c>
      <c r="BM72" s="72">
        <f t="shared" si="351"/>
        <v>0</v>
      </c>
      <c r="BN72" s="72">
        <f t="shared" si="351"/>
        <v>0</v>
      </c>
      <c r="BO72" s="72">
        <f t="shared" si="351"/>
        <v>0</v>
      </c>
      <c r="BP72" s="72">
        <f t="shared" si="351"/>
        <v>0</v>
      </c>
      <c r="BQ72" s="72">
        <f t="shared" si="351"/>
        <v>0</v>
      </c>
      <c r="BR72" s="72">
        <f t="shared" ref="BR72:CW72" si="352">IF(BR$35=EOMONTH($E45,1),-New_LC_Pct*FV($E48,$E46,-BR62*$E44),0)+IF(BR$35=EOMONTH($E51,1),-Renewal_LC_Pct*FV($E54,$E52,-BR63*$E44)*Renewal_Probability,0)+IF(BR$35=EOMONTH($E56,1),-New_LC_Pct*FV($E59,$E57,-BR64*$E44)*(1-Renewal_Probability),0)</f>
        <v>0</v>
      </c>
      <c r="BS72" s="72">
        <f t="shared" si="352"/>
        <v>0</v>
      </c>
      <c r="BT72" s="72">
        <f t="shared" si="352"/>
        <v>0</v>
      </c>
      <c r="BU72" s="72">
        <f t="shared" si="352"/>
        <v>0</v>
      </c>
      <c r="BV72" s="72">
        <f t="shared" si="352"/>
        <v>0</v>
      </c>
      <c r="BW72" s="72">
        <f t="shared" si="352"/>
        <v>0</v>
      </c>
      <c r="BX72" s="72">
        <f t="shared" si="352"/>
        <v>0</v>
      </c>
      <c r="BY72" s="72">
        <f t="shared" si="352"/>
        <v>0</v>
      </c>
      <c r="BZ72" s="72">
        <f t="shared" si="352"/>
        <v>0</v>
      </c>
      <c r="CA72" s="72">
        <f t="shared" si="352"/>
        <v>0</v>
      </c>
      <c r="CB72" s="72">
        <f t="shared" si="352"/>
        <v>0</v>
      </c>
      <c r="CC72" s="72">
        <f t="shared" si="352"/>
        <v>0</v>
      </c>
      <c r="CD72" s="72">
        <f t="shared" si="352"/>
        <v>0</v>
      </c>
      <c r="CE72" s="72">
        <f t="shared" si="352"/>
        <v>0</v>
      </c>
      <c r="CF72" s="72">
        <f t="shared" si="352"/>
        <v>0</v>
      </c>
      <c r="CG72" s="72">
        <f t="shared" si="352"/>
        <v>0</v>
      </c>
      <c r="CH72" s="72">
        <f t="shared" si="352"/>
        <v>0</v>
      </c>
      <c r="CI72" s="72">
        <f t="shared" si="352"/>
        <v>0</v>
      </c>
      <c r="CJ72" s="72">
        <f t="shared" si="352"/>
        <v>0</v>
      </c>
      <c r="CK72" s="72">
        <f t="shared" si="352"/>
        <v>0</v>
      </c>
      <c r="CL72" s="72">
        <f t="shared" si="352"/>
        <v>-1448080.5895680892</v>
      </c>
      <c r="CM72" s="72">
        <f t="shared" si="352"/>
        <v>0</v>
      </c>
      <c r="CN72" s="72">
        <f t="shared" si="352"/>
        <v>0</v>
      </c>
      <c r="CO72" s="72">
        <f t="shared" si="352"/>
        <v>0</v>
      </c>
      <c r="CP72" s="72">
        <f t="shared" si="352"/>
        <v>0</v>
      </c>
      <c r="CQ72" s="72">
        <f t="shared" si="352"/>
        <v>0</v>
      </c>
      <c r="CR72" s="72">
        <f t="shared" si="352"/>
        <v>0</v>
      </c>
      <c r="CS72" s="72">
        <f t="shared" si="352"/>
        <v>0</v>
      </c>
      <c r="CT72" s="72">
        <f t="shared" si="352"/>
        <v>0</v>
      </c>
      <c r="CU72" s="72">
        <f t="shared" si="352"/>
        <v>-2467569.538375875</v>
      </c>
      <c r="CV72" s="72">
        <f t="shared" si="352"/>
        <v>0</v>
      </c>
      <c r="CW72" s="72">
        <f t="shared" si="352"/>
        <v>0</v>
      </c>
      <c r="CX72" s="72">
        <f t="shared" ref="CX72:DI72" si="353">IF(CX$35=EOMONTH($E45,1),-New_LC_Pct*FV($E48,$E46,-CX62*$E44),0)+IF(CX$35=EOMONTH($E51,1),-Renewal_LC_Pct*FV($E54,$E52,-CX63*$E44)*Renewal_Probability,0)+IF(CX$35=EOMONTH($E56,1),-New_LC_Pct*FV($E59,$E57,-CX64*$E44)*(1-Renewal_Probability),0)</f>
        <v>0</v>
      </c>
      <c r="CY72" s="72">
        <f t="shared" si="353"/>
        <v>0</v>
      </c>
      <c r="CZ72" s="72">
        <f t="shared" si="353"/>
        <v>0</v>
      </c>
      <c r="DA72" s="72">
        <f t="shared" si="353"/>
        <v>0</v>
      </c>
      <c r="DB72" s="72">
        <f t="shared" si="353"/>
        <v>0</v>
      </c>
      <c r="DC72" s="72">
        <f t="shared" si="353"/>
        <v>0</v>
      </c>
      <c r="DD72" s="72">
        <f t="shared" si="353"/>
        <v>0</v>
      </c>
      <c r="DE72" s="72">
        <f t="shared" si="353"/>
        <v>0</v>
      </c>
      <c r="DF72" s="72">
        <f t="shared" si="353"/>
        <v>0</v>
      </c>
      <c r="DG72" s="72">
        <f t="shared" si="353"/>
        <v>0</v>
      </c>
      <c r="DH72" s="72">
        <f t="shared" si="353"/>
        <v>0</v>
      </c>
      <c r="DI72" s="72">
        <f t="shared" si="353"/>
        <v>0</v>
      </c>
    </row>
    <row r="73" spans="2:113" customFormat="1" outlineLevel="1" x14ac:dyDescent="0.25">
      <c r="B73" s="1"/>
      <c r="C73" s="54"/>
      <c r="D73" s="66"/>
      <c r="E73" s="1"/>
      <c r="F73" s="118"/>
      <c r="G73" s="118"/>
      <c r="H73" s="1"/>
      <c r="I73" s="1"/>
      <c r="J73" s="1"/>
      <c r="K73" s="118"/>
      <c r="AP73" s="72"/>
      <c r="BB73" s="72"/>
    </row>
    <row r="74" spans="2:113" customFormat="1" outlineLevel="1" x14ac:dyDescent="0.25">
      <c r="B74" s="1"/>
      <c r="C74" s="60" t="s">
        <v>54</v>
      </c>
      <c r="D74" s="47" t="s">
        <v>107</v>
      </c>
      <c r="E74" s="1"/>
      <c r="F74" s="72">
        <f t="shared" ref="F74:AK74" si="354">-IF(F$35&gt;$E45,F$157*($E44/Rentable_Sq_M)*IF(AND(F$35&gt;$E47,F$35&lt;=$E56),Renewal_Probability,1),0)</f>
        <v>0</v>
      </c>
      <c r="G74" s="72">
        <f t="shared" si="354"/>
        <v>0</v>
      </c>
      <c r="H74" s="72">
        <f t="shared" si="354"/>
        <v>0</v>
      </c>
      <c r="I74" s="72">
        <f t="shared" si="354"/>
        <v>0</v>
      </c>
      <c r="J74" s="72">
        <f t="shared" si="354"/>
        <v>0</v>
      </c>
      <c r="K74" s="72">
        <f t="shared" si="354"/>
        <v>0</v>
      </c>
      <c r="L74" s="72">
        <f t="shared" si="354"/>
        <v>0</v>
      </c>
      <c r="M74" s="72">
        <f t="shared" si="354"/>
        <v>0</v>
      </c>
      <c r="N74" s="72">
        <f t="shared" si="354"/>
        <v>0</v>
      </c>
      <c r="O74" s="72">
        <f t="shared" si="354"/>
        <v>0</v>
      </c>
      <c r="P74" s="72">
        <f t="shared" si="354"/>
        <v>0</v>
      </c>
      <c r="Q74" s="72">
        <f t="shared" si="354"/>
        <v>0</v>
      </c>
      <c r="R74" s="72">
        <f t="shared" si="354"/>
        <v>0</v>
      </c>
      <c r="S74" s="72">
        <f t="shared" si="354"/>
        <v>0</v>
      </c>
      <c r="T74" s="72">
        <f t="shared" si="354"/>
        <v>0</v>
      </c>
      <c r="U74" s="72">
        <f t="shared" si="354"/>
        <v>0</v>
      </c>
      <c r="V74" s="72">
        <f t="shared" si="354"/>
        <v>0</v>
      </c>
      <c r="W74" s="72">
        <f t="shared" si="354"/>
        <v>0</v>
      </c>
      <c r="X74" s="72">
        <f t="shared" si="354"/>
        <v>0</v>
      </c>
      <c r="Y74" s="72">
        <f t="shared" si="354"/>
        <v>0</v>
      </c>
      <c r="Z74" s="72">
        <f t="shared" si="354"/>
        <v>0</v>
      </c>
      <c r="AA74" s="72">
        <f t="shared" si="354"/>
        <v>0</v>
      </c>
      <c r="AB74" s="72">
        <f t="shared" si="354"/>
        <v>0</v>
      </c>
      <c r="AC74" s="72">
        <f t="shared" si="354"/>
        <v>0</v>
      </c>
      <c r="AD74" s="72">
        <f t="shared" si="354"/>
        <v>0</v>
      </c>
      <c r="AE74" s="72">
        <f t="shared" si="354"/>
        <v>0</v>
      </c>
      <c r="AF74" s="72">
        <f t="shared" si="354"/>
        <v>0</v>
      </c>
      <c r="AG74" s="72">
        <f t="shared" si="354"/>
        <v>0</v>
      </c>
      <c r="AH74" s="72">
        <f t="shared" si="354"/>
        <v>0</v>
      </c>
      <c r="AI74" s="72">
        <f t="shared" si="354"/>
        <v>0</v>
      </c>
      <c r="AJ74" s="72">
        <f t="shared" si="354"/>
        <v>0</v>
      </c>
      <c r="AK74" s="72">
        <f t="shared" si="354"/>
        <v>0</v>
      </c>
      <c r="AL74" s="72">
        <f t="shared" ref="AL74:BQ74" si="355">-IF(AL$35&gt;$E45,AL$157*($E44/Rentable_Sq_M)*IF(AND(AL$35&gt;$E47,AL$35&lt;=$E56),Renewal_Probability,1),0)</f>
        <v>0</v>
      </c>
      <c r="AM74" s="72">
        <f t="shared" si="355"/>
        <v>0</v>
      </c>
      <c r="AN74" s="72">
        <f t="shared" si="355"/>
        <v>0</v>
      </c>
      <c r="AO74" s="72">
        <f t="shared" si="355"/>
        <v>0</v>
      </c>
      <c r="AP74" s="72">
        <f t="shared" si="355"/>
        <v>0</v>
      </c>
      <c r="AQ74" s="72">
        <f t="shared" si="355"/>
        <v>0</v>
      </c>
      <c r="AR74" s="72">
        <f t="shared" si="355"/>
        <v>0</v>
      </c>
      <c r="AS74" s="72">
        <f t="shared" si="355"/>
        <v>0</v>
      </c>
      <c r="AT74" s="72">
        <f t="shared" si="355"/>
        <v>0</v>
      </c>
      <c r="AU74" s="72">
        <f t="shared" si="355"/>
        <v>0</v>
      </c>
      <c r="AV74" s="72">
        <f t="shared" si="355"/>
        <v>0</v>
      </c>
      <c r="AW74" s="72">
        <f t="shared" si="355"/>
        <v>0</v>
      </c>
      <c r="AX74" s="72">
        <f t="shared" si="355"/>
        <v>0</v>
      </c>
      <c r="AY74" s="72">
        <f t="shared" si="355"/>
        <v>0</v>
      </c>
      <c r="AZ74" s="72">
        <f t="shared" si="355"/>
        <v>0</v>
      </c>
      <c r="BA74" s="72">
        <f t="shared" si="355"/>
        <v>0</v>
      </c>
      <c r="BB74" s="72">
        <f t="shared" si="355"/>
        <v>994826.06462149846</v>
      </c>
      <c r="BC74" s="72">
        <f t="shared" si="355"/>
        <v>996672.39965596038</v>
      </c>
      <c r="BD74" s="72">
        <f t="shared" si="355"/>
        <v>998522.16137291549</v>
      </c>
      <c r="BE74" s="72">
        <f t="shared" si="355"/>
        <v>1000375.3561320724</v>
      </c>
      <c r="BF74" s="72">
        <f t="shared" si="355"/>
        <v>1002231.9903049433</v>
      </c>
      <c r="BG74" s="72">
        <f t="shared" si="355"/>
        <v>1004092.0702748649</v>
      </c>
      <c r="BH74" s="72">
        <f t="shared" si="355"/>
        <v>1005955.6024370216</v>
      </c>
      <c r="BI74" s="72">
        <f t="shared" si="355"/>
        <v>1007822.5931984662</v>
      </c>
      <c r="BJ74" s="72">
        <f t="shared" si="355"/>
        <v>1009693.0489781433</v>
      </c>
      <c r="BK74" s="72">
        <f t="shared" si="355"/>
        <v>1011566.9762069097</v>
      </c>
      <c r="BL74" s="72">
        <f t="shared" si="355"/>
        <v>1013444.3813275588</v>
      </c>
      <c r="BM74" s="72">
        <f t="shared" si="355"/>
        <v>1015325.2707948402</v>
      </c>
      <c r="BN74" s="72">
        <f t="shared" si="355"/>
        <v>1017416.6746133112</v>
      </c>
      <c r="BO74" s="72">
        <f t="shared" si="355"/>
        <v>1019512.3863812225</v>
      </c>
      <c r="BP74" s="72">
        <f t="shared" si="355"/>
        <v>1021612.4149722444</v>
      </c>
      <c r="BQ74" s="72">
        <f t="shared" si="355"/>
        <v>1023716.7692783257</v>
      </c>
      <c r="BR74" s="72">
        <f t="shared" ref="BR74:CW74" si="356">-IF(BR$35&gt;$E45,BR$157*($E44/Rentable_Sq_M)*IF(AND(BR$35&gt;$E47,BR$35&lt;=$E56),Renewal_Probability,1),0)</f>
        <v>1025825.4582097317</v>
      </c>
      <c r="BS74" s="72">
        <f t="shared" si="356"/>
        <v>1027938.49069508</v>
      </c>
      <c r="BT74" s="72">
        <f t="shared" si="356"/>
        <v>1030055.8756813812</v>
      </c>
      <c r="BU74" s="72">
        <f t="shared" si="356"/>
        <v>1032177.6221340742</v>
      </c>
      <c r="BV74" s="72">
        <f t="shared" si="356"/>
        <v>1034303.7390370661</v>
      </c>
      <c r="BW74" s="72">
        <f t="shared" si="356"/>
        <v>1036434.2353927688</v>
      </c>
      <c r="BX74" s="72">
        <f t="shared" si="356"/>
        <v>1038569.1202221374</v>
      </c>
      <c r="BY74" s="72">
        <f t="shared" si="356"/>
        <v>1040708.4025647098</v>
      </c>
      <c r="BZ74" s="72">
        <f t="shared" si="356"/>
        <v>1042852.0914786425</v>
      </c>
      <c r="CA74" s="72">
        <f t="shared" si="356"/>
        <v>1045000.1960407516</v>
      </c>
      <c r="CB74" s="72">
        <f t="shared" si="356"/>
        <v>1047152.7253465493</v>
      </c>
      <c r="CC74" s="72">
        <f t="shared" si="356"/>
        <v>1049309.6885102829</v>
      </c>
      <c r="CD74" s="72">
        <f t="shared" si="356"/>
        <v>1051471.0946649737</v>
      </c>
      <c r="CE74" s="72">
        <f t="shared" si="356"/>
        <v>1053636.9529624558</v>
      </c>
      <c r="CF74" s="72">
        <f t="shared" si="356"/>
        <v>1055807.2725734147</v>
      </c>
      <c r="CG74" s="72">
        <f t="shared" si="356"/>
        <v>1057982.0626874249</v>
      </c>
      <c r="CH74" s="72">
        <f t="shared" si="356"/>
        <v>1060161.3325129917</v>
      </c>
      <c r="CI74" s="72">
        <f t="shared" si="356"/>
        <v>1062345.0912775868</v>
      </c>
      <c r="CJ74" s="72">
        <f t="shared" si="356"/>
        <v>1064533.3482276897</v>
      </c>
      <c r="CK74" s="72">
        <f t="shared" si="356"/>
        <v>1066726.1126288264</v>
      </c>
      <c r="CL74" s="72">
        <f t="shared" si="356"/>
        <v>534461.69688280369</v>
      </c>
      <c r="CM74" s="72">
        <f t="shared" si="356"/>
        <v>535562.60047088459</v>
      </c>
      <c r="CN74" s="72">
        <f t="shared" si="356"/>
        <v>536665.77174010582</v>
      </c>
      <c r="CO74" s="72">
        <f t="shared" si="356"/>
        <v>537771.21536151913</v>
      </c>
      <c r="CP74" s="72">
        <f t="shared" si="356"/>
        <v>538878.93601579824</v>
      </c>
      <c r="CQ74" s="72">
        <f t="shared" si="356"/>
        <v>539988.93839325791</v>
      </c>
      <c r="CR74" s="72">
        <f t="shared" si="356"/>
        <v>541101.22719387431</v>
      </c>
      <c r="CS74" s="72">
        <f t="shared" si="356"/>
        <v>542215.80712730472</v>
      </c>
      <c r="CT74" s="72">
        <f t="shared" si="356"/>
        <v>543332.68291290756</v>
      </c>
      <c r="CU74" s="72">
        <f t="shared" si="356"/>
        <v>1088903.7185595252</v>
      </c>
      <c r="CV74" s="72">
        <f t="shared" si="356"/>
        <v>1091146.6819333807</v>
      </c>
      <c r="CW74" s="72">
        <f t="shared" si="356"/>
        <v>1093394.2654445453</v>
      </c>
      <c r="CX74" s="72">
        <f t="shared" ref="CX74:DI74" si="357">-IF(CX$35&gt;$E45,CX$157*($E44/Rentable_Sq_M)*IF(AND(CX$35&gt;$E47,CX$35&lt;=$E56),Renewal_Probability,1),0)</f>
        <v>1095646.4786097463</v>
      </c>
      <c r="CY74" s="72">
        <f t="shared" si="357"/>
        <v>1097903.330965312</v>
      </c>
      <c r="CZ74" s="72">
        <f t="shared" si="357"/>
        <v>1100164.8320672156</v>
      </c>
      <c r="DA74" s="72">
        <f t="shared" si="357"/>
        <v>1102430.9914911131</v>
      </c>
      <c r="DB74" s="72">
        <f t="shared" si="357"/>
        <v>1104701.8188323849</v>
      </c>
      <c r="DC74" s="72">
        <f t="shared" si="357"/>
        <v>1106977.3237061773</v>
      </c>
      <c r="DD74" s="72">
        <f t="shared" si="357"/>
        <v>1109257.5157474407</v>
      </c>
      <c r="DE74" s="72">
        <f t="shared" si="357"/>
        <v>1111542.4046109729</v>
      </c>
      <c r="DF74" s="72">
        <f t="shared" si="357"/>
        <v>1113831.9999714587</v>
      </c>
      <c r="DG74" s="72">
        <f t="shared" si="357"/>
        <v>1116126.3115235115</v>
      </c>
      <c r="DH74" s="72">
        <f t="shared" si="357"/>
        <v>1118425.3489817134</v>
      </c>
      <c r="DI74" s="72">
        <f t="shared" si="357"/>
        <v>1120729.1220806574</v>
      </c>
    </row>
    <row r="75" spans="2:113" customFormat="1" outlineLevel="1" x14ac:dyDescent="0.25">
      <c r="B75" s="1"/>
      <c r="C75" s="1"/>
      <c r="D75" s="1"/>
      <c r="E75" s="1"/>
      <c r="F75" s="1"/>
      <c r="G75" s="1"/>
      <c r="H75" s="1"/>
      <c r="I75" s="1"/>
      <c r="J75" s="1"/>
      <c r="CL75" s="146"/>
    </row>
    <row r="76" spans="2:113" customFormat="1" outlineLevel="1" x14ac:dyDescent="0.25">
      <c r="B76" s="1"/>
      <c r="C76" s="56" t="s">
        <v>58</v>
      </c>
      <c r="D76" s="57"/>
      <c r="E76" s="58"/>
      <c r="F76" s="58"/>
      <c r="G76" s="58"/>
      <c r="H76" s="58"/>
      <c r="I76" s="58"/>
      <c r="J76" s="58"/>
      <c r="K76" s="58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  <c r="BC76" s="59"/>
      <c r="BD76" s="59"/>
      <c r="BE76" s="59"/>
      <c r="BF76" s="59"/>
      <c r="BG76" s="59"/>
      <c r="BH76" s="59"/>
      <c r="BI76" s="59"/>
      <c r="BJ76" s="59"/>
      <c r="BK76" s="59"/>
      <c r="BL76" s="59"/>
      <c r="BM76" s="59"/>
      <c r="BN76" s="59"/>
      <c r="BO76" s="59"/>
      <c r="BP76" s="59"/>
      <c r="BQ76" s="59"/>
      <c r="BR76" s="59"/>
      <c r="BS76" s="59"/>
      <c r="BT76" s="59"/>
      <c r="BU76" s="59"/>
      <c r="BV76" s="59"/>
      <c r="BW76" s="59"/>
      <c r="BX76" s="59"/>
      <c r="BY76" s="59"/>
      <c r="BZ76" s="59"/>
      <c r="CA76" s="59"/>
      <c r="CB76" s="59"/>
      <c r="CC76" s="59"/>
      <c r="CD76" s="59"/>
      <c r="CE76" s="59"/>
      <c r="CF76" s="59"/>
      <c r="CG76" s="59"/>
      <c r="CH76" s="59"/>
      <c r="CI76" s="59"/>
      <c r="CJ76" s="59"/>
      <c r="CK76" s="59"/>
      <c r="CL76" s="59"/>
      <c r="CM76" s="59"/>
      <c r="CN76" s="59"/>
      <c r="CO76" s="59"/>
      <c r="CP76" s="59"/>
      <c r="CQ76" s="59"/>
      <c r="CR76" s="59"/>
      <c r="CS76" s="59"/>
      <c r="CT76" s="59"/>
      <c r="CU76" s="59"/>
      <c r="CV76" s="59"/>
      <c r="CW76" s="59"/>
      <c r="CX76" s="59"/>
      <c r="CY76" s="59"/>
      <c r="CZ76" s="59"/>
      <c r="DA76" s="59"/>
      <c r="DB76" s="59"/>
      <c r="DC76" s="59"/>
      <c r="DD76" s="59"/>
      <c r="DE76" s="59"/>
      <c r="DF76" s="59"/>
      <c r="DG76" s="59"/>
      <c r="DH76" s="59"/>
      <c r="DI76" s="59"/>
    </row>
    <row r="77" spans="2:113" customFormat="1" outlineLevel="1" x14ac:dyDescent="0.25">
      <c r="B77" s="1"/>
      <c r="C77" s="93" t="s">
        <v>243</v>
      </c>
      <c r="D77" s="63" t="s">
        <v>39</v>
      </c>
      <c r="E77" s="14">
        <v>0.28999999999999998</v>
      </c>
      <c r="F77" s="70"/>
      <c r="G77" s="70"/>
      <c r="H77" s="70"/>
      <c r="I77" s="70"/>
      <c r="J77" s="70"/>
      <c r="K77" s="70"/>
      <c r="L77" s="71"/>
      <c r="M77" s="71"/>
      <c r="N77" s="71"/>
    </row>
    <row r="78" spans="2:113" customFormat="1" outlineLevel="1" x14ac:dyDescent="0.25">
      <c r="B78" s="1"/>
      <c r="C78" s="60" t="s">
        <v>244</v>
      </c>
      <c r="D78" s="65" t="s">
        <v>110</v>
      </c>
      <c r="E78" s="123">
        <f>+E77*Rentable_Sq_M</f>
        <v>24273</v>
      </c>
      <c r="F78" s="1"/>
      <c r="G78" s="1"/>
      <c r="H78" s="1"/>
      <c r="I78" s="1"/>
      <c r="J78" s="1"/>
    </row>
    <row r="79" spans="2:113" customFormat="1" outlineLevel="1" x14ac:dyDescent="0.25">
      <c r="B79" s="1"/>
      <c r="C79" s="60" t="s">
        <v>66</v>
      </c>
      <c r="D79" s="46" t="s">
        <v>34</v>
      </c>
      <c r="E79" s="17">
        <v>43585</v>
      </c>
      <c r="F79" s="1"/>
      <c r="G79" s="1"/>
      <c r="H79" s="1"/>
      <c r="I79" s="1"/>
      <c r="J79" s="1"/>
    </row>
    <row r="80" spans="2:113" customFormat="1" outlineLevel="1" x14ac:dyDescent="0.25">
      <c r="B80" s="1"/>
      <c r="C80" s="60" t="s">
        <v>124</v>
      </c>
      <c r="D80" s="46" t="s">
        <v>42</v>
      </c>
      <c r="E80" s="61">
        <v>4</v>
      </c>
      <c r="F80" s="1"/>
      <c r="G80" s="1"/>
      <c r="H80" s="1"/>
      <c r="I80" s="1"/>
      <c r="J80" s="1"/>
    </row>
    <row r="81" spans="2:113" customFormat="1" outlineLevel="1" x14ac:dyDescent="0.25">
      <c r="B81" s="1"/>
      <c r="C81" s="60" t="s">
        <v>48</v>
      </c>
      <c r="D81" s="46" t="s">
        <v>34</v>
      </c>
      <c r="E81" s="135">
        <f>EOMONTH(E79,E80*Months)</f>
        <v>45046</v>
      </c>
      <c r="F81" s="1"/>
      <c r="G81" s="1"/>
      <c r="H81" s="1"/>
      <c r="I81" s="1"/>
      <c r="J81" s="1"/>
    </row>
    <row r="82" spans="2:113" customFormat="1" outlineLevel="1" x14ac:dyDescent="0.25">
      <c r="B82" s="1"/>
      <c r="C82" s="93" t="s">
        <v>251</v>
      </c>
      <c r="D82" s="48" t="s">
        <v>39</v>
      </c>
      <c r="E82" s="140">
        <f>INDEX(Annual!$F$69:$N$90,22,INDEX($F$5:$DI$9,5,MATCH(E79,$F$5:$DI$5,0)))</f>
        <v>2.2499999999999999E-2</v>
      </c>
      <c r="F82" s="140">
        <f>IF(AND(E$35&gt;$E79,F$35&lt;$E81,MONTH(E$35)=MONTH($E79)),$E82,0)</f>
        <v>0</v>
      </c>
      <c r="G82" s="140">
        <f t="shared" ref="G82" si="358">IF(AND(F$35&gt;$E79,G$35&lt;$E81,MONTH(F$35)=MONTH($E79)),$E82,0)</f>
        <v>0</v>
      </c>
      <c r="H82" s="140">
        <f t="shared" ref="H82" si="359">IF(AND(G$35&gt;$E79,H$35&lt;$E81,MONTH(G$35)=MONTH($E79)),$E82,0)</f>
        <v>0</v>
      </c>
      <c r="I82" s="140">
        <f t="shared" ref="I82" si="360">IF(AND(H$35&gt;$E79,I$35&lt;$E81,MONTH(H$35)=MONTH($E79)),$E82,0)</f>
        <v>0</v>
      </c>
      <c r="J82" s="140">
        <f t="shared" ref="J82" si="361">IF(AND(I$35&gt;$E79,J$35&lt;$E81,MONTH(I$35)=MONTH($E79)),$E82,0)</f>
        <v>0</v>
      </c>
      <c r="K82" s="140">
        <f t="shared" ref="K82" si="362">IF(AND(J$35&gt;$E79,K$35&lt;$E81,MONTH(J$35)=MONTH($E79)),$E82,0)</f>
        <v>0</v>
      </c>
      <c r="L82" s="140">
        <f t="shared" ref="L82" si="363">IF(AND(K$35&gt;$E79,L$35&lt;$E81,MONTH(K$35)=MONTH($E79)),$E82,0)</f>
        <v>0</v>
      </c>
      <c r="M82" s="140">
        <f t="shared" ref="M82" si="364">IF(AND(L$35&gt;$E79,M$35&lt;$E81,MONTH(L$35)=MONTH($E79)),$E82,0)</f>
        <v>0</v>
      </c>
      <c r="N82" s="140">
        <f t="shared" ref="N82" si="365">IF(AND(M$35&gt;$E79,N$35&lt;$E81,MONTH(M$35)=MONTH($E79)),$E82,0)</f>
        <v>0</v>
      </c>
      <c r="O82" s="140">
        <f t="shared" ref="O82" si="366">IF(AND(N$35&gt;$E79,O$35&lt;$E81,MONTH(N$35)=MONTH($E79)),$E82,0)</f>
        <v>0</v>
      </c>
      <c r="P82" s="140">
        <f t="shared" ref="P82" si="367">IF(AND(O$35&gt;$E79,P$35&lt;$E81,MONTH(O$35)=MONTH($E79)),$E82,0)</f>
        <v>0</v>
      </c>
      <c r="Q82" s="140">
        <f t="shared" ref="Q82" si="368">IF(AND(P$35&gt;$E79,Q$35&lt;$E81,MONTH(P$35)=MONTH($E79)),$E82,0)</f>
        <v>0</v>
      </c>
      <c r="R82" s="140">
        <f t="shared" ref="R82" si="369">IF(AND(Q$35&gt;$E79,R$35&lt;$E81,MONTH(Q$35)=MONTH($E79)),$E82,0)</f>
        <v>0</v>
      </c>
      <c r="S82" s="140">
        <f t="shared" ref="S82" si="370">IF(AND(R$35&gt;$E79,S$35&lt;$E81,MONTH(R$35)=MONTH($E79)),$E82,0)</f>
        <v>0</v>
      </c>
      <c r="T82" s="140">
        <f t="shared" ref="T82" si="371">IF(AND(S$35&gt;$E79,T$35&lt;$E81,MONTH(S$35)=MONTH($E79)),$E82,0)</f>
        <v>0</v>
      </c>
      <c r="U82" s="140">
        <f t="shared" ref="U82" si="372">IF(AND(T$35&gt;$E79,U$35&lt;$E81,MONTH(T$35)=MONTH($E79)),$E82,0)</f>
        <v>0</v>
      </c>
      <c r="V82" s="140">
        <f t="shared" ref="V82" si="373">IF(AND(U$35&gt;$E79,V$35&lt;$E81,MONTH(U$35)=MONTH($E79)),$E82,0)</f>
        <v>0</v>
      </c>
      <c r="W82" s="140">
        <f t="shared" ref="W82" si="374">IF(AND(V$35&gt;$E79,W$35&lt;$E81,MONTH(V$35)=MONTH($E79)),$E82,0)</f>
        <v>0</v>
      </c>
      <c r="X82" s="140">
        <f t="shared" ref="X82" si="375">IF(AND(W$35&gt;$E79,X$35&lt;$E81,MONTH(W$35)=MONTH($E79)),$E82,0)</f>
        <v>0</v>
      </c>
      <c r="Y82" s="140">
        <f t="shared" ref="Y82" si="376">IF(AND(X$35&gt;$E79,Y$35&lt;$E81,MONTH(X$35)=MONTH($E79)),$E82,0)</f>
        <v>0</v>
      </c>
      <c r="Z82" s="140">
        <f t="shared" ref="Z82" si="377">IF(AND(Y$35&gt;$E79,Z$35&lt;$E81,MONTH(Y$35)=MONTH($E79)),$E82,0)</f>
        <v>0</v>
      </c>
      <c r="AA82" s="140">
        <f t="shared" ref="AA82" si="378">IF(AND(Z$35&gt;$E79,AA$35&lt;$E81,MONTH(Z$35)=MONTH($E79)),$E82,0)</f>
        <v>0</v>
      </c>
      <c r="AB82" s="140">
        <f t="shared" ref="AB82" si="379">IF(AND(AA$35&gt;$E79,AB$35&lt;$E81,MONTH(AA$35)=MONTH($E79)),$E82,0)</f>
        <v>0</v>
      </c>
      <c r="AC82" s="140">
        <f t="shared" ref="AC82" si="380">IF(AND(AB$35&gt;$E79,AC$35&lt;$E81,MONTH(AB$35)=MONTH($E79)),$E82,0)</f>
        <v>0</v>
      </c>
      <c r="AD82" s="140">
        <f t="shared" ref="AD82" si="381">IF(AND(AC$35&gt;$E79,AD$35&lt;$E81,MONTH(AC$35)=MONTH($E79)),$E82,0)</f>
        <v>0</v>
      </c>
      <c r="AE82" s="140">
        <f t="shared" ref="AE82" si="382">IF(AND(AD$35&gt;$E79,AE$35&lt;$E81,MONTH(AD$35)=MONTH($E79)),$E82,0)</f>
        <v>0</v>
      </c>
      <c r="AF82" s="140">
        <f t="shared" ref="AF82" si="383">IF(AND(AE$35&gt;$E79,AF$35&lt;$E81,MONTH(AE$35)=MONTH($E79)),$E82,0)</f>
        <v>0</v>
      </c>
      <c r="AG82" s="140">
        <f t="shared" ref="AG82" si="384">IF(AND(AF$35&gt;$E79,AG$35&lt;$E81,MONTH(AF$35)=MONTH($E79)),$E82,0)</f>
        <v>0</v>
      </c>
      <c r="AH82" s="140">
        <f t="shared" ref="AH82" si="385">IF(AND(AG$35&gt;$E79,AH$35&lt;$E81,MONTH(AG$35)=MONTH($E79)),$E82,0)</f>
        <v>0</v>
      </c>
      <c r="AI82" s="140">
        <f t="shared" ref="AI82" si="386">IF(AND(AH$35&gt;$E79,AI$35&lt;$E81,MONTH(AH$35)=MONTH($E79)),$E82,0)</f>
        <v>0</v>
      </c>
      <c r="AJ82" s="140">
        <f t="shared" ref="AJ82" si="387">IF(AND(AI$35&gt;$E79,AJ$35&lt;$E81,MONTH(AI$35)=MONTH($E79)),$E82,0)</f>
        <v>0</v>
      </c>
      <c r="AK82" s="140">
        <f t="shared" ref="AK82" si="388">IF(AND(AJ$35&gt;$E79,AK$35&lt;$E81,MONTH(AJ$35)=MONTH($E79)),$E82,0)</f>
        <v>0</v>
      </c>
      <c r="AL82" s="140">
        <f t="shared" ref="AL82" si="389">IF(AND(AK$35&gt;$E79,AL$35&lt;$E81,MONTH(AK$35)=MONTH($E79)),$E82,0)</f>
        <v>0</v>
      </c>
      <c r="AM82" s="140">
        <f t="shared" ref="AM82" si="390">IF(AND(AL$35&gt;$E79,AM$35&lt;$E81,MONTH(AL$35)=MONTH($E79)),$E82,0)</f>
        <v>0</v>
      </c>
      <c r="AN82" s="140">
        <f t="shared" ref="AN82" si="391">IF(AND(AM$35&gt;$E79,AN$35&lt;$E81,MONTH(AM$35)=MONTH($E79)),$E82,0)</f>
        <v>0</v>
      </c>
      <c r="AO82" s="140">
        <f t="shared" ref="AO82" si="392">IF(AND(AN$35&gt;$E79,AO$35&lt;$E81,MONTH(AN$35)=MONTH($E79)),$E82,0)</f>
        <v>0</v>
      </c>
      <c r="AP82" s="140">
        <f t="shared" ref="AP82" si="393">IF(AND(AO$35&gt;$E79,AP$35&lt;$E81,MONTH(AO$35)=MONTH($E79)),$E82,0)</f>
        <v>0</v>
      </c>
      <c r="AQ82" s="140">
        <f t="shared" ref="AQ82" si="394">IF(AND(AP$35&gt;$E79,AQ$35&lt;$E81,MONTH(AP$35)=MONTH($E79)),$E82,0)</f>
        <v>0</v>
      </c>
      <c r="AR82" s="140">
        <f t="shared" ref="AR82" si="395">IF(AND(AQ$35&gt;$E79,AR$35&lt;$E81,MONTH(AQ$35)=MONTH($E79)),$E82,0)</f>
        <v>0</v>
      </c>
      <c r="AS82" s="140">
        <f t="shared" ref="AS82" si="396">IF(AND(AR$35&gt;$E79,AS$35&lt;$E81,MONTH(AR$35)=MONTH($E79)),$E82,0)</f>
        <v>0</v>
      </c>
      <c r="AT82" s="140">
        <f t="shared" ref="AT82" si="397">IF(AND(AS$35&gt;$E79,AT$35&lt;$E81,MONTH(AS$35)=MONTH($E79)),$E82,0)</f>
        <v>0</v>
      </c>
      <c r="AU82" s="140">
        <f t="shared" ref="AU82" si="398">IF(AND(AT$35&gt;$E79,AU$35&lt;$E81,MONTH(AT$35)=MONTH($E79)),$E82,0)</f>
        <v>0</v>
      </c>
      <c r="AV82" s="140">
        <f t="shared" ref="AV82" si="399">IF(AND(AU$35&gt;$E79,AV$35&lt;$E81,MONTH(AU$35)=MONTH($E79)),$E82,0)</f>
        <v>0</v>
      </c>
      <c r="AW82" s="140">
        <f t="shared" ref="AW82" si="400">IF(AND(AV$35&gt;$E79,AW$35&lt;$E81,MONTH(AV$35)=MONTH($E79)),$E82,0)</f>
        <v>0</v>
      </c>
      <c r="AX82" s="140">
        <f t="shared" ref="AX82" si="401">IF(AND(AW$35&gt;$E79,AX$35&lt;$E81,MONTH(AW$35)=MONTH($E79)),$E82,0)</f>
        <v>0</v>
      </c>
      <c r="AY82" s="140">
        <f t="shared" ref="AY82" si="402">IF(AND(AX$35&gt;$E79,AY$35&lt;$E81,MONTH(AX$35)=MONTH($E79)),$E82,0)</f>
        <v>0</v>
      </c>
      <c r="AZ82" s="140">
        <f t="shared" ref="AZ82" si="403">IF(AND(AY$35&gt;$E79,AZ$35&lt;$E81,MONTH(AY$35)=MONTH($E79)),$E82,0)</f>
        <v>0</v>
      </c>
      <c r="BA82" s="140">
        <f t="shared" ref="BA82" si="404">IF(AND(AZ$35&gt;$E79,BA$35&lt;$E81,MONTH(AZ$35)=MONTH($E79)),$E82,0)</f>
        <v>0</v>
      </c>
      <c r="BB82" s="140">
        <f t="shared" ref="BB82" si="405">IF(AND(BA$35&gt;$E79,BB$35&lt;$E81,MONTH(BA$35)=MONTH($E79)),$E82,0)</f>
        <v>0</v>
      </c>
      <c r="BC82" s="140">
        <f t="shared" ref="BC82" si="406">IF(AND(BB$35&gt;$E79,BC$35&lt;$E81,MONTH(BB$35)=MONTH($E79)),$E82,0)</f>
        <v>0</v>
      </c>
      <c r="BD82" s="140">
        <f t="shared" ref="BD82" si="407">IF(AND(BC$35&gt;$E79,BD$35&lt;$E81,MONTH(BC$35)=MONTH($E79)),$E82,0)</f>
        <v>0</v>
      </c>
      <c r="BE82" s="140">
        <f t="shared" ref="BE82" si="408">IF(AND(BD$35&gt;$E79,BE$35&lt;$E81,MONTH(BD$35)=MONTH($E79)),$E82,0)</f>
        <v>0</v>
      </c>
      <c r="BF82" s="140">
        <f t="shared" ref="BF82" si="409">IF(AND(BE$35&gt;$E79,BF$35&lt;$E81,MONTH(BE$35)=MONTH($E79)),$E82,0)</f>
        <v>0</v>
      </c>
      <c r="BG82" s="140">
        <f t="shared" ref="BG82" si="410">IF(AND(BF$35&gt;$E79,BG$35&lt;$E81,MONTH(BF$35)=MONTH($E79)),$E82,0)</f>
        <v>0</v>
      </c>
      <c r="BH82" s="140">
        <f t="shared" ref="BH82" si="411">IF(AND(BG$35&gt;$E79,BH$35&lt;$E81,MONTH(BG$35)=MONTH($E79)),$E82,0)</f>
        <v>0</v>
      </c>
      <c r="BI82" s="140">
        <f t="shared" ref="BI82" si="412">IF(AND(BH$35&gt;$E79,BI$35&lt;$E81,MONTH(BH$35)=MONTH($E79)),$E82,0)</f>
        <v>0</v>
      </c>
      <c r="BJ82" s="140">
        <f t="shared" ref="BJ82" si="413">IF(AND(BI$35&gt;$E79,BJ$35&lt;$E81,MONTH(BI$35)=MONTH($E79)),$E82,0)</f>
        <v>0</v>
      </c>
      <c r="BK82" s="140">
        <f t="shared" ref="BK82" si="414">IF(AND(BJ$35&gt;$E79,BK$35&lt;$E81,MONTH(BJ$35)=MONTH($E79)),$E82,0)</f>
        <v>0</v>
      </c>
      <c r="BL82" s="140">
        <f t="shared" ref="BL82" si="415">IF(AND(BK$35&gt;$E79,BL$35&lt;$E81,MONTH(BK$35)=MONTH($E79)),$E82,0)</f>
        <v>0</v>
      </c>
      <c r="BM82" s="140">
        <f t="shared" ref="BM82" si="416">IF(AND(BL$35&gt;$E79,BM$35&lt;$E81,MONTH(BL$35)=MONTH($E79)),$E82,0)</f>
        <v>0</v>
      </c>
      <c r="BN82" s="140">
        <f t="shared" ref="BN82" si="417">IF(AND(BM$35&gt;$E79,BN$35&lt;$E81,MONTH(BM$35)=MONTH($E79)),$E82,0)</f>
        <v>2.2499999999999999E-2</v>
      </c>
      <c r="BO82" s="140">
        <f t="shared" ref="BO82" si="418">IF(AND(BN$35&gt;$E79,BO$35&lt;$E81,MONTH(BN$35)=MONTH($E79)),$E82,0)</f>
        <v>0</v>
      </c>
      <c r="BP82" s="140">
        <f t="shared" ref="BP82" si="419">IF(AND(BO$35&gt;$E79,BP$35&lt;$E81,MONTH(BO$35)=MONTH($E79)),$E82,0)</f>
        <v>0</v>
      </c>
      <c r="BQ82" s="140">
        <f t="shared" ref="BQ82" si="420">IF(AND(BP$35&gt;$E79,BQ$35&lt;$E81,MONTH(BP$35)=MONTH($E79)),$E82,0)</f>
        <v>0</v>
      </c>
      <c r="BR82" s="140">
        <f t="shared" ref="BR82" si="421">IF(AND(BQ$35&gt;$E79,BR$35&lt;$E81,MONTH(BQ$35)=MONTH($E79)),$E82,0)</f>
        <v>0</v>
      </c>
      <c r="BS82" s="140">
        <f t="shared" ref="BS82" si="422">IF(AND(BR$35&gt;$E79,BS$35&lt;$E81,MONTH(BR$35)=MONTH($E79)),$E82,0)</f>
        <v>0</v>
      </c>
      <c r="BT82" s="140">
        <f t="shared" ref="BT82" si="423">IF(AND(BS$35&gt;$E79,BT$35&lt;$E81,MONTH(BS$35)=MONTH($E79)),$E82,0)</f>
        <v>0</v>
      </c>
      <c r="BU82" s="140">
        <f t="shared" ref="BU82" si="424">IF(AND(BT$35&gt;$E79,BU$35&lt;$E81,MONTH(BT$35)=MONTH($E79)),$E82,0)</f>
        <v>0</v>
      </c>
      <c r="BV82" s="140">
        <f t="shared" ref="BV82" si="425">IF(AND(BU$35&gt;$E79,BV$35&lt;$E81,MONTH(BU$35)=MONTH($E79)),$E82,0)</f>
        <v>0</v>
      </c>
      <c r="BW82" s="140">
        <f t="shared" ref="BW82" si="426">IF(AND(BV$35&gt;$E79,BW$35&lt;$E81,MONTH(BV$35)=MONTH($E79)),$E82,0)</f>
        <v>0</v>
      </c>
      <c r="BX82" s="140">
        <f t="shared" ref="BX82" si="427">IF(AND(BW$35&gt;$E79,BX$35&lt;$E81,MONTH(BW$35)=MONTH($E79)),$E82,0)</f>
        <v>0</v>
      </c>
      <c r="BY82" s="140">
        <f t="shared" ref="BY82" si="428">IF(AND(BX$35&gt;$E79,BY$35&lt;$E81,MONTH(BX$35)=MONTH($E79)),$E82,0)</f>
        <v>0</v>
      </c>
      <c r="BZ82" s="140">
        <f t="shared" ref="BZ82" si="429">IF(AND(BY$35&gt;$E79,BZ$35&lt;$E81,MONTH(BY$35)=MONTH($E79)),$E82,0)</f>
        <v>2.2499999999999999E-2</v>
      </c>
      <c r="CA82" s="140">
        <f t="shared" ref="CA82" si="430">IF(AND(BZ$35&gt;$E79,CA$35&lt;$E81,MONTH(BZ$35)=MONTH($E79)),$E82,0)</f>
        <v>0</v>
      </c>
      <c r="CB82" s="140">
        <f t="shared" ref="CB82" si="431">IF(AND(CA$35&gt;$E79,CB$35&lt;$E81,MONTH(CA$35)=MONTH($E79)),$E82,0)</f>
        <v>0</v>
      </c>
      <c r="CC82" s="140">
        <f t="shared" ref="CC82" si="432">IF(AND(CB$35&gt;$E79,CC$35&lt;$E81,MONTH(CB$35)=MONTH($E79)),$E82,0)</f>
        <v>0</v>
      </c>
      <c r="CD82" s="140">
        <f t="shared" ref="CD82" si="433">IF(AND(CC$35&gt;$E79,CD$35&lt;$E81,MONTH(CC$35)=MONTH($E79)),$E82,0)</f>
        <v>0</v>
      </c>
      <c r="CE82" s="140">
        <f t="shared" ref="CE82" si="434">IF(AND(CD$35&gt;$E79,CE$35&lt;$E81,MONTH(CD$35)=MONTH($E79)),$E82,0)</f>
        <v>0</v>
      </c>
      <c r="CF82" s="140">
        <f t="shared" ref="CF82" si="435">IF(AND(CE$35&gt;$E79,CF$35&lt;$E81,MONTH(CE$35)=MONTH($E79)),$E82,0)</f>
        <v>0</v>
      </c>
      <c r="CG82" s="140">
        <f t="shared" ref="CG82" si="436">IF(AND(CF$35&gt;$E79,CG$35&lt;$E81,MONTH(CF$35)=MONTH($E79)),$E82,0)</f>
        <v>0</v>
      </c>
      <c r="CH82" s="140">
        <f t="shared" ref="CH82" si="437">IF(AND(CG$35&gt;$E79,CH$35&lt;$E81,MONTH(CG$35)=MONTH($E79)),$E82,0)</f>
        <v>0</v>
      </c>
      <c r="CI82" s="140">
        <f t="shared" ref="CI82" si="438">IF(AND(CH$35&gt;$E79,CI$35&lt;$E81,MONTH(CH$35)=MONTH($E79)),$E82,0)</f>
        <v>0</v>
      </c>
      <c r="CJ82" s="140">
        <f t="shared" ref="CJ82" si="439">IF(AND(CI$35&gt;$E79,CJ$35&lt;$E81,MONTH(CI$35)=MONTH($E79)),$E82,0)</f>
        <v>0</v>
      </c>
      <c r="CK82" s="140">
        <f t="shared" ref="CK82" si="440">IF(AND(CJ$35&gt;$E79,CK$35&lt;$E81,MONTH(CJ$35)=MONTH($E79)),$E82,0)</f>
        <v>0</v>
      </c>
      <c r="CL82" s="140">
        <f t="shared" ref="CL82" si="441">IF(AND(CK$35&gt;$E79,CL$35&lt;$E81,MONTH(CK$35)=MONTH($E79)),$E82,0)</f>
        <v>2.2499999999999999E-2</v>
      </c>
      <c r="CM82" s="140">
        <f t="shared" ref="CM82" si="442">IF(AND(CL$35&gt;$E79,CM$35&lt;$E81,MONTH(CL$35)=MONTH($E79)),$E82,0)</f>
        <v>0</v>
      </c>
      <c r="CN82" s="140">
        <f t="shared" ref="CN82" si="443">IF(AND(CM$35&gt;$E79,CN$35&lt;$E81,MONTH(CM$35)=MONTH($E79)),$E82,0)</f>
        <v>0</v>
      </c>
      <c r="CO82" s="140">
        <f t="shared" ref="CO82" si="444">IF(AND(CN$35&gt;$E79,CO$35&lt;$E81,MONTH(CN$35)=MONTH($E79)),$E82,0)</f>
        <v>0</v>
      </c>
      <c r="CP82" s="140">
        <f t="shared" ref="CP82" si="445">IF(AND(CO$35&gt;$E79,CP$35&lt;$E81,MONTH(CO$35)=MONTH($E79)),$E82,0)</f>
        <v>0</v>
      </c>
      <c r="CQ82" s="140">
        <f t="shared" ref="CQ82" si="446">IF(AND(CP$35&gt;$E79,CQ$35&lt;$E81,MONTH(CP$35)=MONTH($E79)),$E82,0)</f>
        <v>0</v>
      </c>
      <c r="CR82" s="140">
        <f t="shared" ref="CR82" si="447">IF(AND(CQ$35&gt;$E79,CR$35&lt;$E81,MONTH(CQ$35)=MONTH($E79)),$E82,0)</f>
        <v>0</v>
      </c>
      <c r="CS82" s="140">
        <f t="shared" ref="CS82" si="448">IF(AND(CR$35&gt;$E79,CS$35&lt;$E81,MONTH(CR$35)=MONTH($E79)),$E82,0)</f>
        <v>0</v>
      </c>
      <c r="CT82" s="140">
        <f t="shared" ref="CT82" si="449">IF(AND(CS$35&gt;$E79,CT$35&lt;$E81,MONTH(CS$35)=MONTH($E79)),$E82,0)</f>
        <v>0</v>
      </c>
      <c r="CU82" s="140">
        <f t="shared" ref="CU82" si="450">IF(AND(CT$35&gt;$E79,CU$35&lt;$E81,MONTH(CT$35)=MONTH($E79)),$E82,0)</f>
        <v>0</v>
      </c>
      <c r="CV82" s="140">
        <f t="shared" ref="CV82" si="451">IF(AND(CU$35&gt;$E79,CV$35&lt;$E81,MONTH(CU$35)=MONTH($E79)),$E82,0)</f>
        <v>0</v>
      </c>
      <c r="CW82" s="140">
        <f t="shared" ref="CW82" si="452">IF(AND(CV$35&gt;$E79,CW$35&lt;$E81,MONTH(CV$35)=MONTH($E79)),$E82,0)</f>
        <v>0</v>
      </c>
      <c r="CX82" s="140">
        <f t="shared" ref="CX82" si="453">IF(AND(CW$35&gt;$E79,CX$35&lt;$E81,MONTH(CW$35)=MONTH($E79)),$E82,0)</f>
        <v>0</v>
      </c>
      <c r="CY82" s="140">
        <f t="shared" ref="CY82" si="454">IF(AND(CX$35&gt;$E79,CY$35&lt;$E81,MONTH(CX$35)=MONTH($E79)),$E82,0)</f>
        <v>0</v>
      </c>
      <c r="CZ82" s="140">
        <f t="shared" ref="CZ82" si="455">IF(AND(CY$35&gt;$E79,CZ$35&lt;$E81,MONTH(CY$35)=MONTH($E79)),$E82,0)</f>
        <v>0</v>
      </c>
      <c r="DA82" s="140">
        <f t="shared" ref="DA82" si="456">IF(AND(CZ$35&gt;$E79,DA$35&lt;$E81,MONTH(CZ$35)=MONTH($E79)),$E82,0)</f>
        <v>0</v>
      </c>
      <c r="DB82" s="140">
        <f t="shared" ref="DB82" si="457">IF(AND(DA$35&gt;$E79,DB$35&lt;$E81,MONTH(DA$35)=MONTH($E79)),$E82,0)</f>
        <v>0</v>
      </c>
      <c r="DC82" s="140">
        <f t="shared" ref="DC82" si="458">IF(AND(DB$35&gt;$E79,DC$35&lt;$E81,MONTH(DB$35)=MONTH($E79)),$E82,0)</f>
        <v>0</v>
      </c>
      <c r="DD82" s="140">
        <f t="shared" ref="DD82" si="459">IF(AND(DC$35&gt;$E79,DD$35&lt;$E81,MONTH(DC$35)=MONTH($E79)),$E82,0)</f>
        <v>0</v>
      </c>
      <c r="DE82" s="140">
        <f t="shared" ref="DE82" si="460">IF(AND(DD$35&gt;$E79,DE$35&lt;$E81,MONTH(DD$35)=MONTH($E79)),$E82,0)</f>
        <v>0</v>
      </c>
      <c r="DF82" s="140">
        <f t="shared" ref="DF82" si="461">IF(AND(DE$35&gt;$E79,DF$35&lt;$E81,MONTH(DE$35)=MONTH($E79)),$E82,0)</f>
        <v>0</v>
      </c>
      <c r="DG82" s="140">
        <f t="shared" ref="DG82" si="462">IF(AND(DF$35&gt;$E79,DG$35&lt;$E81,MONTH(DF$35)=MONTH($E79)),$E82,0)</f>
        <v>0</v>
      </c>
      <c r="DH82" s="140">
        <f t="shared" ref="DH82" si="463">IF(AND(DG$35&gt;$E79,DH$35&lt;$E81,MONTH(DG$35)=MONTH($E79)),$E82,0)</f>
        <v>0</v>
      </c>
      <c r="DI82" s="140">
        <f t="shared" ref="DI82" si="464">IF(AND(DH$35&gt;$E79,DI$35&lt;$E81,MONTH(DH$35)=MONTH($E79)),$E82,0)</f>
        <v>0</v>
      </c>
    </row>
    <row r="83" spans="2:113" customFormat="1" outlineLevel="1" x14ac:dyDescent="0.25">
      <c r="B83" s="1"/>
      <c r="C83" s="93" t="s">
        <v>269</v>
      </c>
      <c r="D83" s="46" t="s">
        <v>44</v>
      </c>
      <c r="E83" s="61">
        <v>9</v>
      </c>
      <c r="F83" s="1"/>
      <c r="G83" s="1"/>
      <c r="H83" s="1"/>
      <c r="I83" s="1"/>
      <c r="J83" s="1"/>
      <c r="AP83" s="72"/>
      <c r="CL83" s="72"/>
      <c r="CM83" s="72"/>
      <c r="CN83" s="72"/>
      <c r="CO83" s="72"/>
      <c r="CP83" s="72"/>
      <c r="CR83" s="72"/>
    </row>
    <row r="84" spans="2:113" customFormat="1" outlineLevel="1" x14ac:dyDescent="0.25">
      <c r="B84" s="1"/>
      <c r="C84" s="54"/>
      <c r="D84" s="66"/>
      <c r="E84" s="1"/>
      <c r="F84" s="1"/>
      <c r="G84" s="1"/>
      <c r="H84" s="1"/>
      <c r="I84" s="1"/>
      <c r="J84" s="1"/>
      <c r="AP84" s="72"/>
      <c r="CL84" s="72"/>
      <c r="CM84" s="72"/>
      <c r="CN84" s="72"/>
      <c r="CO84" s="72"/>
      <c r="CP84" s="72"/>
      <c r="CR84" s="72"/>
    </row>
    <row r="85" spans="2:113" customFormat="1" outlineLevel="1" x14ac:dyDescent="0.25">
      <c r="B85" s="1"/>
      <c r="C85" s="93" t="s">
        <v>256</v>
      </c>
      <c r="D85" s="46" t="s">
        <v>34</v>
      </c>
      <c r="E85" s="225">
        <f>E81</f>
        <v>45046</v>
      </c>
      <c r="F85" s="1"/>
      <c r="G85" s="1"/>
      <c r="H85" s="1"/>
      <c r="I85" s="1"/>
      <c r="J85" s="1"/>
      <c r="AP85" s="72"/>
      <c r="CL85" s="72"/>
      <c r="CM85" s="72"/>
      <c r="CN85" s="72"/>
      <c r="CO85" s="72"/>
      <c r="CP85" s="72"/>
      <c r="CR85" s="72"/>
    </row>
    <row r="86" spans="2:113" customFormat="1" outlineLevel="1" x14ac:dyDescent="0.25">
      <c r="B86" s="1"/>
      <c r="C86" s="93" t="s">
        <v>258</v>
      </c>
      <c r="D86" s="46" t="s">
        <v>42</v>
      </c>
      <c r="E86" s="226">
        <f>New_Lease_Years</f>
        <v>5</v>
      </c>
      <c r="F86" s="1"/>
      <c r="G86" s="1"/>
      <c r="H86" s="1"/>
      <c r="I86" s="1"/>
      <c r="J86" s="1"/>
      <c r="AP86" s="72"/>
      <c r="CL86" s="72"/>
      <c r="CM86" s="72"/>
      <c r="CN86" s="72"/>
      <c r="CO86" s="72"/>
      <c r="CP86" s="72"/>
      <c r="CR86" s="72"/>
    </row>
    <row r="87" spans="2:113" customFormat="1" outlineLevel="1" x14ac:dyDescent="0.25">
      <c r="B87" s="1"/>
      <c r="C87" s="60" t="s">
        <v>259</v>
      </c>
      <c r="D87" s="46" t="s">
        <v>34</v>
      </c>
      <c r="E87" s="225">
        <f>EOMONTH(E85,E86*Months)</f>
        <v>46873</v>
      </c>
      <c r="F87" s="1"/>
      <c r="G87" s="1"/>
      <c r="H87" s="1"/>
      <c r="I87" s="1"/>
      <c r="J87" s="1"/>
      <c r="AP87" s="72"/>
      <c r="CL87" s="72"/>
      <c r="CM87" s="72"/>
      <c r="CN87" s="72"/>
      <c r="CO87" s="72"/>
      <c r="CP87" s="72"/>
      <c r="CR87" s="72"/>
    </row>
    <row r="88" spans="2:113" customFormat="1" outlineLevel="1" x14ac:dyDescent="0.25">
      <c r="B88" s="1"/>
      <c r="C88" s="93" t="s">
        <v>257</v>
      </c>
      <c r="D88" s="48" t="s">
        <v>39</v>
      </c>
      <c r="E88" s="140">
        <f>INDEX(Annual!$F$69:$N$90,22,INDEX($F$5:$DI$9,5,MATCH(E85,$F$5:$DI$5,0)))</f>
        <v>2.5000000000000001E-2</v>
      </c>
      <c r="F88" s="140">
        <f>IF(AND(E$35&gt;$E85,F$35&lt;$E87,MONTH(E$35)=MONTH($E85)),$E88,0)</f>
        <v>0</v>
      </c>
      <c r="G88" s="140">
        <f t="shared" ref="G88" si="465">IF(AND(F$35&gt;$E85,G$35&lt;$E87,MONTH(F$35)=MONTH($E85)),$E88,0)</f>
        <v>0</v>
      </c>
      <c r="H88" s="140">
        <f t="shared" ref="H88" si="466">IF(AND(G$35&gt;$E85,H$35&lt;$E87,MONTH(G$35)=MONTH($E85)),$E88,0)</f>
        <v>0</v>
      </c>
      <c r="I88" s="140">
        <f t="shared" ref="I88" si="467">IF(AND(H$35&gt;$E85,I$35&lt;$E87,MONTH(H$35)=MONTH($E85)),$E88,0)</f>
        <v>0</v>
      </c>
      <c r="J88" s="140">
        <f t="shared" ref="J88" si="468">IF(AND(I$35&gt;$E85,J$35&lt;$E87,MONTH(I$35)=MONTH($E85)),$E88,0)</f>
        <v>0</v>
      </c>
      <c r="K88" s="140">
        <f t="shared" ref="K88" si="469">IF(AND(J$35&gt;$E85,K$35&lt;$E87,MONTH(J$35)=MONTH($E85)),$E88,0)</f>
        <v>0</v>
      </c>
      <c r="L88" s="140">
        <f t="shared" ref="L88" si="470">IF(AND(K$35&gt;$E85,L$35&lt;$E87,MONTH(K$35)=MONTH($E85)),$E88,0)</f>
        <v>0</v>
      </c>
      <c r="M88" s="140">
        <f t="shared" ref="M88" si="471">IF(AND(L$35&gt;$E85,M$35&lt;$E87,MONTH(L$35)=MONTH($E85)),$E88,0)</f>
        <v>0</v>
      </c>
      <c r="N88" s="140">
        <f t="shared" ref="N88" si="472">IF(AND(M$35&gt;$E85,N$35&lt;$E87,MONTH(M$35)=MONTH($E85)),$E88,0)</f>
        <v>0</v>
      </c>
      <c r="O88" s="140">
        <f t="shared" ref="O88" si="473">IF(AND(N$35&gt;$E85,O$35&lt;$E87,MONTH(N$35)=MONTH($E85)),$E88,0)</f>
        <v>0</v>
      </c>
      <c r="P88" s="140">
        <f t="shared" ref="P88" si="474">IF(AND(O$35&gt;$E85,P$35&lt;$E87,MONTH(O$35)=MONTH($E85)),$E88,0)</f>
        <v>0</v>
      </c>
      <c r="Q88" s="140">
        <f t="shared" ref="Q88" si="475">IF(AND(P$35&gt;$E85,Q$35&lt;$E87,MONTH(P$35)=MONTH($E85)),$E88,0)</f>
        <v>0</v>
      </c>
      <c r="R88" s="140">
        <f t="shared" ref="R88" si="476">IF(AND(Q$35&gt;$E85,R$35&lt;$E87,MONTH(Q$35)=MONTH($E85)),$E88,0)</f>
        <v>0</v>
      </c>
      <c r="S88" s="140">
        <f t="shared" ref="S88" si="477">IF(AND(R$35&gt;$E85,S$35&lt;$E87,MONTH(R$35)=MONTH($E85)),$E88,0)</f>
        <v>0</v>
      </c>
      <c r="T88" s="140">
        <f t="shared" ref="T88" si="478">IF(AND(S$35&gt;$E85,T$35&lt;$E87,MONTH(S$35)=MONTH($E85)),$E88,0)</f>
        <v>0</v>
      </c>
      <c r="U88" s="140">
        <f t="shared" ref="U88" si="479">IF(AND(T$35&gt;$E85,U$35&lt;$E87,MONTH(T$35)=MONTH($E85)),$E88,0)</f>
        <v>0</v>
      </c>
      <c r="V88" s="140">
        <f t="shared" ref="V88" si="480">IF(AND(U$35&gt;$E85,V$35&lt;$E87,MONTH(U$35)=MONTH($E85)),$E88,0)</f>
        <v>0</v>
      </c>
      <c r="W88" s="140">
        <f t="shared" ref="W88" si="481">IF(AND(V$35&gt;$E85,W$35&lt;$E87,MONTH(V$35)=MONTH($E85)),$E88,0)</f>
        <v>0</v>
      </c>
      <c r="X88" s="140">
        <f t="shared" ref="X88" si="482">IF(AND(W$35&gt;$E85,X$35&lt;$E87,MONTH(W$35)=MONTH($E85)),$E88,0)</f>
        <v>0</v>
      </c>
      <c r="Y88" s="140">
        <f t="shared" ref="Y88" si="483">IF(AND(X$35&gt;$E85,Y$35&lt;$E87,MONTH(X$35)=MONTH($E85)),$E88,0)</f>
        <v>0</v>
      </c>
      <c r="Z88" s="140">
        <f t="shared" ref="Z88" si="484">IF(AND(Y$35&gt;$E85,Z$35&lt;$E87,MONTH(Y$35)=MONTH($E85)),$E88,0)</f>
        <v>0</v>
      </c>
      <c r="AA88" s="140">
        <f t="shared" ref="AA88" si="485">IF(AND(Z$35&gt;$E85,AA$35&lt;$E87,MONTH(Z$35)=MONTH($E85)),$E88,0)</f>
        <v>0</v>
      </c>
      <c r="AB88" s="140">
        <f t="shared" ref="AB88" si="486">IF(AND(AA$35&gt;$E85,AB$35&lt;$E87,MONTH(AA$35)=MONTH($E85)),$E88,0)</f>
        <v>0</v>
      </c>
      <c r="AC88" s="140">
        <f t="shared" ref="AC88" si="487">IF(AND(AB$35&gt;$E85,AC$35&lt;$E87,MONTH(AB$35)=MONTH($E85)),$E88,0)</f>
        <v>0</v>
      </c>
      <c r="AD88" s="140">
        <f t="shared" ref="AD88" si="488">IF(AND(AC$35&gt;$E85,AD$35&lt;$E87,MONTH(AC$35)=MONTH($E85)),$E88,0)</f>
        <v>0</v>
      </c>
      <c r="AE88" s="140">
        <f t="shared" ref="AE88" si="489">IF(AND(AD$35&gt;$E85,AE$35&lt;$E87,MONTH(AD$35)=MONTH($E85)),$E88,0)</f>
        <v>0</v>
      </c>
      <c r="AF88" s="140">
        <f t="shared" ref="AF88" si="490">IF(AND(AE$35&gt;$E85,AF$35&lt;$E87,MONTH(AE$35)=MONTH($E85)),$E88,0)</f>
        <v>0</v>
      </c>
      <c r="AG88" s="140">
        <f t="shared" ref="AG88" si="491">IF(AND(AF$35&gt;$E85,AG$35&lt;$E87,MONTH(AF$35)=MONTH($E85)),$E88,0)</f>
        <v>0</v>
      </c>
      <c r="AH88" s="140">
        <f t="shared" ref="AH88" si="492">IF(AND(AG$35&gt;$E85,AH$35&lt;$E87,MONTH(AG$35)=MONTH($E85)),$E88,0)</f>
        <v>0</v>
      </c>
      <c r="AI88" s="140">
        <f t="shared" ref="AI88" si="493">IF(AND(AH$35&gt;$E85,AI$35&lt;$E87,MONTH(AH$35)=MONTH($E85)),$E88,0)</f>
        <v>0</v>
      </c>
      <c r="AJ88" s="140">
        <f t="shared" ref="AJ88" si="494">IF(AND(AI$35&gt;$E85,AJ$35&lt;$E87,MONTH(AI$35)=MONTH($E85)),$E88,0)</f>
        <v>0</v>
      </c>
      <c r="AK88" s="140">
        <f t="shared" ref="AK88" si="495">IF(AND(AJ$35&gt;$E85,AK$35&lt;$E87,MONTH(AJ$35)=MONTH($E85)),$E88,0)</f>
        <v>0</v>
      </c>
      <c r="AL88" s="140">
        <f t="shared" ref="AL88" si="496">IF(AND(AK$35&gt;$E85,AL$35&lt;$E87,MONTH(AK$35)=MONTH($E85)),$E88,0)</f>
        <v>0</v>
      </c>
      <c r="AM88" s="140">
        <f t="shared" ref="AM88" si="497">IF(AND(AL$35&gt;$E85,AM$35&lt;$E87,MONTH(AL$35)=MONTH($E85)),$E88,0)</f>
        <v>0</v>
      </c>
      <c r="AN88" s="140">
        <f t="shared" ref="AN88" si="498">IF(AND(AM$35&gt;$E85,AN$35&lt;$E87,MONTH(AM$35)=MONTH($E85)),$E88,0)</f>
        <v>0</v>
      </c>
      <c r="AO88" s="140">
        <f t="shared" ref="AO88" si="499">IF(AND(AN$35&gt;$E85,AO$35&lt;$E87,MONTH(AN$35)=MONTH($E85)),$E88,0)</f>
        <v>0</v>
      </c>
      <c r="AP88" s="140">
        <f t="shared" ref="AP88" si="500">IF(AND(AO$35&gt;$E85,AP$35&lt;$E87,MONTH(AO$35)=MONTH($E85)),$E88,0)</f>
        <v>0</v>
      </c>
      <c r="AQ88" s="140">
        <f t="shared" ref="AQ88" si="501">IF(AND(AP$35&gt;$E85,AQ$35&lt;$E87,MONTH(AP$35)=MONTH($E85)),$E88,0)</f>
        <v>0</v>
      </c>
      <c r="AR88" s="140">
        <f t="shared" ref="AR88" si="502">IF(AND(AQ$35&gt;$E85,AR$35&lt;$E87,MONTH(AQ$35)=MONTH($E85)),$E88,0)</f>
        <v>0</v>
      </c>
      <c r="AS88" s="140">
        <f t="shared" ref="AS88" si="503">IF(AND(AR$35&gt;$E85,AS$35&lt;$E87,MONTH(AR$35)=MONTH($E85)),$E88,0)</f>
        <v>0</v>
      </c>
      <c r="AT88" s="140">
        <f t="shared" ref="AT88" si="504">IF(AND(AS$35&gt;$E85,AT$35&lt;$E87,MONTH(AS$35)=MONTH($E85)),$E88,0)</f>
        <v>0</v>
      </c>
      <c r="AU88" s="140">
        <f t="shared" ref="AU88" si="505">IF(AND(AT$35&gt;$E85,AU$35&lt;$E87,MONTH(AT$35)=MONTH($E85)),$E88,0)</f>
        <v>0</v>
      </c>
      <c r="AV88" s="140">
        <f t="shared" ref="AV88" si="506">IF(AND(AU$35&gt;$E85,AV$35&lt;$E87,MONTH(AU$35)=MONTH($E85)),$E88,0)</f>
        <v>0</v>
      </c>
      <c r="AW88" s="140">
        <f t="shared" ref="AW88" si="507">IF(AND(AV$35&gt;$E85,AW$35&lt;$E87,MONTH(AV$35)=MONTH($E85)),$E88,0)</f>
        <v>0</v>
      </c>
      <c r="AX88" s="140">
        <f t="shared" ref="AX88" si="508">IF(AND(AW$35&gt;$E85,AX$35&lt;$E87,MONTH(AW$35)=MONTH($E85)),$E88,0)</f>
        <v>0</v>
      </c>
      <c r="AY88" s="140">
        <f t="shared" ref="AY88" si="509">IF(AND(AX$35&gt;$E85,AY$35&lt;$E87,MONTH(AX$35)=MONTH($E85)),$E88,0)</f>
        <v>0</v>
      </c>
      <c r="AZ88" s="140">
        <f t="shared" ref="AZ88" si="510">IF(AND(AY$35&gt;$E85,AZ$35&lt;$E87,MONTH(AY$35)=MONTH($E85)),$E88,0)</f>
        <v>0</v>
      </c>
      <c r="BA88" s="140">
        <f t="shared" ref="BA88" si="511">IF(AND(AZ$35&gt;$E85,BA$35&lt;$E87,MONTH(AZ$35)=MONTH($E85)),$E88,0)</f>
        <v>0</v>
      </c>
      <c r="BB88" s="140">
        <f t="shared" ref="BB88" si="512">IF(AND(BA$35&gt;$E85,BB$35&lt;$E87,MONTH(BA$35)=MONTH($E85)),$E88,0)</f>
        <v>0</v>
      </c>
      <c r="BC88" s="140">
        <f t="shared" ref="BC88" si="513">IF(AND(BB$35&gt;$E85,BC$35&lt;$E87,MONTH(BB$35)=MONTH($E85)),$E88,0)</f>
        <v>0</v>
      </c>
      <c r="BD88" s="140">
        <f t="shared" ref="BD88" si="514">IF(AND(BC$35&gt;$E85,BD$35&lt;$E87,MONTH(BC$35)=MONTH($E85)),$E88,0)</f>
        <v>0</v>
      </c>
      <c r="BE88" s="140">
        <f t="shared" ref="BE88" si="515">IF(AND(BD$35&gt;$E85,BE$35&lt;$E87,MONTH(BD$35)=MONTH($E85)),$E88,0)</f>
        <v>0</v>
      </c>
      <c r="BF88" s="140">
        <f t="shared" ref="BF88" si="516">IF(AND(BE$35&gt;$E85,BF$35&lt;$E87,MONTH(BE$35)=MONTH($E85)),$E88,0)</f>
        <v>0</v>
      </c>
      <c r="BG88" s="140">
        <f t="shared" ref="BG88" si="517">IF(AND(BF$35&gt;$E85,BG$35&lt;$E87,MONTH(BF$35)=MONTH($E85)),$E88,0)</f>
        <v>0</v>
      </c>
      <c r="BH88" s="140">
        <f t="shared" ref="BH88" si="518">IF(AND(BG$35&gt;$E85,BH$35&lt;$E87,MONTH(BG$35)=MONTH($E85)),$E88,0)</f>
        <v>0</v>
      </c>
      <c r="BI88" s="140">
        <f t="shared" ref="BI88" si="519">IF(AND(BH$35&gt;$E85,BI$35&lt;$E87,MONTH(BH$35)=MONTH($E85)),$E88,0)</f>
        <v>0</v>
      </c>
      <c r="BJ88" s="140">
        <f t="shared" ref="BJ88" si="520">IF(AND(BI$35&gt;$E85,BJ$35&lt;$E87,MONTH(BI$35)=MONTH($E85)),$E88,0)</f>
        <v>0</v>
      </c>
      <c r="BK88" s="140">
        <f t="shared" ref="BK88" si="521">IF(AND(BJ$35&gt;$E85,BK$35&lt;$E87,MONTH(BJ$35)=MONTH($E85)),$E88,0)</f>
        <v>0</v>
      </c>
      <c r="BL88" s="140">
        <f t="shared" ref="BL88" si="522">IF(AND(BK$35&gt;$E85,BL$35&lt;$E87,MONTH(BK$35)=MONTH($E85)),$E88,0)</f>
        <v>0</v>
      </c>
      <c r="BM88" s="140">
        <f t="shared" ref="BM88" si="523">IF(AND(BL$35&gt;$E85,BM$35&lt;$E87,MONTH(BL$35)=MONTH($E85)),$E88,0)</f>
        <v>0</v>
      </c>
      <c r="BN88" s="140">
        <f t="shared" ref="BN88" si="524">IF(AND(BM$35&gt;$E85,BN$35&lt;$E87,MONTH(BM$35)=MONTH($E85)),$E88,0)</f>
        <v>0</v>
      </c>
      <c r="BO88" s="140">
        <f t="shared" ref="BO88" si="525">IF(AND(BN$35&gt;$E85,BO$35&lt;$E87,MONTH(BN$35)=MONTH($E85)),$E88,0)</f>
        <v>0</v>
      </c>
      <c r="BP88" s="140">
        <f t="shared" ref="BP88" si="526">IF(AND(BO$35&gt;$E85,BP$35&lt;$E87,MONTH(BO$35)=MONTH($E85)),$E88,0)</f>
        <v>0</v>
      </c>
      <c r="BQ88" s="140">
        <f t="shared" ref="BQ88" si="527">IF(AND(BP$35&gt;$E85,BQ$35&lt;$E87,MONTH(BP$35)=MONTH($E85)),$E88,0)</f>
        <v>0</v>
      </c>
      <c r="BR88" s="140">
        <f t="shared" ref="BR88" si="528">IF(AND(BQ$35&gt;$E85,BR$35&lt;$E87,MONTH(BQ$35)=MONTH($E85)),$E88,0)</f>
        <v>0</v>
      </c>
      <c r="BS88" s="140">
        <f t="shared" ref="BS88" si="529">IF(AND(BR$35&gt;$E85,BS$35&lt;$E87,MONTH(BR$35)=MONTH($E85)),$E88,0)</f>
        <v>0</v>
      </c>
      <c r="BT88" s="140">
        <f t="shared" ref="BT88" si="530">IF(AND(BS$35&gt;$E85,BT$35&lt;$E87,MONTH(BS$35)=MONTH($E85)),$E88,0)</f>
        <v>0</v>
      </c>
      <c r="BU88" s="140">
        <f t="shared" ref="BU88" si="531">IF(AND(BT$35&gt;$E85,BU$35&lt;$E87,MONTH(BT$35)=MONTH($E85)),$E88,0)</f>
        <v>0</v>
      </c>
      <c r="BV88" s="140">
        <f t="shared" ref="BV88" si="532">IF(AND(BU$35&gt;$E85,BV$35&lt;$E87,MONTH(BU$35)=MONTH($E85)),$E88,0)</f>
        <v>0</v>
      </c>
      <c r="BW88" s="140">
        <f t="shared" ref="BW88" si="533">IF(AND(BV$35&gt;$E85,BW$35&lt;$E87,MONTH(BV$35)=MONTH($E85)),$E88,0)</f>
        <v>0</v>
      </c>
      <c r="BX88" s="140">
        <f t="shared" ref="BX88" si="534">IF(AND(BW$35&gt;$E85,BX$35&lt;$E87,MONTH(BW$35)=MONTH($E85)),$E88,0)</f>
        <v>0</v>
      </c>
      <c r="BY88" s="140">
        <f t="shared" ref="BY88" si="535">IF(AND(BX$35&gt;$E85,BY$35&lt;$E87,MONTH(BX$35)=MONTH($E85)),$E88,0)</f>
        <v>0</v>
      </c>
      <c r="BZ88" s="140">
        <f t="shared" ref="BZ88" si="536">IF(AND(BY$35&gt;$E85,BZ$35&lt;$E87,MONTH(BY$35)=MONTH($E85)),$E88,0)</f>
        <v>0</v>
      </c>
      <c r="CA88" s="140">
        <f t="shared" ref="CA88" si="537">IF(AND(BZ$35&gt;$E85,CA$35&lt;$E87,MONTH(BZ$35)=MONTH($E85)),$E88,0)</f>
        <v>0</v>
      </c>
      <c r="CB88" s="140">
        <f t="shared" ref="CB88" si="538">IF(AND(CA$35&gt;$E85,CB$35&lt;$E87,MONTH(CA$35)=MONTH($E85)),$E88,0)</f>
        <v>0</v>
      </c>
      <c r="CC88" s="140">
        <f t="shared" ref="CC88" si="539">IF(AND(CB$35&gt;$E85,CC$35&lt;$E87,MONTH(CB$35)=MONTH($E85)),$E88,0)</f>
        <v>0</v>
      </c>
      <c r="CD88" s="140">
        <f t="shared" ref="CD88" si="540">IF(AND(CC$35&gt;$E85,CD$35&lt;$E87,MONTH(CC$35)=MONTH($E85)),$E88,0)</f>
        <v>0</v>
      </c>
      <c r="CE88" s="140">
        <f t="shared" ref="CE88" si="541">IF(AND(CD$35&gt;$E85,CE$35&lt;$E87,MONTH(CD$35)=MONTH($E85)),$E88,0)</f>
        <v>0</v>
      </c>
      <c r="CF88" s="140">
        <f t="shared" ref="CF88" si="542">IF(AND(CE$35&gt;$E85,CF$35&lt;$E87,MONTH(CE$35)=MONTH($E85)),$E88,0)</f>
        <v>0</v>
      </c>
      <c r="CG88" s="140">
        <f t="shared" ref="CG88" si="543">IF(AND(CF$35&gt;$E85,CG$35&lt;$E87,MONTH(CF$35)=MONTH($E85)),$E88,0)</f>
        <v>0</v>
      </c>
      <c r="CH88" s="140">
        <f t="shared" ref="CH88" si="544">IF(AND(CG$35&gt;$E85,CH$35&lt;$E87,MONTH(CG$35)=MONTH($E85)),$E88,0)</f>
        <v>0</v>
      </c>
      <c r="CI88" s="140">
        <f t="shared" ref="CI88" si="545">IF(AND(CH$35&gt;$E85,CI$35&lt;$E87,MONTH(CH$35)=MONTH($E85)),$E88,0)</f>
        <v>0</v>
      </c>
      <c r="CJ88" s="140">
        <f t="shared" ref="CJ88" si="546">IF(AND(CI$35&gt;$E85,CJ$35&lt;$E87,MONTH(CI$35)=MONTH($E85)),$E88,0)</f>
        <v>0</v>
      </c>
      <c r="CK88" s="140">
        <f t="shared" ref="CK88" si="547">IF(AND(CJ$35&gt;$E85,CK$35&lt;$E87,MONTH(CJ$35)=MONTH($E85)),$E88,0)</f>
        <v>0</v>
      </c>
      <c r="CL88" s="140">
        <f t="shared" ref="CL88" si="548">IF(AND(CK$35&gt;$E85,CL$35&lt;$E87,MONTH(CK$35)=MONTH($E85)),$E88,0)</f>
        <v>0</v>
      </c>
      <c r="CM88" s="140">
        <f t="shared" ref="CM88" si="549">IF(AND(CL$35&gt;$E85,CM$35&lt;$E87,MONTH(CL$35)=MONTH($E85)),$E88,0)</f>
        <v>0</v>
      </c>
      <c r="CN88" s="140">
        <f t="shared" ref="CN88" si="550">IF(AND(CM$35&gt;$E85,CN$35&lt;$E87,MONTH(CM$35)=MONTH($E85)),$E88,0)</f>
        <v>0</v>
      </c>
      <c r="CO88" s="140">
        <f t="shared" ref="CO88" si="551">IF(AND(CN$35&gt;$E85,CO$35&lt;$E87,MONTH(CN$35)=MONTH($E85)),$E88,0)</f>
        <v>0</v>
      </c>
      <c r="CP88" s="140">
        <f t="shared" ref="CP88" si="552">IF(AND(CO$35&gt;$E85,CP$35&lt;$E87,MONTH(CO$35)=MONTH($E85)),$E88,0)</f>
        <v>0</v>
      </c>
      <c r="CQ88" s="140">
        <f t="shared" ref="CQ88" si="553">IF(AND(CP$35&gt;$E85,CQ$35&lt;$E87,MONTH(CP$35)=MONTH($E85)),$E88,0)</f>
        <v>0</v>
      </c>
      <c r="CR88" s="140">
        <f t="shared" ref="CR88" si="554">IF(AND(CQ$35&gt;$E85,CR$35&lt;$E87,MONTH(CQ$35)=MONTH($E85)),$E88,0)</f>
        <v>0</v>
      </c>
      <c r="CS88" s="140">
        <f t="shared" ref="CS88" si="555">IF(AND(CR$35&gt;$E85,CS$35&lt;$E87,MONTH(CR$35)=MONTH($E85)),$E88,0)</f>
        <v>0</v>
      </c>
      <c r="CT88" s="140">
        <f t="shared" ref="CT88" si="556">IF(AND(CS$35&gt;$E85,CT$35&lt;$E87,MONTH(CS$35)=MONTH($E85)),$E88,0)</f>
        <v>0</v>
      </c>
      <c r="CU88" s="140">
        <f t="shared" ref="CU88" si="557">IF(AND(CT$35&gt;$E85,CU$35&lt;$E87,MONTH(CT$35)=MONTH($E85)),$E88,0)</f>
        <v>0</v>
      </c>
      <c r="CV88" s="140">
        <f t="shared" ref="CV88" si="558">IF(AND(CU$35&gt;$E85,CV$35&lt;$E87,MONTH(CU$35)=MONTH($E85)),$E88,0)</f>
        <v>0</v>
      </c>
      <c r="CW88" s="140">
        <f t="shared" ref="CW88" si="559">IF(AND(CV$35&gt;$E85,CW$35&lt;$E87,MONTH(CV$35)=MONTH($E85)),$E88,0)</f>
        <v>0</v>
      </c>
      <c r="CX88" s="140">
        <f t="shared" ref="CX88" si="560">IF(AND(CW$35&gt;$E85,CX$35&lt;$E87,MONTH(CW$35)=MONTH($E85)),$E88,0)</f>
        <v>0</v>
      </c>
      <c r="CY88" s="140">
        <f t="shared" ref="CY88" si="561">IF(AND(CX$35&gt;$E85,CY$35&lt;$E87,MONTH(CX$35)=MONTH($E85)),$E88,0)</f>
        <v>0</v>
      </c>
      <c r="CZ88" s="140">
        <f t="shared" ref="CZ88" si="562">IF(AND(CY$35&gt;$E85,CZ$35&lt;$E87,MONTH(CY$35)=MONTH($E85)),$E88,0)</f>
        <v>0</v>
      </c>
      <c r="DA88" s="140">
        <f t="shared" ref="DA88" si="563">IF(AND(CZ$35&gt;$E85,DA$35&lt;$E87,MONTH(CZ$35)=MONTH($E85)),$E88,0)</f>
        <v>0</v>
      </c>
      <c r="DB88" s="140">
        <f t="shared" ref="DB88" si="564">IF(AND(DA$35&gt;$E85,DB$35&lt;$E87,MONTH(DA$35)=MONTH($E85)),$E88,0)</f>
        <v>0</v>
      </c>
      <c r="DC88" s="140">
        <f t="shared" ref="DC88" si="565">IF(AND(DB$35&gt;$E85,DC$35&lt;$E87,MONTH(DB$35)=MONTH($E85)),$E88,0)</f>
        <v>0</v>
      </c>
      <c r="DD88" s="140">
        <f t="shared" ref="DD88" si="566">IF(AND(DC$35&gt;$E85,DD$35&lt;$E87,MONTH(DC$35)=MONTH($E85)),$E88,0)</f>
        <v>0</v>
      </c>
      <c r="DE88" s="140">
        <f t="shared" ref="DE88" si="567">IF(AND(DD$35&gt;$E85,DE$35&lt;$E87,MONTH(DD$35)=MONTH($E85)),$E88,0)</f>
        <v>0</v>
      </c>
      <c r="DF88" s="140">
        <f t="shared" ref="DF88" si="568">IF(AND(DE$35&gt;$E85,DF$35&lt;$E87,MONTH(DE$35)=MONTH($E85)),$E88,0)</f>
        <v>0</v>
      </c>
      <c r="DG88" s="140">
        <f t="shared" ref="DG88" si="569">IF(AND(DF$35&gt;$E85,DG$35&lt;$E87,MONTH(DF$35)=MONTH($E85)),$E88,0)</f>
        <v>0</v>
      </c>
      <c r="DH88" s="140">
        <f t="shared" ref="DH88" si="570">IF(AND(DG$35&gt;$E85,DH$35&lt;$E87,MONTH(DG$35)=MONTH($E85)),$E88,0)</f>
        <v>0</v>
      </c>
      <c r="DI88" s="140">
        <f t="shared" ref="DI88" si="571">IF(AND(DH$35&gt;$E85,DI$35&lt;$E87,MONTH(DH$35)=MONTH($E85)),$E88,0)</f>
        <v>0</v>
      </c>
    </row>
    <row r="89" spans="2:113" customFormat="1" outlineLevel="1" x14ac:dyDescent="0.25">
      <c r="B89" s="1"/>
      <c r="C89" s="54"/>
      <c r="D89" s="66"/>
      <c r="E89" s="1"/>
      <c r="F89" s="1"/>
      <c r="G89" s="1"/>
      <c r="H89" s="1"/>
      <c r="I89" s="1"/>
      <c r="J89" s="1"/>
      <c r="AP89" s="72"/>
      <c r="CL89" s="72"/>
      <c r="CM89" s="72"/>
      <c r="CN89" s="72"/>
      <c r="CO89" s="72"/>
      <c r="CP89" s="72"/>
      <c r="CR89" s="72"/>
    </row>
    <row r="90" spans="2:113" customFormat="1" outlineLevel="1" x14ac:dyDescent="0.25">
      <c r="B90" s="1"/>
      <c r="C90" s="93" t="s">
        <v>260</v>
      </c>
      <c r="D90" s="46" t="s">
        <v>34</v>
      </c>
      <c r="E90" s="225">
        <f>EOMONTH(E81,Down_Months)</f>
        <v>45322</v>
      </c>
      <c r="F90" s="1"/>
      <c r="G90" s="1"/>
      <c r="H90" s="1"/>
      <c r="I90" s="1"/>
      <c r="J90" s="1"/>
      <c r="AP90" s="72"/>
      <c r="CL90" s="72"/>
      <c r="CM90" s="72"/>
      <c r="CN90" s="72"/>
      <c r="CO90" s="72"/>
      <c r="CP90" s="72"/>
      <c r="CR90" s="72"/>
    </row>
    <row r="91" spans="2:113" customFormat="1" outlineLevel="1" x14ac:dyDescent="0.25">
      <c r="B91" s="1"/>
      <c r="C91" s="93" t="s">
        <v>261</v>
      </c>
      <c r="D91" s="46" t="s">
        <v>42</v>
      </c>
      <c r="E91" s="226">
        <f>New_Lease_Years</f>
        <v>5</v>
      </c>
      <c r="F91" s="1"/>
      <c r="G91" s="1"/>
      <c r="H91" s="1"/>
      <c r="I91" s="1"/>
      <c r="J91" s="1"/>
      <c r="AP91" s="72"/>
      <c r="CL91" s="72"/>
      <c r="CM91" s="72"/>
      <c r="CN91" s="72"/>
      <c r="CO91" s="72"/>
      <c r="CP91" s="72"/>
      <c r="CR91" s="72"/>
    </row>
    <row r="92" spans="2:113" customFormat="1" outlineLevel="1" x14ac:dyDescent="0.25">
      <c r="B92" s="1"/>
      <c r="C92" s="60" t="s">
        <v>262</v>
      </c>
      <c r="D92" s="46" t="s">
        <v>34</v>
      </c>
      <c r="E92" s="225">
        <f>EOMONTH(E90,E91*Months)</f>
        <v>47149</v>
      </c>
      <c r="F92" s="1"/>
      <c r="G92" s="1"/>
      <c r="H92" s="1"/>
      <c r="I92" s="1"/>
      <c r="J92" s="1"/>
      <c r="AP92" s="72"/>
      <c r="CL92" s="72"/>
      <c r="CM92" s="72"/>
      <c r="CN92" s="72"/>
      <c r="CO92" s="72"/>
      <c r="CP92" s="72"/>
      <c r="CR92" s="72"/>
    </row>
    <row r="93" spans="2:113" customFormat="1" outlineLevel="1" x14ac:dyDescent="0.25">
      <c r="B93" s="1"/>
      <c r="C93" s="93" t="s">
        <v>263</v>
      </c>
      <c r="D93" s="48" t="s">
        <v>39</v>
      </c>
      <c r="E93" s="140">
        <f>INDEX(Annual!$F$69:$N$90,22,INDEX($F$5:$DI$9,5,MATCH(E90,$F$5:$DI$5,0)))</f>
        <v>2.5000000000000001E-2</v>
      </c>
      <c r="F93" s="140">
        <f>IF(AND(E$35&gt;$E90,F$35&lt;$E92,MONTH(E$35)=MONTH($E90)),$E93,0)</f>
        <v>0</v>
      </c>
      <c r="G93" s="140">
        <f t="shared" ref="G93" si="572">IF(AND(F$35&gt;$E90,G$35&lt;$E92,MONTH(F$35)=MONTH($E90)),$E93,0)</f>
        <v>0</v>
      </c>
      <c r="H93" s="140">
        <f t="shared" ref="H93" si="573">IF(AND(G$35&gt;$E90,H$35&lt;$E92,MONTH(G$35)=MONTH($E90)),$E93,0)</f>
        <v>0</v>
      </c>
      <c r="I93" s="140">
        <f t="shared" ref="I93" si="574">IF(AND(H$35&gt;$E90,I$35&lt;$E92,MONTH(H$35)=MONTH($E90)),$E93,0)</f>
        <v>0</v>
      </c>
      <c r="J93" s="140">
        <f t="shared" ref="J93" si="575">IF(AND(I$35&gt;$E90,J$35&lt;$E92,MONTH(I$35)=MONTH($E90)),$E93,0)</f>
        <v>0</v>
      </c>
      <c r="K93" s="140">
        <f t="shared" ref="K93" si="576">IF(AND(J$35&gt;$E90,K$35&lt;$E92,MONTH(J$35)=MONTH($E90)),$E93,0)</f>
        <v>0</v>
      </c>
      <c r="L93" s="140">
        <f t="shared" ref="L93" si="577">IF(AND(K$35&gt;$E90,L$35&lt;$E92,MONTH(K$35)=MONTH($E90)),$E93,0)</f>
        <v>0</v>
      </c>
      <c r="M93" s="140">
        <f t="shared" ref="M93" si="578">IF(AND(L$35&gt;$E90,M$35&lt;$E92,MONTH(L$35)=MONTH($E90)),$E93,0)</f>
        <v>0</v>
      </c>
      <c r="N93" s="140">
        <f t="shared" ref="N93" si="579">IF(AND(M$35&gt;$E90,N$35&lt;$E92,MONTH(M$35)=MONTH($E90)),$E93,0)</f>
        <v>0</v>
      </c>
      <c r="O93" s="140">
        <f t="shared" ref="O93" si="580">IF(AND(N$35&gt;$E90,O$35&lt;$E92,MONTH(N$35)=MONTH($E90)),$E93,0)</f>
        <v>0</v>
      </c>
      <c r="P93" s="140">
        <f t="shared" ref="P93" si="581">IF(AND(O$35&gt;$E90,P$35&lt;$E92,MONTH(O$35)=MONTH($E90)),$E93,0)</f>
        <v>0</v>
      </c>
      <c r="Q93" s="140">
        <f t="shared" ref="Q93" si="582">IF(AND(P$35&gt;$E90,Q$35&lt;$E92,MONTH(P$35)=MONTH($E90)),$E93,0)</f>
        <v>0</v>
      </c>
      <c r="R93" s="140">
        <f t="shared" ref="R93" si="583">IF(AND(Q$35&gt;$E90,R$35&lt;$E92,MONTH(Q$35)=MONTH($E90)),$E93,0)</f>
        <v>0</v>
      </c>
      <c r="S93" s="140">
        <f t="shared" ref="S93" si="584">IF(AND(R$35&gt;$E90,S$35&lt;$E92,MONTH(R$35)=MONTH($E90)),$E93,0)</f>
        <v>0</v>
      </c>
      <c r="T93" s="140">
        <f t="shared" ref="T93" si="585">IF(AND(S$35&gt;$E90,T$35&lt;$E92,MONTH(S$35)=MONTH($E90)),$E93,0)</f>
        <v>0</v>
      </c>
      <c r="U93" s="140">
        <f t="shared" ref="U93" si="586">IF(AND(T$35&gt;$E90,U$35&lt;$E92,MONTH(T$35)=MONTH($E90)),$E93,0)</f>
        <v>0</v>
      </c>
      <c r="V93" s="140">
        <f t="shared" ref="V93" si="587">IF(AND(U$35&gt;$E90,V$35&lt;$E92,MONTH(U$35)=MONTH($E90)),$E93,0)</f>
        <v>0</v>
      </c>
      <c r="W93" s="140">
        <f t="shared" ref="W93" si="588">IF(AND(V$35&gt;$E90,W$35&lt;$E92,MONTH(V$35)=MONTH($E90)),$E93,0)</f>
        <v>0</v>
      </c>
      <c r="X93" s="140">
        <f t="shared" ref="X93" si="589">IF(AND(W$35&gt;$E90,X$35&lt;$E92,MONTH(W$35)=MONTH($E90)),$E93,0)</f>
        <v>0</v>
      </c>
      <c r="Y93" s="140">
        <f t="shared" ref="Y93" si="590">IF(AND(X$35&gt;$E90,Y$35&lt;$E92,MONTH(X$35)=MONTH($E90)),$E93,0)</f>
        <v>0</v>
      </c>
      <c r="Z93" s="140">
        <f t="shared" ref="Z93" si="591">IF(AND(Y$35&gt;$E90,Z$35&lt;$E92,MONTH(Y$35)=MONTH($E90)),$E93,0)</f>
        <v>0</v>
      </c>
      <c r="AA93" s="140">
        <f t="shared" ref="AA93" si="592">IF(AND(Z$35&gt;$E90,AA$35&lt;$E92,MONTH(Z$35)=MONTH($E90)),$E93,0)</f>
        <v>0</v>
      </c>
      <c r="AB93" s="140">
        <f t="shared" ref="AB93" si="593">IF(AND(AA$35&gt;$E90,AB$35&lt;$E92,MONTH(AA$35)=MONTH($E90)),$E93,0)</f>
        <v>0</v>
      </c>
      <c r="AC93" s="140">
        <f t="shared" ref="AC93" si="594">IF(AND(AB$35&gt;$E90,AC$35&lt;$E92,MONTH(AB$35)=MONTH($E90)),$E93,0)</f>
        <v>0</v>
      </c>
      <c r="AD93" s="140">
        <f t="shared" ref="AD93" si="595">IF(AND(AC$35&gt;$E90,AD$35&lt;$E92,MONTH(AC$35)=MONTH($E90)),$E93,0)</f>
        <v>0</v>
      </c>
      <c r="AE93" s="140">
        <f t="shared" ref="AE93" si="596">IF(AND(AD$35&gt;$E90,AE$35&lt;$E92,MONTH(AD$35)=MONTH($E90)),$E93,0)</f>
        <v>0</v>
      </c>
      <c r="AF93" s="140">
        <f t="shared" ref="AF93" si="597">IF(AND(AE$35&gt;$E90,AF$35&lt;$E92,MONTH(AE$35)=MONTH($E90)),$E93,0)</f>
        <v>0</v>
      </c>
      <c r="AG93" s="140">
        <f t="shared" ref="AG93" si="598">IF(AND(AF$35&gt;$E90,AG$35&lt;$E92,MONTH(AF$35)=MONTH($E90)),$E93,0)</f>
        <v>0</v>
      </c>
      <c r="AH93" s="140">
        <f t="shared" ref="AH93" si="599">IF(AND(AG$35&gt;$E90,AH$35&lt;$E92,MONTH(AG$35)=MONTH($E90)),$E93,0)</f>
        <v>0</v>
      </c>
      <c r="AI93" s="140">
        <f t="shared" ref="AI93" si="600">IF(AND(AH$35&gt;$E90,AI$35&lt;$E92,MONTH(AH$35)=MONTH($E90)),$E93,0)</f>
        <v>0</v>
      </c>
      <c r="AJ93" s="140">
        <f t="shared" ref="AJ93" si="601">IF(AND(AI$35&gt;$E90,AJ$35&lt;$E92,MONTH(AI$35)=MONTH($E90)),$E93,0)</f>
        <v>0</v>
      </c>
      <c r="AK93" s="140">
        <f t="shared" ref="AK93" si="602">IF(AND(AJ$35&gt;$E90,AK$35&lt;$E92,MONTH(AJ$35)=MONTH($E90)),$E93,0)</f>
        <v>0</v>
      </c>
      <c r="AL93" s="140">
        <f t="shared" ref="AL93" si="603">IF(AND(AK$35&gt;$E90,AL$35&lt;$E92,MONTH(AK$35)=MONTH($E90)),$E93,0)</f>
        <v>0</v>
      </c>
      <c r="AM93" s="140">
        <f t="shared" ref="AM93" si="604">IF(AND(AL$35&gt;$E90,AM$35&lt;$E92,MONTH(AL$35)=MONTH($E90)),$E93,0)</f>
        <v>0</v>
      </c>
      <c r="AN93" s="140">
        <f t="shared" ref="AN93" si="605">IF(AND(AM$35&gt;$E90,AN$35&lt;$E92,MONTH(AM$35)=MONTH($E90)),$E93,0)</f>
        <v>0</v>
      </c>
      <c r="AO93" s="140">
        <f t="shared" ref="AO93" si="606">IF(AND(AN$35&gt;$E90,AO$35&lt;$E92,MONTH(AN$35)=MONTH($E90)),$E93,0)</f>
        <v>0</v>
      </c>
      <c r="AP93" s="140">
        <f t="shared" ref="AP93" si="607">IF(AND(AO$35&gt;$E90,AP$35&lt;$E92,MONTH(AO$35)=MONTH($E90)),$E93,0)</f>
        <v>0</v>
      </c>
      <c r="AQ93" s="140">
        <f t="shared" ref="AQ93" si="608">IF(AND(AP$35&gt;$E90,AQ$35&lt;$E92,MONTH(AP$35)=MONTH($E90)),$E93,0)</f>
        <v>0</v>
      </c>
      <c r="AR93" s="140">
        <f t="shared" ref="AR93" si="609">IF(AND(AQ$35&gt;$E90,AR$35&lt;$E92,MONTH(AQ$35)=MONTH($E90)),$E93,0)</f>
        <v>0</v>
      </c>
      <c r="AS93" s="140">
        <f t="shared" ref="AS93" si="610">IF(AND(AR$35&gt;$E90,AS$35&lt;$E92,MONTH(AR$35)=MONTH($E90)),$E93,0)</f>
        <v>0</v>
      </c>
      <c r="AT93" s="140">
        <f t="shared" ref="AT93" si="611">IF(AND(AS$35&gt;$E90,AT$35&lt;$E92,MONTH(AS$35)=MONTH($E90)),$E93,0)</f>
        <v>0</v>
      </c>
      <c r="AU93" s="140">
        <f t="shared" ref="AU93" si="612">IF(AND(AT$35&gt;$E90,AU$35&lt;$E92,MONTH(AT$35)=MONTH($E90)),$E93,0)</f>
        <v>0</v>
      </c>
      <c r="AV93" s="140">
        <f t="shared" ref="AV93" si="613">IF(AND(AU$35&gt;$E90,AV$35&lt;$E92,MONTH(AU$35)=MONTH($E90)),$E93,0)</f>
        <v>0</v>
      </c>
      <c r="AW93" s="140">
        <f t="shared" ref="AW93" si="614">IF(AND(AV$35&gt;$E90,AW$35&lt;$E92,MONTH(AV$35)=MONTH($E90)),$E93,0)</f>
        <v>0</v>
      </c>
      <c r="AX93" s="140">
        <f t="shared" ref="AX93" si="615">IF(AND(AW$35&gt;$E90,AX$35&lt;$E92,MONTH(AW$35)=MONTH($E90)),$E93,0)</f>
        <v>0</v>
      </c>
      <c r="AY93" s="140">
        <f t="shared" ref="AY93" si="616">IF(AND(AX$35&gt;$E90,AY$35&lt;$E92,MONTH(AX$35)=MONTH($E90)),$E93,0)</f>
        <v>0</v>
      </c>
      <c r="AZ93" s="140">
        <f t="shared" ref="AZ93" si="617">IF(AND(AY$35&gt;$E90,AZ$35&lt;$E92,MONTH(AY$35)=MONTH($E90)),$E93,0)</f>
        <v>0</v>
      </c>
      <c r="BA93" s="140">
        <f t="shared" ref="BA93" si="618">IF(AND(AZ$35&gt;$E90,BA$35&lt;$E92,MONTH(AZ$35)=MONTH($E90)),$E93,0)</f>
        <v>0</v>
      </c>
      <c r="BB93" s="140">
        <f t="shared" ref="BB93" si="619">IF(AND(BA$35&gt;$E90,BB$35&lt;$E92,MONTH(BA$35)=MONTH($E90)),$E93,0)</f>
        <v>0</v>
      </c>
      <c r="BC93" s="140">
        <f t="shared" ref="BC93" si="620">IF(AND(BB$35&gt;$E90,BC$35&lt;$E92,MONTH(BB$35)=MONTH($E90)),$E93,0)</f>
        <v>0</v>
      </c>
      <c r="BD93" s="140">
        <f t="shared" ref="BD93" si="621">IF(AND(BC$35&gt;$E90,BD$35&lt;$E92,MONTH(BC$35)=MONTH($E90)),$E93,0)</f>
        <v>0</v>
      </c>
      <c r="BE93" s="140">
        <f t="shared" ref="BE93" si="622">IF(AND(BD$35&gt;$E90,BE$35&lt;$E92,MONTH(BD$35)=MONTH($E90)),$E93,0)</f>
        <v>0</v>
      </c>
      <c r="BF93" s="140">
        <f t="shared" ref="BF93" si="623">IF(AND(BE$35&gt;$E90,BF$35&lt;$E92,MONTH(BE$35)=MONTH($E90)),$E93,0)</f>
        <v>0</v>
      </c>
      <c r="BG93" s="140">
        <f t="shared" ref="BG93" si="624">IF(AND(BF$35&gt;$E90,BG$35&lt;$E92,MONTH(BF$35)=MONTH($E90)),$E93,0)</f>
        <v>0</v>
      </c>
      <c r="BH93" s="140">
        <f t="shared" ref="BH93" si="625">IF(AND(BG$35&gt;$E90,BH$35&lt;$E92,MONTH(BG$35)=MONTH($E90)),$E93,0)</f>
        <v>0</v>
      </c>
      <c r="BI93" s="140">
        <f t="shared" ref="BI93" si="626">IF(AND(BH$35&gt;$E90,BI$35&lt;$E92,MONTH(BH$35)=MONTH($E90)),$E93,0)</f>
        <v>0</v>
      </c>
      <c r="BJ93" s="140">
        <f t="shared" ref="BJ93" si="627">IF(AND(BI$35&gt;$E90,BJ$35&lt;$E92,MONTH(BI$35)=MONTH($E90)),$E93,0)</f>
        <v>0</v>
      </c>
      <c r="BK93" s="140">
        <f t="shared" ref="BK93" si="628">IF(AND(BJ$35&gt;$E90,BK$35&lt;$E92,MONTH(BJ$35)=MONTH($E90)),$E93,0)</f>
        <v>0</v>
      </c>
      <c r="BL93" s="140">
        <f t="shared" ref="BL93" si="629">IF(AND(BK$35&gt;$E90,BL$35&lt;$E92,MONTH(BK$35)=MONTH($E90)),$E93,0)</f>
        <v>0</v>
      </c>
      <c r="BM93" s="140">
        <f t="shared" ref="BM93" si="630">IF(AND(BL$35&gt;$E90,BM$35&lt;$E92,MONTH(BL$35)=MONTH($E90)),$E93,0)</f>
        <v>0</v>
      </c>
      <c r="BN93" s="140">
        <f t="shared" ref="BN93" si="631">IF(AND(BM$35&gt;$E90,BN$35&lt;$E92,MONTH(BM$35)=MONTH($E90)),$E93,0)</f>
        <v>0</v>
      </c>
      <c r="BO93" s="140">
        <f t="shared" ref="BO93" si="632">IF(AND(BN$35&gt;$E90,BO$35&lt;$E92,MONTH(BN$35)=MONTH($E90)),$E93,0)</f>
        <v>0</v>
      </c>
      <c r="BP93" s="140">
        <f t="shared" ref="BP93" si="633">IF(AND(BO$35&gt;$E90,BP$35&lt;$E92,MONTH(BO$35)=MONTH($E90)),$E93,0)</f>
        <v>0</v>
      </c>
      <c r="BQ93" s="140">
        <f t="shared" ref="BQ93" si="634">IF(AND(BP$35&gt;$E90,BQ$35&lt;$E92,MONTH(BP$35)=MONTH($E90)),$E93,0)</f>
        <v>0</v>
      </c>
      <c r="BR93" s="140">
        <f t="shared" ref="BR93" si="635">IF(AND(BQ$35&gt;$E90,BR$35&lt;$E92,MONTH(BQ$35)=MONTH($E90)),$E93,0)</f>
        <v>0</v>
      </c>
      <c r="BS93" s="140">
        <f t="shared" ref="BS93" si="636">IF(AND(BR$35&gt;$E90,BS$35&lt;$E92,MONTH(BR$35)=MONTH($E90)),$E93,0)</f>
        <v>0</v>
      </c>
      <c r="BT93" s="140">
        <f t="shared" ref="BT93" si="637">IF(AND(BS$35&gt;$E90,BT$35&lt;$E92,MONTH(BS$35)=MONTH($E90)),$E93,0)</f>
        <v>0</v>
      </c>
      <c r="BU93" s="140">
        <f t="shared" ref="BU93" si="638">IF(AND(BT$35&gt;$E90,BU$35&lt;$E92,MONTH(BT$35)=MONTH($E90)),$E93,0)</f>
        <v>0</v>
      </c>
      <c r="BV93" s="140">
        <f t="shared" ref="BV93" si="639">IF(AND(BU$35&gt;$E90,BV$35&lt;$E92,MONTH(BU$35)=MONTH($E90)),$E93,0)</f>
        <v>0</v>
      </c>
      <c r="BW93" s="140">
        <f t="shared" ref="BW93" si="640">IF(AND(BV$35&gt;$E90,BW$35&lt;$E92,MONTH(BV$35)=MONTH($E90)),$E93,0)</f>
        <v>0</v>
      </c>
      <c r="BX93" s="140">
        <f t="shared" ref="BX93" si="641">IF(AND(BW$35&gt;$E90,BX$35&lt;$E92,MONTH(BW$35)=MONTH($E90)),$E93,0)</f>
        <v>0</v>
      </c>
      <c r="BY93" s="140">
        <f t="shared" ref="BY93" si="642">IF(AND(BX$35&gt;$E90,BY$35&lt;$E92,MONTH(BX$35)=MONTH($E90)),$E93,0)</f>
        <v>0</v>
      </c>
      <c r="BZ93" s="140">
        <f t="shared" ref="BZ93" si="643">IF(AND(BY$35&gt;$E90,BZ$35&lt;$E92,MONTH(BY$35)=MONTH($E90)),$E93,0)</f>
        <v>0</v>
      </c>
      <c r="CA93" s="140">
        <f t="shared" ref="CA93" si="644">IF(AND(BZ$35&gt;$E90,CA$35&lt;$E92,MONTH(BZ$35)=MONTH($E90)),$E93,0)</f>
        <v>0</v>
      </c>
      <c r="CB93" s="140">
        <f t="shared" ref="CB93" si="645">IF(AND(CA$35&gt;$E90,CB$35&lt;$E92,MONTH(CA$35)=MONTH($E90)),$E93,0)</f>
        <v>0</v>
      </c>
      <c r="CC93" s="140">
        <f t="shared" ref="CC93" si="646">IF(AND(CB$35&gt;$E90,CC$35&lt;$E92,MONTH(CB$35)=MONTH($E90)),$E93,0)</f>
        <v>0</v>
      </c>
      <c r="CD93" s="140">
        <f t="shared" ref="CD93" si="647">IF(AND(CC$35&gt;$E90,CD$35&lt;$E92,MONTH(CC$35)=MONTH($E90)),$E93,0)</f>
        <v>0</v>
      </c>
      <c r="CE93" s="140">
        <f t="shared" ref="CE93" si="648">IF(AND(CD$35&gt;$E90,CE$35&lt;$E92,MONTH(CD$35)=MONTH($E90)),$E93,0)</f>
        <v>0</v>
      </c>
      <c r="CF93" s="140">
        <f t="shared" ref="CF93" si="649">IF(AND(CE$35&gt;$E90,CF$35&lt;$E92,MONTH(CE$35)=MONTH($E90)),$E93,0)</f>
        <v>0</v>
      </c>
      <c r="CG93" s="140">
        <f t="shared" ref="CG93" si="650">IF(AND(CF$35&gt;$E90,CG$35&lt;$E92,MONTH(CF$35)=MONTH($E90)),$E93,0)</f>
        <v>0</v>
      </c>
      <c r="CH93" s="140">
        <f t="shared" ref="CH93" si="651">IF(AND(CG$35&gt;$E90,CH$35&lt;$E92,MONTH(CG$35)=MONTH($E90)),$E93,0)</f>
        <v>0</v>
      </c>
      <c r="CI93" s="140">
        <f t="shared" ref="CI93" si="652">IF(AND(CH$35&gt;$E90,CI$35&lt;$E92,MONTH(CH$35)=MONTH($E90)),$E93,0)</f>
        <v>0</v>
      </c>
      <c r="CJ93" s="140">
        <f t="shared" ref="CJ93" si="653">IF(AND(CI$35&gt;$E90,CJ$35&lt;$E92,MONTH(CI$35)=MONTH($E90)),$E93,0)</f>
        <v>0</v>
      </c>
      <c r="CK93" s="140">
        <f t="shared" ref="CK93" si="654">IF(AND(CJ$35&gt;$E90,CK$35&lt;$E92,MONTH(CJ$35)=MONTH($E90)),$E93,0)</f>
        <v>0</v>
      </c>
      <c r="CL93" s="140">
        <f t="shared" ref="CL93" si="655">IF(AND(CK$35&gt;$E90,CL$35&lt;$E92,MONTH(CK$35)=MONTH($E90)),$E93,0)</f>
        <v>0</v>
      </c>
      <c r="CM93" s="140">
        <f t="shared" ref="CM93" si="656">IF(AND(CL$35&gt;$E90,CM$35&lt;$E92,MONTH(CL$35)=MONTH($E90)),$E93,0)</f>
        <v>0</v>
      </c>
      <c r="CN93" s="140">
        <f t="shared" ref="CN93" si="657">IF(AND(CM$35&gt;$E90,CN$35&lt;$E92,MONTH(CM$35)=MONTH($E90)),$E93,0)</f>
        <v>0</v>
      </c>
      <c r="CO93" s="140">
        <f t="shared" ref="CO93" si="658">IF(AND(CN$35&gt;$E90,CO$35&lt;$E92,MONTH(CN$35)=MONTH($E90)),$E93,0)</f>
        <v>0</v>
      </c>
      <c r="CP93" s="140">
        <f t="shared" ref="CP93" si="659">IF(AND(CO$35&gt;$E90,CP$35&lt;$E92,MONTH(CO$35)=MONTH($E90)),$E93,0)</f>
        <v>0</v>
      </c>
      <c r="CQ93" s="140">
        <f t="shared" ref="CQ93" si="660">IF(AND(CP$35&gt;$E90,CQ$35&lt;$E92,MONTH(CP$35)=MONTH($E90)),$E93,0)</f>
        <v>0</v>
      </c>
      <c r="CR93" s="140">
        <f t="shared" ref="CR93" si="661">IF(AND(CQ$35&gt;$E90,CR$35&lt;$E92,MONTH(CQ$35)=MONTH($E90)),$E93,0)</f>
        <v>0</v>
      </c>
      <c r="CS93" s="140">
        <f t="shared" ref="CS93" si="662">IF(AND(CR$35&gt;$E90,CS$35&lt;$E92,MONTH(CR$35)=MONTH($E90)),$E93,0)</f>
        <v>0</v>
      </c>
      <c r="CT93" s="140">
        <f t="shared" ref="CT93" si="663">IF(AND(CS$35&gt;$E90,CT$35&lt;$E92,MONTH(CS$35)=MONTH($E90)),$E93,0)</f>
        <v>0</v>
      </c>
      <c r="CU93" s="140">
        <f t="shared" ref="CU93" si="664">IF(AND(CT$35&gt;$E90,CU$35&lt;$E92,MONTH(CT$35)=MONTH($E90)),$E93,0)</f>
        <v>0</v>
      </c>
      <c r="CV93" s="140">
        <f t="shared" ref="CV93" si="665">IF(AND(CU$35&gt;$E90,CV$35&lt;$E92,MONTH(CU$35)=MONTH($E90)),$E93,0)</f>
        <v>0</v>
      </c>
      <c r="CW93" s="140">
        <f t="shared" ref="CW93" si="666">IF(AND(CV$35&gt;$E90,CW$35&lt;$E92,MONTH(CV$35)=MONTH($E90)),$E93,0)</f>
        <v>0</v>
      </c>
      <c r="CX93" s="140">
        <f t="shared" ref="CX93" si="667">IF(AND(CW$35&gt;$E90,CX$35&lt;$E92,MONTH(CW$35)=MONTH($E90)),$E93,0)</f>
        <v>0</v>
      </c>
      <c r="CY93" s="140">
        <f t="shared" ref="CY93" si="668">IF(AND(CX$35&gt;$E90,CY$35&lt;$E92,MONTH(CX$35)=MONTH($E90)),$E93,0)</f>
        <v>0</v>
      </c>
      <c r="CZ93" s="140">
        <f t="shared" ref="CZ93" si="669">IF(AND(CY$35&gt;$E90,CZ$35&lt;$E92,MONTH(CY$35)=MONTH($E90)),$E93,0)</f>
        <v>0</v>
      </c>
      <c r="DA93" s="140">
        <f t="shared" ref="DA93" si="670">IF(AND(CZ$35&gt;$E90,DA$35&lt;$E92,MONTH(CZ$35)=MONTH($E90)),$E93,0)</f>
        <v>0</v>
      </c>
      <c r="DB93" s="140">
        <f t="shared" ref="DB93" si="671">IF(AND(DA$35&gt;$E90,DB$35&lt;$E92,MONTH(DA$35)=MONTH($E90)),$E93,0)</f>
        <v>0</v>
      </c>
      <c r="DC93" s="140">
        <f t="shared" ref="DC93" si="672">IF(AND(DB$35&gt;$E90,DC$35&lt;$E92,MONTH(DB$35)=MONTH($E90)),$E93,0)</f>
        <v>0</v>
      </c>
      <c r="DD93" s="140">
        <f t="shared" ref="DD93" si="673">IF(AND(DC$35&gt;$E90,DD$35&lt;$E92,MONTH(DC$35)=MONTH($E90)),$E93,0)</f>
        <v>0</v>
      </c>
      <c r="DE93" s="140">
        <f t="shared" ref="DE93" si="674">IF(AND(DD$35&gt;$E90,DE$35&lt;$E92,MONTH(DD$35)=MONTH($E90)),$E93,0)</f>
        <v>0</v>
      </c>
      <c r="DF93" s="140">
        <f t="shared" ref="DF93" si="675">IF(AND(DE$35&gt;$E90,DF$35&lt;$E92,MONTH(DE$35)=MONTH($E90)),$E93,0)</f>
        <v>0</v>
      </c>
      <c r="DG93" s="140">
        <f t="shared" ref="DG93" si="676">IF(AND(DF$35&gt;$E90,DG$35&lt;$E92,MONTH(DF$35)=MONTH($E90)),$E93,0)</f>
        <v>0</v>
      </c>
      <c r="DH93" s="140">
        <f t="shared" ref="DH93" si="677">IF(AND(DG$35&gt;$E90,DH$35&lt;$E92,MONTH(DG$35)=MONTH($E90)),$E93,0)</f>
        <v>0</v>
      </c>
      <c r="DI93" s="140">
        <f t="shared" ref="DI93" si="678">IF(AND(DH$35&gt;$E90,DI$35&lt;$E92,MONTH(DH$35)=MONTH($E90)),$E93,0)</f>
        <v>0</v>
      </c>
    </row>
    <row r="94" spans="2:113" customFormat="1" outlineLevel="1" x14ac:dyDescent="0.25">
      <c r="B94" s="1"/>
      <c r="C94" s="54"/>
      <c r="D94" s="66"/>
      <c r="E94" s="1"/>
      <c r="F94" s="1"/>
      <c r="G94" s="1"/>
      <c r="H94" s="1"/>
      <c r="I94" s="1"/>
      <c r="J94" s="1"/>
      <c r="AP94" s="137"/>
      <c r="CL94" s="72"/>
      <c r="CM94" s="72"/>
      <c r="CN94" s="72"/>
      <c r="CO94" s="72"/>
      <c r="CP94" s="72"/>
      <c r="CR94" s="72"/>
    </row>
    <row r="95" spans="2:113" customFormat="1" outlineLevel="1" x14ac:dyDescent="0.25">
      <c r="B95" s="1"/>
      <c r="C95" s="60" t="s">
        <v>264</v>
      </c>
      <c r="D95" s="46" t="s">
        <v>125</v>
      </c>
      <c r="E95" s="136">
        <v>900</v>
      </c>
      <c r="F95" s="137">
        <f>+E95*(1+F$37)</f>
        <v>907.17672638601334</v>
      </c>
      <c r="G95" s="137">
        <f t="shared" ref="G95" si="679">+F95*(1+G$37)</f>
        <v>914.41068099604865</v>
      </c>
      <c r="H95" s="137">
        <f t="shared" ref="H95" si="680">+G95*(1+H$37)</f>
        <v>921.70232017600063</v>
      </c>
      <c r="I95" s="137">
        <f t="shared" ref="I95" si="681">+H95*(1+I$37)</f>
        <v>929.05210391073047</v>
      </c>
      <c r="J95" s="137">
        <f t="shared" ref="J95" si="682">+I95*(1+J$37)</f>
        <v>936.4604958530831</v>
      </c>
      <c r="K95" s="137">
        <f t="shared" ref="K95" si="683">+J95*(1+K$37)</f>
        <v>943.92796335313642</v>
      </c>
      <c r="L95" s="137">
        <f t="shared" ref="L95" si="684">+K95*(1+L$37)</f>
        <v>951.45497748768344</v>
      </c>
      <c r="M95" s="137">
        <f t="shared" ref="M95" si="685">+L95*(1+M$37)</f>
        <v>959.04201308994971</v>
      </c>
      <c r="N95" s="137">
        <f t="shared" ref="N95" si="686">+M95*(1+N$37)</f>
        <v>966.68954877954752</v>
      </c>
      <c r="O95" s="137">
        <f t="shared" ref="O95" si="687">+N95*(1+O$37)</f>
        <v>974.39806699266921</v>
      </c>
      <c r="P95" s="137">
        <f t="shared" ref="P95" si="688">+O95*(1+P$37)</f>
        <v>982.16805401252111</v>
      </c>
      <c r="Q95" s="137">
        <f t="shared" ref="Q95" si="689">+P95*(1+Q$37)</f>
        <v>990.00000000000011</v>
      </c>
      <c r="R95" s="137">
        <f t="shared" ref="R95" si="690">+Q95*(1+R$37)</f>
        <v>990.00000000000011</v>
      </c>
      <c r="S95" s="137">
        <f t="shared" ref="S95" si="691">+R95*(1+S$37)</f>
        <v>990.00000000000011</v>
      </c>
      <c r="T95" s="137">
        <f t="shared" ref="T95" si="692">+S95*(1+T$37)</f>
        <v>990.00000000000011</v>
      </c>
      <c r="U95" s="137">
        <f t="shared" ref="U95" si="693">+T95*(1+U$37)</f>
        <v>990.00000000000011</v>
      </c>
      <c r="V95" s="137">
        <f t="shared" ref="V95" si="694">+U95*(1+V$37)</f>
        <v>990.00000000000011</v>
      </c>
      <c r="W95" s="137">
        <f t="shared" ref="W95" si="695">+V95*(1+W$37)</f>
        <v>990.00000000000011</v>
      </c>
      <c r="X95" s="137">
        <f t="shared" ref="X95" si="696">+W95*(1+X$37)</f>
        <v>990.00000000000011</v>
      </c>
      <c r="Y95" s="137">
        <f t="shared" ref="Y95" si="697">+X95*(1+Y$37)</f>
        <v>990.00000000000011</v>
      </c>
      <c r="Z95" s="137">
        <f t="shared" ref="Z95" si="698">+Y95*(1+Z$37)</f>
        <v>990.00000000000011</v>
      </c>
      <c r="AA95" s="137">
        <f t="shared" ref="AA95" si="699">+Z95*(1+AA$37)</f>
        <v>990.00000000000011</v>
      </c>
      <c r="AB95" s="137">
        <f t="shared" ref="AB95" si="700">+AA95*(1+AB$37)</f>
        <v>990.00000000000011</v>
      </c>
      <c r="AC95" s="137">
        <f t="shared" ref="AC95" si="701">+AB95*(1+AC$37)</f>
        <v>990.00000000000011</v>
      </c>
      <c r="AD95" s="137">
        <f t="shared" ref="AD95" si="702">+AC95*(1+AD$37)</f>
        <v>990.00000000000011</v>
      </c>
      <c r="AE95" s="137">
        <f t="shared" ref="AE95" si="703">+AD95*(1+AE$37)</f>
        <v>990.00000000000011</v>
      </c>
      <c r="AF95" s="137">
        <f t="shared" ref="AF95" si="704">+AE95*(1+AF$37)</f>
        <v>990.00000000000011</v>
      </c>
      <c r="AG95" s="137">
        <f t="shared" ref="AG95" si="705">+AF95*(1+AG$37)</f>
        <v>990.00000000000011</v>
      </c>
      <c r="AH95" s="137">
        <f t="shared" ref="AH95" si="706">+AG95*(1+AH$37)</f>
        <v>990.00000000000011</v>
      </c>
      <c r="AI95" s="137">
        <f t="shared" ref="AI95" si="707">+AH95*(1+AI$37)</f>
        <v>990.00000000000011</v>
      </c>
      <c r="AJ95" s="137">
        <f t="shared" ref="AJ95" si="708">+AI95*(1+AJ$37)</f>
        <v>990.00000000000011</v>
      </c>
      <c r="AK95" s="137">
        <f t="shared" ref="AK95" si="709">+AJ95*(1+AK$37)</f>
        <v>990.00000000000011</v>
      </c>
      <c r="AL95" s="137">
        <f t="shared" ref="AL95" si="710">+AK95*(1+AL$37)</f>
        <v>990.00000000000011</v>
      </c>
      <c r="AM95" s="137">
        <f t="shared" ref="AM95" si="711">+AL95*(1+AM$37)</f>
        <v>990.00000000000011</v>
      </c>
      <c r="AN95" s="137">
        <f t="shared" ref="AN95" si="712">+AM95*(1+AN$37)</f>
        <v>990.00000000000011</v>
      </c>
      <c r="AO95" s="137">
        <f t="shared" ref="AO95" si="713">+AN95*(1+AO$37)</f>
        <v>990.00000000000011</v>
      </c>
      <c r="AP95" s="137">
        <f t="shared" ref="AP95" si="714">+AO95*(1+AP$37)</f>
        <v>992.84218973188604</v>
      </c>
      <c r="AQ95" s="137">
        <f t="shared" ref="AQ95" si="715">+AP95*(1+AQ$37)</f>
        <v>995.69253910263251</v>
      </c>
      <c r="AR95" s="137">
        <f t="shared" ref="AR95" si="716">+AQ95*(1+AR$37)</f>
        <v>998.55107153773645</v>
      </c>
      <c r="AS95" s="137">
        <f t="shared" ref="AS95" si="717">+AR95*(1+AS$37)</f>
        <v>1001.4178105299468</v>
      </c>
      <c r="AT95" s="137">
        <f t="shared" ref="AT95" si="718">+AS95*(1+AT$37)</f>
        <v>1004.2927796394578</v>
      </c>
      <c r="AU95" s="137">
        <f t="shared" ref="AU95" si="719">+AT95*(1+AU$37)</f>
        <v>1007.1760024941026</v>
      </c>
      <c r="AV95" s="137">
        <f t="shared" ref="AV95" si="720">+AU95*(1+AV$37)</f>
        <v>1010.0675027895477</v>
      </c>
      <c r="AW95" s="137">
        <f t="shared" ref="AW95" si="721">+AV95*(1+AW$37)</f>
        <v>1012.9673042894872</v>
      </c>
      <c r="AX95" s="137">
        <f t="shared" ref="AX95" si="722">+AW95*(1+AX$37)</f>
        <v>1015.8754308258384</v>
      </c>
      <c r="AY95" s="137">
        <f t="shared" ref="AY95" si="723">+AX95*(1+AY$37)</f>
        <v>1018.7919062989378</v>
      </c>
      <c r="AZ95" s="137">
        <f t="shared" ref="AZ95" si="724">+AY95*(1+AZ$37)</f>
        <v>1021.7167546777371</v>
      </c>
      <c r="BA95" s="137">
        <f t="shared" ref="BA95" si="725">+AZ95*(1+BA$37)</f>
        <v>1024.6500000000005</v>
      </c>
      <c r="BB95" s="137">
        <f t="shared" ref="BB95" si="726">+BA95*(1+BB$37)</f>
        <v>1027.5916663725025</v>
      </c>
      <c r="BC95" s="137">
        <f t="shared" ref="BC95" si="727">+BB95*(1+BC$37)</f>
        <v>1030.5417779712252</v>
      </c>
      <c r="BD95" s="137">
        <f t="shared" ref="BD95" si="728">+BC95*(1+BD$37)</f>
        <v>1033.5003590415577</v>
      </c>
      <c r="BE95" s="137">
        <f t="shared" ref="BE95" si="729">+BD95*(1+BE$37)</f>
        <v>1036.4674338984953</v>
      </c>
      <c r="BF95" s="137">
        <f t="shared" ref="BF95" si="730">+BE95*(1+BF$37)</f>
        <v>1039.4430269268391</v>
      </c>
      <c r="BG95" s="137">
        <f t="shared" ref="BG95" si="731">+BF95*(1+BG$37)</f>
        <v>1042.4271625813965</v>
      </c>
      <c r="BH95" s="137">
        <f t="shared" ref="BH95" si="732">+BG95*(1+BH$37)</f>
        <v>1045.4198653871822</v>
      </c>
      <c r="BI95" s="137">
        <f t="shared" ref="BI95" si="733">+BH95*(1+BI$37)</f>
        <v>1048.4211599396194</v>
      </c>
      <c r="BJ95" s="137">
        <f t="shared" ref="BJ95" si="734">+BI95*(1+BJ$37)</f>
        <v>1051.4310709047429</v>
      </c>
      <c r="BK95" s="137">
        <f t="shared" ref="BK95" si="735">+BJ95*(1+BK$37)</f>
        <v>1054.4496230194006</v>
      </c>
      <c r="BL95" s="137">
        <f t="shared" ref="BL95" si="736">+BK95*(1+BL$37)</f>
        <v>1057.4768410914578</v>
      </c>
      <c r="BM95" s="137">
        <f t="shared" ref="BM95" si="737">+BL95*(1+BM$37)</f>
        <v>1060.5127500000006</v>
      </c>
      <c r="BN95" s="137">
        <f t="shared" ref="BN95" si="738">+BM95*(1+BN$37)</f>
        <v>1063.5573746955399</v>
      </c>
      <c r="BO95" s="137">
        <f t="shared" ref="BO95" si="739">+BN95*(1+BO$37)</f>
        <v>1066.6107402002178</v>
      </c>
      <c r="BP95" s="137">
        <f t="shared" ref="BP95" si="740">+BO95*(1+BP$37)</f>
        <v>1069.672871608012</v>
      </c>
      <c r="BQ95" s="137">
        <f t="shared" ref="BQ95" si="741">+BP95*(1+BQ$37)</f>
        <v>1072.7437940849425</v>
      </c>
      <c r="BR95" s="137">
        <f t="shared" ref="BR95" si="742">+BQ95*(1+BR$37)</f>
        <v>1075.8235328692783</v>
      </c>
      <c r="BS95" s="137">
        <f t="shared" ref="BS95" si="743">+BR95*(1+BS$37)</f>
        <v>1078.9121132717453</v>
      </c>
      <c r="BT95" s="137">
        <f t="shared" ref="BT95" si="744">+BS95*(1+BT$37)</f>
        <v>1082.0095606757334</v>
      </c>
      <c r="BU95" s="137">
        <f t="shared" ref="BU95" si="745">+BT95*(1+BU$37)</f>
        <v>1085.1159005375059</v>
      </c>
      <c r="BV95" s="137">
        <f t="shared" ref="BV95" si="746">+BU95*(1+BV$37)</f>
        <v>1088.2311583864087</v>
      </c>
      <c r="BW95" s="137">
        <f t="shared" ref="BW95" si="747">+BV95*(1+BW$37)</f>
        <v>1091.3553598250794</v>
      </c>
      <c r="BX95" s="137">
        <f t="shared" ref="BX95" si="748">+BW95*(1+BX$37)</f>
        <v>1094.4885305296586</v>
      </c>
      <c r="BY95" s="137">
        <f t="shared" ref="BY95" si="749">+BX95*(1+BY$37)</f>
        <v>1097.6306962500003</v>
      </c>
      <c r="BZ95" s="137">
        <f t="shared" ref="BZ95" si="750">+BY95*(1+BZ$37)</f>
        <v>1100.3377496573144</v>
      </c>
      <c r="CA95" s="137">
        <f t="shared" ref="CA95" si="751">+BZ95*(1+CA$37)</f>
        <v>1103.0514793886189</v>
      </c>
      <c r="CB95" s="137">
        <f t="shared" ref="CB95" si="752">+CA95*(1+CB$37)</f>
        <v>1105.7719019095298</v>
      </c>
      <c r="CC95" s="137">
        <f t="shared" ref="CC95" si="753">+CB95*(1+CC$37)</f>
        <v>1108.499033726272</v>
      </c>
      <c r="CD95" s="137">
        <f t="shared" ref="CD95" si="754">+CC95*(1+CD$37)</f>
        <v>1111.2328913857789</v>
      </c>
      <c r="CE95" s="137">
        <f t="shared" ref="CE95" si="755">+CD95*(1+CE$37)</f>
        <v>1113.9734914757933</v>
      </c>
      <c r="CF95" s="137">
        <f t="shared" ref="CF95" si="756">+CE95*(1+CF$37)</f>
        <v>1116.7208506249676</v>
      </c>
      <c r="CG95" s="137">
        <f t="shared" ref="CG95" si="757">+CF95*(1+CG$37)</f>
        <v>1119.4749855029652</v>
      </c>
      <c r="CH95" s="137">
        <f t="shared" ref="CH95" si="758">+CG95*(1+CH$37)</f>
        <v>1122.2359128205612</v>
      </c>
      <c r="CI95" s="137">
        <f t="shared" ref="CI95" si="759">+CH95*(1+CI$37)</f>
        <v>1125.0036493297441</v>
      </c>
      <c r="CJ95" s="137">
        <f t="shared" ref="CJ95" si="760">+CI95*(1+CJ$37)</f>
        <v>1127.7782118238174</v>
      </c>
      <c r="CK95" s="137">
        <f t="shared" ref="CK95" si="761">+CJ95*(1+CK$37)</f>
        <v>1130.5596171375012</v>
      </c>
      <c r="CL95" s="137">
        <f t="shared" ref="CL95" si="762">+CK95*(1+CL$37)</f>
        <v>1133.3478821470346</v>
      </c>
      <c r="CM95" s="137">
        <f t="shared" ref="CM95" si="763">+CL95*(1+CM$37)</f>
        <v>1136.1430237702782</v>
      </c>
      <c r="CN95" s="137">
        <f t="shared" ref="CN95" si="764">+CM95*(1+CN$37)</f>
        <v>1138.9450589668165</v>
      </c>
      <c r="CO95" s="137">
        <f t="shared" ref="CO95" si="765">+CN95*(1+CO$37)</f>
        <v>1141.754004738061</v>
      </c>
      <c r="CP95" s="137">
        <f t="shared" ref="CP95" si="766">+CO95*(1+CP$37)</f>
        <v>1144.5698781273531</v>
      </c>
      <c r="CQ95" s="137">
        <f t="shared" ref="CQ95" si="767">+CP95*(1+CQ$37)</f>
        <v>1147.392696220068</v>
      </c>
      <c r="CR95" s="137">
        <f t="shared" ref="CR95" si="768">+CQ95*(1+CR$37)</f>
        <v>1150.2224761437176</v>
      </c>
      <c r="CS95" s="137">
        <f t="shared" ref="CS95" si="769">+CR95*(1+CS$37)</f>
        <v>1153.0592350680552</v>
      </c>
      <c r="CT95" s="137">
        <f t="shared" ref="CT95" si="770">+CS95*(1+CT$37)</f>
        <v>1155.9029902051791</v>
      </c>
      <c r="CU95" s="137">
        <f t="shared" ref="CU95" si="771">+CT95*(1+CU$37)</f>
        <v>1158.7537588096375</v>
      </c>
      <c r="CV95" s="137">
        <f t="shared" ref="CV95" si="772">+CU95*(1+CV$37)</f>
        <v>1161.611558178533</v>
      </c>
      <c r="CW95" s="137">
        <f t="shared" ref="CW95" si="773">+CV95*(1+CW$37)</f>
        <v>1164.4764056516274</v>
      </c>
      <c r="CX95" s="137">
        <f t="shared" ref="CX95" si="774">+CW95*(1+CX$37)</f>
        <v>1167.3483186114468</v>
      </c>
      <c r="CY95" s="137">
        <f t="shared" ref="CY95" si="775">+CX95*(1+CY$37)</f>
        <v>1170.2273144833878</v>
      </c>
      <c r="CZ95" s="137">
        <f t="shared" ref="CZ95" si="776">+CY95*(1+CZ$37)</f>
        <v>1173.1134107358223</v>
      </c>
      <c r="DA95" s="137">
        <f t="shared" ref="DA95" si="777">+CZ95*(1+DA$37)</f>
        <v>1176.0066248802041</v>
      </c>
      <c r="DB95" s="137">
        <f t="shared" ref="DB95" si="778">+DA95*(1+DB$37)</f>
        <v>1178.9069744711751</v>
      </c>
      <c r="DC95" s="137">
        <f t="shared" ref="DC95" si="779">+DB95*(1+DC$37)</f>
        <v>1181.8144771066713</v>
      </c>
      <c r="DD95" s="137">
        <f t="shared" ref="DD95" si="780">+DC95*(1+DD$37)</f>
        <v>1184.7291504280304</v>
      </c>
      <c r="DE95" s="137">
        <f t="shared" ref="DE95" si="781">+DD95*(1+DE$37)</f>
        <v>1187.6510121200981</v>
      </c>
      <c r="DF95" s="137">
        <f t="shared" ref="DF95" si="782">+DE95*(1+DF$37)</f>
        <v>1190.5800799113358</v>
      </c>
      <c r="DG95" s="137">
        <f t="shared" ref="DG95" si="783">+DF95*(1+DG$37)</f>
        <v>1193.5163715739282</v>
      </c>
      <c r="DH95" s="137">
        <f t="shared" ref="DH95" si="784">+DG95*(1+DH$37)</f>
        <v>1196.4599049238905</v>
      </c>
      <c r="DI95" s="137">
        <f t="shared" ref="DI95" si="785">+DH95*(1+DI$37)</f>
        <v>1199.4106978211776</v>
      </c>
    </row>
    <row r="96" spans="2:113" customFormat="1" outlineLevel="1" x14ac:dyDescent="0.25">
      <c r="B96" s="1"/>
      <c r="C96" s="60" t="s">
        <v>249</v>
      </c>
      <c r="D96" s="46" t="s">
        <v>125</v>
      </c>
      <c r="E96" s="1"/>
      <c r="F96" s="224">
        <f>IF(F$35=EOMONTH($E79,1),F95,IF(AND(F$35&gt;EOMONTH($E79,1),F$35&lt;=$E81),E96*(1+F82),0))</f>
        <v>0</v>
      </c>
      <c r="G96" s="224">
        <f t="shared" ref="G96" si="786">IF(G$35=EOMONTH($E79,1),G95,IF(AND(G$35&gt;EOMONTH($E79,1),G$35&lt;=$E81),F96*(1+G82),0))</f>
        <v>0</v>
      </c>
      <c r="H96" s="224">
        <f t="shared" ref="H96" si="787">IF(H$35=EOMONTH($E79,1),H95,IF(AND(H$35&gt;EOMONTH($E79,1),H$35&lt;=$E81),G96*(1+H82),0))</f>
        <v>0</v>
      </c>
      <c r="I96" s="224">
        <f t="shared" ref="I96" si="788">IF(I$35=EOMONTH($E79,1),I95,IF(AND(I$35&gt;EOMONTH($E79,1),I$35&lt;=$E81),H96*(1+I82),0))</f>
        <v>0</v>
      </c>
      <c r="J96" s="224">
        <f t="shared" ref="J96" si="789">IF(J$35=EOMONTH($E79,1),J95,IF(AND(J$35&gt;EOMONTH($E79,1),J$35&lt;=$E81),I96*(1+J82),0))</f>
        <v>0</v>
      </c>
      <c r="K96" s="224">
        <f t="shared" ref="K96" si="790">IF(K$35=EOMONTH($E79,1),K95,IF(AND(K$35&gt;EOMONTH($E79,1),K$35&lt;=$E81),J96*(1+K82),0))</f>
        <v>0</v>
      </c>
      <c r="L96" s="224">
        <f t="shared" ref="L96" si="791">IF(L$35=EOMONTH($E79,1),L95,IF(AND(L$35&gt;EOMONTH($E79,1),L$35&lt;=$E81),K96*(1+L82),0))</f>
        <v>0</v>
      </c>
      <c r="M96" s="224">
        <f t="shared" ref="M96" si="792">IF(M$35=EOMONTH($E79,1),M95,IF(AND(M$35&gt;EOMONTH($E79,1),M$35&lt;=$E81),L96*(1+M82),0))</f>
        <v>0</v>
      </c>
      <c r="N96" s="224">
        <f t="shared" ref="N96" si="793">IF(N$35=EOMONTH($E79,1),N95,IF(AND(N$35&gt;EOMONTH($E79,1),N$35&lt;=$E81),M96*(1+N82),0))</f>
        <v>0</v>
      </c>
      <c r="O96" s="224">
        <f t="shared" ref="O96" si="794">IF(O$35=EOMONTH($E79,1),O95,IF(AND(O$35&gt;EOMONTH($E79,1),O$35&lt;=$E81),N96*(1+O82),0))</f>
        <v>0</v>
      </c>
      <c r="P96" s="224">
        <f t="shared" ref="P96" si="795">IF(P$35=EOMONTH($E79,1),P95,IF(AND(P$35&gt;EOMONTH($E79,1),P$35&lt;=$E81),O96*(1+P82),0))</f>
        <v>0</v>
      </c>
      <c r="Q96" s="224">
        <f t="shared" ref="Q96" si="796">IF(Q$35=EOMONTH($E79,1),Q95,IF(AND(Q$35&gt;EOMONTH($E79,1),Q$35&lt;=$E81),P96*(1+Q82),0))</f>
        <v>0</v>
      </c>
      <c r="R96" s="224">
        <f t="shared" ref="R96" si="797">IF(R$35=EOMONTH($E79,1),R95,IF(AND(R$35&gt;EOMONTH($E79,1),R$35&lt;=$E81),Q96*(1+R82),0))</f>
        <v>0</v>
      </c>
      <c r="S96" s="224">
        <f t="shared" ref="S96" si="798">IF(S$35=EOMONTH($E79,1),S95,IF(AND(S$35&gt;EOMONTH($E79,1),S$35&lt;=$E81),R96*(1+S82),0))</f>
        <v>0</v>
      </c>
      <c r="T96" s="224">
        <f t="shared" ref="T96" si="799">IF(T$35=EOMONTH($E79,1),T95,IF(AND(T$35&gt;EOMONTH($E79,1),T$35&lt;=$E81),S96*(1+T82),0))</f>
        <v>0</v>
      </c>
      <c r="U96" s="224">
        <f t="shared" ref="U96" si="800">IF(U$35=EOMONTH($E79,1),U95,IF(AND(U$35&gt;EOMONTH($E79,1),U$35&lt;=$E81),T96*(1+U82),0))</f>
        <v>0</v>
      </c>
      <c r="V96" s="224">
        <f t="shared" ref="V96" si="801">IF(V$35=EOMONTH($E79,1),V95,IF(AND(V$35&gt;EOMONTH($E79,1),V$35&lt;=$E81),U96*(1+V82),0))</f>
        <v>0</v>
      </c>
      <c r="W96" s="224">
        <f t="shared" ref="W96" si="802">IF(W$35=EOMONTH($E79,1),W95,IF(AND(W$35&gt;EOMONTH($E79,1),W$35&lt;=$E81),V96*(1+W82),0))</f>
        <v>0</v>
      </c>
      <c r="X96" s="224">
        <f t="shared" ref="X96" si="803">IF(X$35=EOMONTH($E79,1),X95,IF(AND(X$35&gt;EOMONTH($E79,1),X$35&lt;=$E81),W96*(1+X82),0))</f>
        <v>0</v>
      </c>
      <c r="Y96" s="224">
        <f t="shared" ref="Y96" si="804">IF(Y$35=EOMONTH($E79,1),Y95,IF(AND(Y$35&gt;EOMONTH($E79,1),Y$35&lt;=$E81),X96*(1+Y82),0))</f>
        <v>0</v>
      </c>
      <c r="Z96" s="224">
        <f t="shared" ref="Z96" si="805">IF(Z$35=EOMONTH($E79,1),Z95,IF(AND(Z$35&gt;EOMONTH($E79,1),Z$35&lt;=$E81),Y96*(1+Z82),0))</f>
        <v>0</v>
      </c>
      <c r="AA96" s="224">
        <f t="shared" ref="AA96" si="806">IF(AA$35=EOMONTH($E79,1),AA95,IF(AND(AA$35&gt;EOMONTH($E79,1),AA$35&lt;=$E81),Z96*(1+AA82),0))</f>
        <v>0</v>
      </c>
      <c r="AB96" s="224">
        <f t="shared" ref="AB96" si="807">IF(AB$35=EOMONTH($E79,1),AB95,IF(AND(AB$35&gt;EOMONTH($E79,1),AB$35&lt;=$E81),AA96*(1+AB82),0))</f>
        <v>0</v>
      </c>
      <c r="AC96" s="224">
        <f t="shared" ref="AC96" si="808">IF(AC$35=EOMONTH($E79,1),AC95,IF(AND(AC$35&gt;EOMONTH($E79,1),AC$35&lt;=$E81),AB96*(1+AC82),0))</f>
        <v>0</v>
      </c>
      <c r="AD96" s="224">
        <f t="shared" ref="AD96" si="809">IF(AD$35=EOMONTH($E79,1),AD95,IF(AND(AD$35&gt;EOMONTH($E79,1),AD$35&lt;=$E81),AC96*(1+AD82),0))</f>
        <v>0</v>
      </c>
      <c r="AE96" s="224">
        <f t="shared" ref="AE96" si="810">IF(AE$35=EOMONTH($E79,1),AE95,IF(AND(AE$35&gt;EOMONTH($E79,1),AE$35&lt;=$E81),AD96*(1+AE82),0))</f>
        <v>0</v>
      </c>
      <c r="AF96" s="224">
        <f t="shared" ref="AF96" si="811">IF(AF$35=EOMONTH($E79,1),AF95,IF(AND(AF$35&gt;EOMONTH($E79,1),AF$35&lt;=$E81),AE96*(1+AF82),0))</f>
        <v>0</v>
      </c>
      <c r="AG96" s="224">
        <f t="shared" ref="AG96" si="812">IF(AG$35=EOMONTH($E79,1),AG95,IF(AND(AG$35&gt;EOMONTH($E79,1),AG$35&lt;=$E81),AF96*(1+AG82),0))</f>
        <v>0</v>
      </c>
      <c r="AH96" s="224">
        <f t="shared" ref="AH96" si="813">IF(AH$35=EOMONTH($E79,1),AH95,IF(AND(AH$35&gt;EOMONTH($E79,1),AH$35&lt;=$E81),AG96*(1+AH82),0))</f>
        <v>0</v>
      </c>
      <c r="AI96" s="224">
        <f t="shared" ref="AI96" si="814">IF(AI$35=EOMONTH($E79,1),AI95,IF(AND(AI$35&gt;EOMONTH($E79,1),AI$35&lt;=$E81),AH96*(1+AI82),0))</f>
        <v>0</v>
      </c>
      <c r="AJ96" s="224">
        <f t="shared" ref="AJ96" si="815">IF(AJ$35=EOMONTH($E79,1),AJ95,IF(AND(AJ$35&gt;EOMONTH($E79,1),AJ$35&lt;=$E81),AI96*(1+AJ82),0))</f>
        <v>0</v>
      </c>
      <c r="AK96" s="224">
        <f t="shared" ref="AK96" si="816">IF(AK$35=EOMONTH($E79,1),AK95,IF(AND(AK$35&gt;EOMONTH($E79,1),AK$35&lt;=$E81),AJ96*(1+AK82),0))</f>
        <v>0</v>
      </c>
      <c r="AL96" s="224">
        <f t="shared" ref="AL96" si="817">IF(AL$35=EOMONTH($E79,1),AL95,IF(AND(AL$35&gt;EOMONTH($E79,1),AL$35&lt;=$E81),AK96*(1+AL82),0))</f>
        <v>0</v>
      </c>
      <c r="AM96" s="224">
        <f t="shared" ref="AM96" si="818">IF(AM$35=EOMONTH($E79,1),AM95,IF(AND(AM$35&gt;EOMONTH($E79,1),AM$35&lt;=$E81),AL96*(1+AM82),0))</f>
        <v>0</v>
      </c>
      <c r="AN96" s="224">
        <f t="shared" ref="AN96" si="819">IF(AN$35=EOMONTH($E79,1),AN95,IF(AND(AN$35&gt;EOMONTH($E79,1),AN$35&lt;=$E81),AM96*(1+AN82),0))</f>
        <v>0</v>
      </c>
      <c r="AO96" s="224">
        <f t="shared" ref="AO96" si="820">IF(AO$35=EOMONTH($E79,1),AO95,IF(AND(AO$35&gt;EOMONTH($E79,1),AO$35&lt;=$E81),AN96*(1+AO82),0))</f>
        <v>0</v>
      </c>
      <c r="AP96" s="224">
        <f t="shared" ref="AP96" si="821">IF(AP$35=EOMONTH($E79,1),AP95,IF(AND(AP$35&gt;EOMONTH($E79,1),AP$35&lt;=$E81),AO96*(1+AP82),0))</f>
        <v>0</v>
      </c>
      <c r="AQ96" s="224">
        <f t="shared" ref="AQ96" si="822">IF(AQ$35=EOMONTH($E79,1),AQ95,IF(AND(AQ$35&gt;EOMONTH($E79,1),AQ$35&lt;=$E81),AP96*(1+AQ82),0))</f>
        <v>0</v>
      </c>
      <c r="AR96" s="224">
        <f t="shared" ref="AR96" si="823">IF(AR$35=EOMONTH($E79,1),AR95,IF(AND(AR$35&gt;EOMONTH($E79,1),AR$35&lt;=$E81),AQ96*(1+AR82),0))</f>
        <v>0</v>
      </c>
      <c r="AS96" s="224">
        <f t="shared" ref="AS96" si="824">IF(AS$35=EOMONTH($E79,1),AS95,IF(AND(AS$35&gt;EOMONTH($E79,1),AS$35&lt;=$E81),AR96*(1+AS82),0))</f>
        <v>0</v>
      </c>
      <c r="AT96" s="224">
        <f t="shared" ref="AT96" si="825">IF(AT$35=EOMONTH($E79,1),AT95,IF(AND(AT$35&gt;EOMONTH($E79,1),AT$35&lt;=$E81),AS96*(1+AT82),0))</f>
        <v>0</v>
      </c>
      <c r="AU96" s="224">
        <f t="shared" ref="AU96" si="826">IF(AU$35=EOMONTH($E79,1),AU95,IF(AND(AU$35&gt;EOMONTH($E79,1),AU$35&lt;=$E81),AT96*(1+AU82),0))</f>
        <v>0</v>
      </c>
      <c r="AV96" s="224">
        <f t="shared" ref="AV96" si="827">IF(AV$35=EOMONTH($E79,1),AV95,IF(AND(AV$35&gt;EOMONTH($E79,1),AV$35&lt;=$E81),AU96*(1+AV82),0))</f>
        <v>0</v>
      </c>
      <c r="AW96" s="224">
        <f t="shared" ref="AW96" si="828">IF(AW$35=EOMONTH($E79,1),AW95,IF(AND(AW$35&gt;EOMONTH($E79,1),AW$35&lt;=$E81),AV96*(1+AW82),0))</f>
        <v>0</v>
      </c>
      <c r="AX96" s="224">
        <f t="shared" ref="AX96" si="829">IF(AX$35=EOMONTH($E79,1),AX95,IF(AND(AX$35&gt;EOMONTH($E79,1),AX$35&lt;=$E81),AW96*(1+AX82),0))</f>
        <v>0</v>
      </c>
      <c r="AY96" s="224">
        <f t="shared" ref="AY96" si="830">IF(AY$35=EOMONTH($E79,1),AY95,IF(AND(AY$35&gt;EOMONTH($E79,1),AY$35&lt;=$E81),AX96*(1+AY82),0))</f>
        <v>0</v>
      </c>
      <c r="AZ96" s="224">
        <f t="shared" ref="AZ96" si="831">IF(AZ$35=EOMONTH($E79,1),AZ95,IF(AND(AZ$35&gt;EOMONTH($E79,1),AZ$35&lt;=$E81),AY96*(1+AZ82),0))</f>
        <v>0</v>
      </c>
      <c r="BA96" s="224">
        <f t="shared" ref="BA96" si="832">IF(BA$35=EOMONTH($E79,1),BA95,IF(AND(BA$35&gt;EOMONTH($E79,1),BA$35&lt;=$E81),AZ96*(1+BA82),0))</f>
        <v>0</v>
      </c>
      <c r="BB96" s="224">
        <f t="shared" ref="BB96" si="833">IF(BB$35=EOMONTH($E79,1),BB95,IF(AND(BB$35&gt;EOMONTH($E79,1),BB$35&lt;=$E81),BA96*(1+BB82),0))</f>
        <v>1027.5916663725025</v>
      </c>
      <c r="BC96" s="224">
        <f t="shared" ref="BC96" si="834">IF(BC$35=EOMONTH($E79,1),BC95,IF(AND(BC$35&gt;EOMONTH($E79,1),BC$35&lt;=$E81),BB96*(1+BC82),0))</f>
        <v>1027.5916663725025</v>
      </c>
      <c r="BD96" s="224">
        <f t="shared" ref="BD96" si="835">IF(BD$35=EOMONTH($E79,1),BD95,IF(AND(BD$35&gt;EOMONTH($E79,1),BD$35&lt;=$E81),BC96*(1+BD82),0))</f>
        <v>1027.5916663725025</v>
      </c>
      <c r="BE96" s="224">
        <f t="shared" ref="BE96" si="836">IF(BE$35=EOMONTH($E79,1),BE95,IF(AND(BE$35&gt;EOMONTH($E79,1),BE$35&lt;=$E81),BD96*(1+BE82),0))</f>
        <v>1027.5916663725025</v>
      </c>
      <c r="BF96" s="224">
        <f t="shared" ref="BF96" si="837">IF(BF$35=EOMONTH($E79,1),BF95,IF(AND(BF$35&gt;EOMONTH($E79,1),BF$35&lt;=$E81),BE96*(1+BF82),0))</f>
        <v>1027.5916663725025</v>
      </c>
      <c r="BG96" s="224">
        <f t="shared" ref="BG96" si="838">IF(BG$35=EOMONTH($E79,1),BG95,IF(AND(BG$35&gt;EOMONTH($E79,1),BG$35&lt;=$E81),BF96*(1+BG82),0))</f>
        <v>1027.5916663725025</v>
      </c>
      <c r="BH96" s="224">
        <f t="shared" ref="BH96" si="839">IF(BH$35=EOMONTH($E79,1),BH95,IF(AND(BH$35&gt;EOMONTH($E79,1),BH$35&lt;=$E81),BG96*(1+BH82),0))</f>
        <v>1027.5916663725025</v>
      </c>
      <c r="BI96" s="224">
        <f t="shared" ref="BI96" si="840">IF(BI$35=EOMONTH($E79,1),BI95,IF(AND(BI$35&gt;EOMONTH($E79,1),BI$35&lt;=$E81),BH96*(1+BI82),0))</f>
        <v>1027.5916663725025</v>
      </c>
      <c r="BJ96" s="224">
        <f t="shared" ref="BJ96" si="841">IF(BJ$35=EOMONTH($E79,1),BJ95,IF(AND(BJ$35&gt;EOMONTH($E79,1),BJ$35&lt;=$E81),BI96*(1+BJ82),0))</f>
        <v>1027.5916663725025</v>
      </c>
      <c r="BK96" s="224">
        <f t="shared" ref="BK96" si="842">IF(BK$35=EOMONTH($E79,1),BK95,IF(AND(BK$35&gt;EOMONTH($E79,1),BK$35&lt;=$E81),BJ96*(1+BK82),0))</f>
        <v>1027.5916663725025</v>
      </c>
      <c r="BL96" s="224">
        <f t="shared" ref="BL96" si="843">IF(BL$35=EOMONTH($E79,1),BL95,IF(AND(BL$35&gt;EOMONTH($E79,1),BL$35&lt;=$E81),BK96*(1+BL82),0))</f>
        <v>1027.5916663725025</v>
      </c>
      <c r="BM96" s="224">
        <f t="shared" ref="BM96" si="844">IF(BM$35=EOMONTH($E79,1),BM95,IF(AND(BM$35&gt;EOMONTH($E79,1),BM$35&lt;=$E81),BL96*(1+BM82),0))</f>
        <v>1027.5916663725025</v>
      </c>
      <c r="BN96" s="224">
        <f t="shared" ref="BN96" si="845">IF(BN$35=EOMONTH($E79,1),BN95,IF(AND(BN$35&gt;EOMONTH($E79,1),BN$35&lt;=$E81),BM96*(1+BN82),0))</f>
        <v>1050.7124788658837</v>
      </c>
      <c r="BO96" s="224">
        <f t="shared" ref="BO96" si="846">IF(BO$35=EOMONTH($E79,1),BO95,IF(AND(BO$35&gt;EOMONTH($E79,1),BO$35&lt;=$E81),BN96*(1+BO82),0))</f>
        <v>1050.7124788658837</v>
      </c>
      <c r="BP96" s="224">
        <f t="shared" ref="BP96" si="847">IF(BP$35=EOMONTH($E79,1),BP95,IF(AND(BP$35&gt;EOMONTH($E79,1),BP$35&lt;=$E81),BO96*(1+BP82),0))</f>
        <v>1050.7124788658837</v>
      </c>
      <c r="BQ96" s="224">
        <f t="shared" ref="BQ96" si="848">IF(BQ$35=EOMONTH($E79,1),BQ95,IF(AND(BQ$35&gt;EOMONTH($E79,1),BQ$35&lt;=$E81),BP96*(1+BQ82),0))</f>
        <v>1050.7124788658837</v>
      </c>
      <c r="BR96" s="224">
        <f t="shared" ref="BR96" si="849">IF(BR$35=EOMONTH($E79,1),BR95,IF(AND(BR$35&gt;EOMONTH($E79,1),BR$35&lt;=$E81),BQ96*(1+BR82),0))</f>
        <v>1050.7124788658837</v>
      </c>
      <c r="BS96" s="224">
        <f t="shared" ref="BS96" si="850">IF(BS$35=EOMONTH($E79,1),BS95,IF(AND(BS$35&gt;EOMONTH($E79,1),BS$35&lt;=$E81),BR96*(1+BS82),0))</f>
        <v>1050.7124788658837</v>
      </c>
      <c r="BT96" s="224">
        <f t="shared" ref="BT96" si="851">IF(BT$35=EOMONTH($E79,1),BT95,IF(AND(BT$35&gt;EOMONTH($E79,1),BT$35&lt;=$E81),BS96*(1+BT82),0))</f>
        <v>1050.7124788658837</v>
      </c>
      <c r="BU96" s="224">
        <f t="shared" ref="BU96" si="852">IF(BU$35=EOMONTH($E79,1),BU95,IF(AND(BU$35&gt;EOMONTH($E79,1),BU$35&lt;=$E81),BT96*(1+BU82),0))</f>
        <v>1050.7124788658837</v>
      </c>
      <c r="BV96" s="224">
        <f t="shared" ref="BV96" si="853">IF(BV$35=EOMONTH($E79,1),BV95,IF(AND(BV$35&gt;EOMONTH($E79,1),BV$35&lt;=$E81),BU96*(1+BV82),0))</f>
        <v>1050.7124788658837</v>
      </c>
      <c r="BW96" s="224">
        <f t="shared" ref="BW96" si="854">IF(BW$35=EOMONTH($E79,1),BW95,IF(AND(BW$35&gt;EOMONTH($E79,1),BW$35&lt;=$E81),BV96*(1+BW82),0))</f>
        <v>1050.7124788658837</v>
      </c>
      <c r="BX96" s="224">
        <f t="shared" ref="BX96" si="855">IF(BX$35=EOMONTH($E79,1),BX95,IF(AND(BX$35&gt;EOMONTH($E79,1),BX$35&lt;=$E81),BW96*(1+BX82),0))</f>
        <v>1050.7124788658837</v>
      </c>
      <c r="BY96" s="224">
        <f t="shared" ref="BY96" si="856">IF(BY$35=EOMONTH($E79,1),BY95,IF(AND(BY$35&gt;EOMONTH($E79,1),BY$35&lt;=$E81),BX96*(1+BY82),0))</f>
        <v>1050.7124788658837</v>
      </c>
      <c r="BZ96" s="224">
        <f t="shared" ref="BZ96" si="857">IF(BZ$35=EOMONTH($E79,1),BZ95,IF(AND(BZ$35&gt;EOMONTH($E79,1),BZ$35&lt;=$E81),BY96*(1+BZ82),0))</f>
        <v>1074.3535096403659</v>
      </c>
      <c r="CA96" s="224">
        <f t="shared" ref="CA96" si="858">IF(CA$35=EOMONTH($E79,1),CA95,IF(AND(CA$35&gt;EOMONTH($E79,1),CA$35&lt;=$E81),BZ96*(1+CA82),0))</f>
        <v>1074.3535096403659</v>
      </c>
      <c r="CB96" s="224">
        <f t="shared" ref="CB96" si="859">IF(CB$35=EOMONTH($E79,1),CB95,IF(AND(CB$35&gt;EOMONTH($E79,1),CB$35&lt;=$E81),CA96*(1+CB82),0))</f>
        <v>1074.3535096403659</v>
      </c>
      <c r="CC96" s="224">
        <f t="shared" ref="CC96" si="860">IF(CC$35=EOMONTH($E79,1),CC95,IF(AND(CC$35&gt;EOMONTH($E79,1),CC$35&lt;=$E81),CB96*(1+CC82),0))</f>
        <v>1074.3535096403659</v>
      </c>
      <c r="CD96" s="224">
        <f t="shared" ref="CD96" si="861">IF(CD$35=EOMONTH($E79,1),CD95,IF(AND(CD$35&gt;EOMONTH($E79,1),CD$35&lt;=$E81),CC96*(1+CD82),0))</f>
        <v>1074.3535096403659</v>
      </c>
      <c r="CE96" s="224">
        <f t="shared" ref="CE96" si="862">IF(CE$35=EOMONTH($E79,1),CE95,IF(AND(CE$35&gt;EOMONTH($E79,1),CE$35&lt;=$E81),CD96*(1+CE82),0))</f>
        <v>1074.3535096403659</v>
      </c>
      <c r="CF96" s="224">
        <f t="shared" ref="CF96" si="863">IF(CF$35=EOMONTH($E79,1),CF95,IF(AND(CF$35&gt;EOMONTH($E79,1),CF$35&lt;=$E81),CE96*(1+CF82),0))</f>
        <v>1074.3535096403659</v>
      </c>
      <c r="CG96" s="224">
        <f t="shared" ref="CG96" si="864">IF(CG$35=EOMONTH($E79,1),CG95,IF(AND(CG$35&gt;EOMONTH($E79,1),CG$35&lt;=$E81),CF96*(1+CG82),0))</f>
        <v>1074.3535096403659</v>
      </c>
      <c r="CH96" s="224">
        <f t="shared" ref="CH96" si="865">IF(CH$35=EOMONTH($E79,1),CH95,IF(AND(CH$35&gt;EOMONTH($E79,1),CH$35&lt;=$E81),CG96*(1+CH82),0))</f>
        <v>1074.3535096403659</v>
      </c>
      <c r="CI96" s="224">
        <f t="shared" ref="CI96" si="866">IF(CI$35=EOMONTH($E79,1),CI95,IF(AND(CI$35&gt;EOMONTH($E79,1),CI$35&lt;=$E81),CH96*(1+CI82),0))</f>
        <v>1074.3535096403659</v>
      </c>
      <c r="CJ96" s="224">
        <f t="shared" ref="CJ96" si="867">IF(CJ$35=EOMONTH($E79,1),CJ95,IF(AND(CJ$35&gt;EOMONTH($E79,1),CJ$35&lt;=$E81),CI96*(1+CJ82),0))</f>
        <v>1074.3535096403659</v>
      </c>
      <c r="CK96" s="224">
        <f t="shared" ref="CK96" si="868">IF(CK$35=EOMONTH($E79,1),CK95,IF(AND(CK$35&gt;EOMONTH($E79,1),CK$35&lt;=$E81),CJ96*(1+CK82),0))</f>
        <v>1074.3535096403659</v>
      </c>
      <c r="CL96" s="224">
        <f t="shared" ref="CL96" si="869">IF(CL$35=EOMONTH($E79,1),CL95,IF(AND(CL$35&gt;EOMONTH($E79,1),CL$35&lt;=$E81),CK96*(1+CL82),0))</f>
        <v>1098.5264636072741</v>
      </c>
      <c r="CM96" s="224">
        <f t="shared" ref="CM96" si="870">IF(CM$35=EOMONTH($E79,1),CM95,IF(AND(CM$35&gt;EOMONTH($E79,1),CM$35&lt;=$E81),CL96*(1+CM82),0))</f>
        <v>1098.5264636072741</v>
      </c>
      <c r="CN96" s="224">
        <f t="shared" ref="CN96" si="871">IF(CN$35=EOMONTH($E79,1),CN95,IF(AND(CN$35&gt;EOMONTH($E79,1),CN$35&lt;=$E81),CM96*(1+CN82),0))</f>
        <v>1098.5264636072741</v>
      </c>
      <c r="CO96" s="224">
        <f t="shared" ref="CO96" si="872">IF(CO$35=EOMONTH($E79,1),CO95,IF(AND(CO$35&gt;EOMONTH($E79,1),CO$35&lt;=$E81),CN96*(1+CO82),0))</f>
        <v>1098.5264636072741</v>
      </c>
      <c r="CP96" s="224">
        <f t="shared" ref="CP96" si="873">IF(CP$35=EOMONTH($E79,1),CP95,IF(AND(CP$35&gt;EOMONTH($E79,1),CP$35&lt;=$E81),CO96*(1+CP82),0))</f>
        <v>1098.5264636072741</v>
      </c>
      <c r="CQ96" s="224">
        <f t="shared" ref="CQ96" si="874">IF(CQ$35=EOMONTH($E79,1),CQ95,IF(AND(CQ$35&gt;EOMONTH($E79,1),CQ$35&lt;=$E81),CP96*(1+CQ82),0))</f>
        <v>1098.5264636072741</v>
      </c>
      <c r="CR96" s="224">
        <f t="shared" ref="CR96" si="875">IF(CR$35=EOMONTH($E79,1),CR95,IF(AND(CR$35&gt;EOMONTH($E79,1),CR$35&lt;=$E81),CQ96*(1+CR82),0))</f>
        <v>1098.5264636072741</v>
      </c>
      <c r="CS96" s="224">
        <f t="shared" ref="CS96" si="876">IF(CS$35=EOMONTH($E79,1),CS95,IF(AND(CS$35&gt;EOMONTH($E79,1),CS$35&lt;=$E81),CR96*(1+CS82),0))</f>
        <v>1098.5264636072741</v>
      </c>
      <c r="CT96" s="224">
        <f t="shared" ref="CT96" si="877">IF(CT$35=EOMONTH($E79,1),CT95,IF(AND(CT$35&gt;EOMONTH($E79,1),CT$35&lt;=$E81),CS96*(1+CT82),0))</f>
        <v>1098.5264636072741</v>
      </c>
      <c r="CU96" s="224">
        <f t="shared" ref="CU96" si="878">IF(CU$35=EOMONTH($E79,1),CU95,IF(AND(CU$35&gt;EOMONTH($E79,1),CU$35&lt;=$E81),CT96*(1+CU82),0))</f>
        <v>1098.5264636072741</v>
      </c>
      <c r="CV96" s="224">
        <f t="shared" ref="CV96" si="879">IF(CV$35=EOMONTH($E79,1),CV95,IF(AND(CV$35&gt;EOMONTH($E79,1),CV$35&lt;=$E81),CU96*(1+CV82),0))</f>
        <v>1098.5264636072741</v>
      </c>
      <c r="CW96" s="224">
        <f t="shared" ref="CW96" si="880">IF(CW$35=EOMONTH($E79,1),CW95,IF(AND(CW$35&gt;EOMONTH($E79,1),CW$35&lt;=$E81),CV96*(1+CW82),0))</f>
        <v>1098.5264636072741</v>
      </c>
      <c r="CX96" s="224">
        <f t="shared" ref="CX96" si="881">IF(CX$35=EOMONTH($E79,1),CX95,IF(AND(CX$35&gt;EOMONTH($E79,1),CX$35&lt;=$E81),CW96*(1+CX82),0))</f>
        <v>0</v>
      </c>
      <c r="CY96" s="224">
        <f t="shared" ref="CY96" si="882">IF(CY$35=EOMONTH($E79,1),CY95,IF(AND(CY$35&gt;EOMONTH($E79,1),CY$35&lt;=$E81),CX96*(1+CY82),0))</f>
        <v>0</v>
      </c>
      <c r="CZ96" s="224">
        <f t="shared" ref="CZ96" si="883">IF(CZ$35=EOMONTH($E79,1),CZ95,IF(AND(CZ$35&gt;EOMONTH($E79,1),CZ$35&lt;=$E81),CY96*(1+CZ82),0))</f>
        <v>0</v>
      </c>
      <c r="DA96" s="224">
        <f t="shared" ref="DA96" si="884">IF(DA$35=EOMONTH($E79,1),DA95,IF(AND(DA$35&gt;EOMONTH($E79,1),DA$35&lt;=$E81),CZ96*(1+DA82),0))</f>
        <v>0</v>
      </c>
      <c r="DB96" s="224">
        <f t="shared" ref="DB96" si="885">IF(DB$35=EOMONTH($E79,1),DB95,IF(AND(DB$35&gt;EOMONTH($E79,1),DB$35&lt;=$E81),DA96*(1+DB82),0))</f>
        <v>0</v>
      </c>
      <c r="DC96" s="224">
        <f t="shared" ref="DC96" si="886">IF(DC$35=EOMONTH($E79,1),DC95,IF(AND(DC$35&gt;EOMONTH($E79,1),DC$35&lt;=$E81),DB96*(1+DC82),0))</f>
        <v>0</v>
      </c>
      <c r="DD96" s="224">
        <f t="shared" ref="DD96" si="887">IF(DD$35=EOMONTH($E79,1),DD95,IF(AND(DD$35&gt;EOMONTH($E79,1),DD$35&lt;=$E81),DC96*(1+DD82),0))</f>
        <v>0</v>
      </c>
      <c r="DE96" s="224">
        <f t="shared" ref="DE96" si="888">IF(DE$35=EOMONTH($E79,1),DE95,IF(AND(DE$35&gt;EOMONTH($E79,1),DE$35&lt;=$E81),DD96*(1+DE82),0))</f>
        <v>0</v>
      </c>
      <c r="DF96" s="224">
        <f t="shared" ref="DF96" si="889">IF(DF$35=EOMONTH($E79,1),DF95,IF(AND(DF$35&gt;EOMONTH($E79,1),DF$35&lt;=$E81),DE96*(1+DF82),0))</f>
        <v>0</v>
      </c>
      <c r="DG96" s="224">
        <f t="shared" ref="DG96" si="890">IF(DG$35=EOMONTH($E79,1),DG95,IF(AND(DG$35&gt;EOMONTH($E79,1),DG$35&lt;=$E81),DF96*(1+DG82),0))</f>
        <v>0</v>
      </c>
      <c r="DH96" s="224">
        <f t="shared" ref="DH96" si="891">IF(DH$35=EOMONTH($E79,1),DH95,IF(AND(DH$35&gt;EOMONTH($E79,1),DH$35&lt;=$E81),DG96*(1+DH82),0))</f>
        <v>0</v>
      </c>
      <c r="DI96" s="224">
        <f t="shared" ref="DI96" si="892">IF(DI$35=EOMONTH($E79,1),DI95,IF(AND(DI$35&gt;EOMONTH($E79,1),DI$35&lt;=$E81),DH96*(1+DI82),0))</f>
        <v>0</v>
      </c>
    </row>
    <row r="97" spans="2:113" customFormat="1" outlineLevel="1" x14ac:dyDescent="0.25">
      <c r="B97" s="1"/>
      <c r="C97" s="60" t="s">
        <v>255</v>
      </c>
      <c r="D97" s="46" t="s">
        <v>125</v>
      </c>
      <c r="E97" s="1"/>
      <c r="F97" s="224">
        <f>IF(F$35=EOMONTH($E85,1),F95,IF(AND(F$35&gt;EOMONTH($E85,1),F$35&lt;=$E87),E97*(1+F88),0))</f>
        <v>0</v>
      </c>
      <c r="G97" s="224">
        <f t="shared" ref="G97" si="893">IF(G$35=EOMONTH($E85,1),G95,IF(AND(G$35&gt;EOMONTH($E85,1),G$35&lt;=$E87),F97*(1+G88),0))</f>
        <v>0</v>
      </c>
      <c r="H97" s="224">
        <f t="shared" ref="H97" si="894">IF(H$35=EOMONTH($E85,1),H95,IF(AND(H$35&gt;EOMONTH($E85,1),H$35&lt;=$E87),G97*(1+H88),0))</f>
        <v>0</v>
      </c>
      <c r="I97" s="224">
        <f t="shared" ref="I97" si="895">IF(I$35=EOMONTH($E85,1),I95,IF(AND(I$35&gt;EOMONTH($E85,1),I$35&lt;=$E87),H97*(1+I88),0))</f>
        <v>0</v>
      </c>
      <c r="J97" s="224">
        <f t="shared" ref="J97" si="896">IF(J$35=EOMONTH($E85,1),J95,IF(AND(J$35&gt;EOMONTH($E85,1),J$35&lt;=$E87),I97*(1+J88),0))</f>
        <v>0</v>
      </c>
      <c r="K97" s="224">
        <f t="shared" ref="K97" si="897">IF(K$35=EOMONTH($E85,1),K95,IF(AND(K$35&gt;EOMONTH($E85,1),K$35&lt;=$E87),J97*(1+K88),0))</f>
        <v>0</v>
      </c>
      <c r="L97" s="224">
        <f t="shared" ref="L97" si="898">IF(L$35=EOMONTH($E85,1),L95,IF(AND(L$35&gt;EOMONTH($E85,1),L$35&lt;=$E87),K97*(1+L88),0))</f>
        <v>0</v>
      </c>
      <c r="M97" s="224">
        <f t="shared" ref="M97" si="899">IF(M$35=EOMONTH($E85,1),M95,IF(AND(M$35&gt;EOMONTH($E85,1),M$35&lt;=$E87),L97*(1+M88),0))</f>
        <v>0</v>
      </c>
      <c r="N97" s="224">
        <f t="shared" ref="N97" si="900">IF(N$35=EOMONTH($E85,1),N95,IF(AND(N$35&gt;EOMONTH($E85,1),N$35&lt;=$E87),M97*(1+N88),0))</f>
        <v>0</v>
      </c>
      <c r="O97" s="224">
        <f t="shared" ref="O97" si="901">IF(O$35=EOMONTH($E85,1),O95,IF(AND(O$35&gt;EOMONTH($E85,1),O$35&lt;=$E87),N97*(1+O88),0))</f>
        <v>0</v>
      </c>
      <c r="P97" s="224">
        <f t="shared" ref="P97" si="902">IF(P$35=EOMONTH($E85,1),P95,IF(AND(P$35&gt;EOMONTH($E85,1),P$35&lt;=$E87),O97*(1+P88),0))</f>
        <v>0</v>
      </c>
      <c r="Q97" s="224">
        <f t="shared" ref="Q97" si="903">IF(Q$35=EOMONTH($E85,1),Q95,IF(AND(Q$35&gt;EOMONTH($E85,1),Q$35&lt;=$E87),P97*(1+Q88),0))</f>
        <v>0</v>
      </c>
      <c r="R97" s="224">
        <f t="shared" ref="R97" si="904">IF(R$35=EOMONTH($E85,1),R95,IF(AND(R$35&gt;EOMONTH($E85,1),R$35&lt;=$E87),Q97*(1+R88),0))</f>
        <v>0</v>
      </c>
      <c r="S97" s="224">
        <f t="shared" ref="S97" si="905">IF(S$35=EOMONTH($E85,1),S95,IF(AND(S$35&gt;EOMONTH($E85,1),S$35&lt;=$E87),R97*(1+S88),0))</f>
        <v>0</v>
      </c>
      <c r="T97" s="224">
        <f t="shared" ref="T97" si="906">IF(T$35=EOMONTH($E85,1),T95,IF(AND(T$35&gt;EOMONTH($E85,1),T$35&lt;=$E87),S97*(1+T88),0))</f>
        <v>0</v>
      </c>
      <c r="U97" s="224">
        <f t="shared" ref="U97" si="907">IF(U$35=EOMONTH($E85,1),U95,IF(AND(U$35&gt;EOMONTH($E85,1),U$35&lt;=$E87),T97*(1+U88),0))</f>
        <v>0</v>
      </c>
      <c r="V97" s="224">
        <f t="shared" ref="V97" si="908">IF(V$35=EOMONTH($E85,1),V95,IF(AND(V$35&gt;EOMONTH($E85,1),V$35&lt;=$E87),U97*(1+V88),0))</f>
        <v>0</v>
      </c>
      <c r="W97" s="224">
        <f t="shared" ref="W97" si="909">IF(W$35=EOMONTH($E85,1),W95,IF(AND(W$35&gt;EOMONTH($E85,1),W$35&lt;=$E87),V97*(1+W88),0))</f>
        <v>0</v>
      </c>
      <c r="X97" s="224">
        <f t="shared" ref="X97" si="910">IF(X$35=EOMONTH($E85,1),X95,IF(AND(X$35&gt;EOMONTH($E85,1),X$35&lt;=$E87),W97*(1+X88),0))</f>
        <v>0</v>
      </c>
      <c r="Y97" s="224">
        <f t="shared" ref="Y97" si="911">IF(Y$35=EOMONTH($E85,1),Y95,IF(AND(Y$35&gt;EOMONTH($E85,1),Y$35&lt;=$E87),X97*(1+Y88),0))</f>
        <v>0</v>
      </c>
      <c r="Z97" s="224">
        <f t="shared" ref="Z97" si="912">IF(Z$35=EOMONTH($E85,1),Z95,IF(AND(Z$35&gt;EOMONTH($E85,1),Z$35&lt;=$E87),Y97*(1+Z88),0))</f>
        <v>0</v>
      </c>
      <c r="AA97" s="224">
        <f t="shared" ref="AA97" si="913">IF(AA$35=EOMONTH($E85,1),AA95,IF(AND(AA$35&gt;EOMONTH($E85,1),AA$35&lt;=$E87),Z97*(1+AA88),0))</f>
        <v>0</v>
      </c>
      <c r="AB97" s="224">
        <f t="shared" ref="AB97" si="914">IF(AB$35=EOMONTH($E85,1),AB95,IF(AND(AB$35&gt;EOMONTH($E85,1),AB$35&lt;=$E87),AA97*(1+AB88),0))</f>
        <v>0</v>
      </c>
      <c r="AC97" s="224">
        <f t="shared" ref="AC97" si="915">IF(AC$35=EOMONTH($E85,1),AC95,IF(AND(AC$35&gt;EOMONTH($E85,1),AC$35&lt;=$E87),AB97*(1+AC88),0))</f>
        <v>0</v>
      </c>
      <c r="AD97" s="224">
        <f t="shared" ref="AD97" si="916">IF(AD$35=EOMONTH($E85,1),AD95,IF(AND(AD$35&gt;EOMONTH($E85,1),AD$35&lt;=$E87),AC97*(1+AD88),0))</f>
        <v>0</v>
      </c>
      <c r="AE97" s="224">
        <f t="shared" ref="AE97" si="917">IF(AE$35=EOMONTH($E85,1),AE95,IF(AND(AE$35&gt;EOMONTH($E85,1),AE$35&lt;=$E87),AD97*(1+AE88),0))</f>
        <v>0</v>
      </c>
      <c r="AF97" s="224">
        <f t="shared" ref="AF97" si="918">IF(AF$35=EOMONTH($E85,1),AF95,IF(AND(AF$35&gt;EOMONTH($E85,1),AF$35&lt;=$E87),AE97*(1+AF88),0))</f>
        <v>0</v>
      </c>
      <c r="AG97" s="224">
        <f t="shared" ref="AG97" si="919">IF(AG$35=EOMONTH($E85,1),AG95,IF(AND(AG$35&gt;EOMONTH($E85,1),AG$35&lt;=$E87),AF97*(1+AG88),0))</f>
        <v>0</v>
      </c>
      <c r="AH97" s="224">
        <f t="shared" ref="AH97" si="920">IF(AH$35=EOMONTH($E85,1),AH95,IF(AND(AH$35&gt;EOMONTH($E85,1),AH$35&lt;=$E87),AG97*(1+AH88),0))</f>
        <v>0</v>
      </c>
      <c r="AI97" s="224">
        <f t="shared" ref="AI97" si="921">IF(AI$35=EOMONTH($E85,1),AI95,IF(AND(AI$35&gt;EOMONTH($E85,1),AI$35&lt;=$E87),AH97*(1+AI88),0))</f>
        <v>0</v>
      </c>
      <c r="AJ97" s="224">
        <f t="shared" ref="AJ97" si="922">IF(AJ$35=EOMONTH($E85,1),AJ95,IF(AND(AJ$35&gt;EOMONTH($E85,1),AJ$35&lt;=$E87),AI97*(1+AJ88),0))</f>
        <v>0</v>
      </c>
      <c r="AK97" s="224">
        <f t="shared" ref="AK97" si="923">IF(AK$35=EOMONTH($E85,1),AK95,IF(AND(AK$35&gt;EOMONTH($E85,1),AK$35&lt;=$E87),AJ97*(1+AK88),0))</f>
        <v>0</v>
      </c>
      <c r="AL97" s="224">
        <f t="shared" ref="AL97" si="924">IF(AL$35=EOMONTH($E85,1),AL95,IF(AND(AL$35&gt;EOMONTH($E85,1),AL$35&lt;=$E87),AK97*(1+AL88),0))</f>
        <v>0</v>
      </c>
      <c r="AM97" s="224">
        <f t="shared" ref="AM97" si="925">IF(AM$35=EOMONTH($E85,1),AM95,IF(AND(AM$35&gt;EOMONTH($E85,1),AM$35&lt;=$E87),AL97*(1+AM88),0))</f>
        <v>0</v>
      </c>
      <c r="AN97" s="224">
        <f t="shared" ref="AN97" si="926">IF(AN$35=EOMONTH($E85,1),AN95,IF(AND(AN$35&gt;EOMONTH($E85,1),AN$35&lt;=$E87),AM97*(1+AN88),0))</f>
        <v>0</v>
      </c>
      <c r="AO97" s="224">
        <f t="shared" ref="AO97" si="927">IF(AO$35=EOMONTH($E85,1),AO95,IF(AND(AO$35&gt;EOMONTH($E85,1),AO$35&lt;=$E87),AN97*(1+AO88),0))</f>
        <v>0</v>
      </c>
      <c r="AP97" s="224">
        <f t="shared" ref="AP97" si="928">IF(AP$35=EOMONTH($E85,1),AP95,IF(AND(AP$35&gt;EOMONTH($E85,1),AP$35&lt;=$E87),AO97*(1+AP88),0))</f>
        <v>0</v>
      </c>
      <c r="AQ97" s="224">
        <f t="shared" ref="AQ97" si="929">IF(AQ$35=EOMONTH($E85,1),AQ95,IF(AND(AQ$35&gt;EOMONTH($E85,1),AQ$35&lt;=$E87),AP97*(1+AQ88),0))</f>
        <v>0</v>
      </c>
      <c r="AR97" s="224">
        <f t="shared" ref="AR97" si="930">IF(AR$35=EOMONTH($E85,1),AR95,IF(AND(AR$35&gt;EOMONTH($E85,1),AR$35&lt;=$E87),AQ97*(1+AR88),0))</f>
        <v>0</v>
      </c>
      <c r="AS97" s="224">
        <f t="shared" ref="AS97" si="931">IF(AS$35=EOMONTH($E85,1),AS95,IF(AND(AS$35&gt;EOMONTH($E85,1),AS$35&lt;=$E87),AR97*(1+AS88),0))</f>
        <v>0</v>
      </c>
      <c r="AT97" s="224">
        <f t="shared" ref="AT97" si="932">IF(AT$35=EOMONTH($E85,1),AT95,IF(AND(AT$35&gt;EOMONTH($E85,1),AT$35&lt;=$E87),AS97*(1+AT88),0))</f>
        <v>0</v>
      </c>
      <c r="AU97" s="224">
        <f t="shared" ref="AU97" si="933">IF(AU$35=EOMONTH($E85,1),AU95,IF(AND(AU$35&gt;EOMONTH($E85,1),AU$35&lt;=$E87),AT97*(1+AU88),0))</f>
        <v>0</v>
      </c>
      <c r="AV97" s="224">
        <f t="shared" ref="AV97" si="934">IF(AV$35=EOMONTH($E85,1),AV95,IF(AND(AV$35&gt;EOMONTH($E85,1),AV$35&lt;=$E87),AU97*(1+AV88),0))</f>
        <v>0</v>
      </c>
      <c r="AW97" s="224">
        <f t="shared" ref="AW97" si="935">IF(AW$35=EOMONTH($E85,1),AW95,IF(AND(AW$35&gt;EOMONTH($E85,1),AW$35&lt;=$E87),AV97*(1+AW88),0))</f>
        <v>0</v>
      </c>
      <c r="AX97" s="224">
        <f t="shared" ref="AX97" si="936">IF(AX$35=EOMONTH($E85,1),AX95,IF(AND(AX$35&gt;EOMONTH($E85,1),AX$35&lt;=$E87),AW97*(1+AX88),0))</f>
        <v>0</v>
      </c>
      <c r="AY97" s="224">
        <f t="shared" ref="AY97" si="937">IF(AY$35=EOMONTH($E85,1),AY95,IF(AND(AY$35&gt;EOMONTH($E85,1),AY$35&lt;=$E87),AX97*(1+AY88),0))</f>
        <v>0</v>
      </c>
      <c r="AZ97" s="224">
        <f t="shared" ref="AZ97" si="938">IF(AZ$35=EOMONTH($E85,1),AZ95,IF(AND(AZ$35&gt;EOMONTH($E85,1),AZ$35&lt;=$E87),AY97*(1+AZ88),0))</f>
        <v>0</v>
      </c>
      <c r="BA97" s="224">
        <f t="shared" ref="BA97" si="939">IF(BA$35=EOMONTH($E85,1),BA95,IF(AND(BA$35&gt;EOMONTH($E85,1),BA$35&lt;=$E87),AZ97*(1+BA88),0))</f>
        <v>0</v>
      </c>
      <c r="BB97" s="224">
        <f t="shared" ref="BB97" si="940">IF(BB$35=EOMONTH($E85,1),BB95,IF(AND(BB$35&gt;EOMONTH($E85,1),BB$35&lt;=$E87),BA97*(1+BB88),0))</f>
        <v>0</v>
      </c>
      <c r="BC97" s="224">
        <f t="shared" ref="BC97" si="941">IF(BC$35=EOMONTH($E85,1),BC95,IF(AND(BC$35&gt;EOMONTH($E85,1),BC$35&lt;=$E87),BB97*(1+BC88),0))</f>
        <v>0</v>
      </c>
      <c r="BD97" s="224">
        <f t="shared" ref="BD97" si="942">IF(BD$35=EOMONTH($E85,1),BD95,IF(AND(BD$35&gt;EOMONTH($E85,1),BD$35&lt;=$E87),BC97*(1+BD88),0))</f>
        <v>0</v>
      </c>
      <c r="BE97" s="224">
        <f t="shared" ref="BE97" si="943">IF(BE$35=EOMONTH($E85,1),BE95,IF(AND(BE$35&gt;EOMONTH($E85,1),BE$35&lt;=$E87),BD97*(1+BE88),0))</f>
        <v>0</v>
      </c>
      <c r="BF97" s="224">
        <f t="shared" ref="BF97" si="944">IF(BF$35=EOMONTH($E85,1),BF95,IF(AND(BF$35&gt;EOMONTH($E85,1),BF$35&lt;=$E87),BE97*(1+BF88),0))</f>
        <v>0</v>
      </c>
      <c r="BG97" s="224">
        <f t="shared" ref="BG97" si="945">IF(BG$35=EOMONTH($E85,1),BG95,IF(AND(BG$35&gt;EOMONTH($E85,1),BG$35&lt;=$E87),BF97*(1+BG88),0))</f>
        <v>0</v>
      </c>
      <c r="BH97" s="224">
        <f t="shared" ref="BH97" si="946">IF(BH$35=EOMONTH($E85,1),BH95,IF(AND(BH$35&gt;EOMONTH($E85,1),BH$35&lt;=$E87),BG97*(1+BH88),0))</f>
        <v>0</v>
      </c>
      <c r="BI97" s="224">
        <f t="shared" ref="BI97" si="947">IF(BI$35=EOMONTH($E85,1),BI95,IF(AND(BI$35&gt;EOMONTH($E85,1),BI$35&lt;=$E87),BH97*(1+BI88),0))</f>
        <v>0</v>
      </c>
      <c r="BJ97" s="224">
        <f t="shared" ref="BJ97" si="948">IF(BJ$35=EOMONTH($E85,1),BJ95,IF(AND(BJ$35&gt;EOMONTH($E85,1),BJ$35&lt;=$E87),BI97*(1+BJ88),0))</f>
        <v>0</v>
      </c>
      <c r="BK97" s="224">
        <f t="shared" ref="BK97" si="949">IF(BK$35=EOMONTH($E85,1),BK95,IF(AND(BK$35&gt;EOMONTH($E85,1),BK$35&lt;=$E87),BJ97*(1+BK88),0))</f>
        <v>0</v>
      </c>
      <c r="BL97" s="224">
        <f t="shared" ref="BL97" si="950">IF(BL$35=EOMONTH($E85,1),BL95,IF(AND(BL$35&gt;EOMONTH($E85,1),BL$35&lt;=$E87),BK97*(1+BL88),0))</f>
        <v>0</v>
      </c>
      <c r="BM97" s="224">
        <f t="shared" ref="BM97" si="951">IF(BM$35=EOMONTH($E85,1),BM95,IF(AND(BM$35&gt;EOMONTH($E85,1),BM$35&lt;=$E87),BL97*(1+BM88),0))</f>
        <v>0</v>
      </c>
      <c r="BN97" s="224">
        <f t="shared" ref="BN97" si="952">IF(BN$35=EOMONTH($E85,1),BN95,IF(AND(BN$35&gt;EOMONTH($E85,1),BN$35&lt;=$E87),BM97*(1+BN88),0))</f>
        <v>0</v>
      </c>
      <c r="BO97" s="224">
        <f t="shared" ref="BO97" si="953">IF(BO$35=EOMONTH($E85,1),BO95,IF(AND(BO$35&gt;EOMONTH($E85,1),BO$35&lt;=$E87),BN97*(1+BO88),0))</f>
        <v>0</v>
      </c>
      <c r="BP97" s="224">
        <f t="shared" ref="BP97" si="954">IF(BP$35=EOMONTH($E85,1),BP95,IF(AND(BP$35&gt;EOMONTH($E85,1),BP$35&lt;=$E87),BO97*(1+BP88),0))</f>
        <v>0</v>
      </c>
      <c r="BQ97" s="224">
        <f t="shared" ref="BQ97" si="955">IF(BQ$35=EOMONTH($E85,1),BQ95,IF(AND(BQ$35&gt;EOMONTH($E85,1),BQ$35&lt;=$E87),BP97*(1+BQ88),0))</f>
        <v>0</v>
      </c>
      <c r="BR97" s="224">
        <f t="shared" ref="BR97" si="956">IF(BR$35=EOMONTH($E85,1),BR95,IF(AND(BR$35&gt;EOMONTH($E85,1),BR$35&lt;=$E87),BQ97*(1+BR88),0))</f>
        <v>0</v>
      </c>
      <c r="BS97" s="224">
        <f t="shared" ref="BS97" si="957">IF(BS$35=EOMONTH($E85,1),BS95,IF(AND(BS$35&gt;EOMONTH($E85,1),BS$35&lt;=$E87),BR97*(1+BS88),0))</f>
        <v>0</v>
      </c>
      <c r="BT97" s="224">
        <f t="shared" ref="BT97" si="958">IF(BT$35=EOMONTH($E85,1),BT95,IF(AND(BT$35&gt;EOMONTH($E85,1),BT$35&lt;=$E87),BS97*(1+BT88),0))</f>
        <v>0</v>
      </c>
      <c r="BU97" s="224">
        <f t="shared" ref="BU97" si="959">IF(BU$35=EOMONTH($E85,1),BU95,IF(AND(BU$35&gt;EOMONTH($E85,1),BU$35&lt;=$E87),BT97*(1+BU88),0))</f>
        <v>0</v>
      </c>
      <c r="BV97" s="224">
        <f t="shared" ref="BV97" si="960">IF(BV$35=EOMONTH($E85,1),BV95,IF(AND(BV$35&gt;EOMONTH($E85,1),BV$35&lt;=$E87),BU97*(1+BV88),0))</f>
        <v>0</v>
      </c>
      <c r="BW97" s="224">
        <f t="shared" ref="BW97" si="961">IF(BW$35=EOMONTH($E85,1),BW95,IF(AND(BW$35&gt;EOMONTH($E85,1),BW$35&lt;=$E87),BV97*(1+BW88),0))</f>
        <v>0</v>
      </c>
      <c r="BX97" s="224">
        <f t="shared" ref="BX97" si="962">IF(BX$35=EOMONTH($E85,1),BX95,IF(AND(BX$35&gt;EOMONTH($E85,1),BX$35&lt;=$E87),BW97*(1+BX88),0))</f>
        <v>0</v>
      </c>
      <c r="BY97" s="224">
        <f t="shared" ref="BY97" si="963">IF(BY$35=EOMONTH($E85,1),BY95,IF(AND(BY$35&gt;EOMONTH($E85,1),BY$35&lt;=$E87),BX97*(1+BY88),0))</f>
        <v>0</v>
      </c>
      <c r="BZ97" s="224">
        <f t="shared" ref="BZ97" si="964">IF(BZ$35=EOMONTH($E85,1),BZ95,IF(AND(BZ$35&gt;EOMONTH($E85,1),BZ$35&lt;=$E87),BY97*(1+BZ88),0))</f>
        <v>0</v>
      </c>
      <c r="CA97" s="224">
        <f t="shared" ref="CA97" si="965">IF(CA$35=EOMONTH($E85,1),CA95,IF(AND(CA$35&gt;EOMONTH($E85,1),CA$35&lt;=$E87),BZ97*(1+CA88),0))</f>
        <v>0</v>
      </c>
      <c r="CB97" s="224">
        <f t="shared" ref="CB97" si="966">IF(CB$35=EOMONTH($E85,1),CB95,IF(AND(CB$35&gt;EOMONTH($E85,1),CB$35&lt;=$E87),CA97*(1+CB88),0))</f>
        <v>0</v>
      </c>
      <c r="CC97" s="224">
        <f t="shared" ref="CC97" si="967">IF(CC$35=EOMONTH($E85,1),CC95,IF(AND(CC$35&gt;EOMONTH($E85,1),CC$35&lt;=$E87),CB97*(1+CC88),0))</f>
        <v>0</v>
      </c>
      <c r="CD97" s="224">
        <f t="shared" ref="CD97" si="968">IF(CD$35=EOMONTH($E85,1),CD95,IF(AND(CD$35&gt;EOMONTH($E85,1),CD$35&lt;=$E87),CC97*(1+CD88),0))</f>
        <v>0</v>
      </c>
      <c r="CE97" s="224">
        <f t="shared" ref="CE97" si="969">IF(CE$35=EOMONTH($E85,1),CE95,IF(AND(CE$35&gt;EOMONTH($E85,1),CE$35&lt;=$E87),CD97*(1+CE88),0))</f>
        <v>0</v>
      </c>
      <c r="CF97" s="224">
        <f t="shared" ref="CF97" si="970">IF(CF$35=EOMONTH($E85,1),CF95,IF(AND(CF$35&gt;EOMONTH($E85,1),CF$35&lt;=$E87),CE97*(1+CF88),0))</f>
        <v>0</v>
      </c>
      <c r="CG97" s="224">
        <f t="shared" ref="CG97" si="971">IF(CG$35=EOMONTH($E85,1),CG95,IF(AND(CG$35&gt;EOMONTH($E85,1),CG$35&lt;=$E87),CF97*(1+CG88),0))</f>
        <v>0</v>
      </c>
      <c r="CH97" s="224">
        <f t="shared" ref="CH97" si="972">IF(CH$35=EOMONTH($E85,1),CH95,IF(AND(CH$35&gt;EOMONTH($E85,1),CH$35&lt;=$E87),CG97*(1+CH88),0))</f>
        <v>0</v>
      </c>
      <c r="CI97" s="224">
        <f t="shared" ref="CI97" si="973">IF(CI$35=EOMONTH($E85,1),CI95,IF(AND(CI$35&gt;EOMONTH($E85,1),CI$35&lt;=$E87),CH97*(1+CI88),0))</f>
        <v>0</v>
      </c>
      <c r="CJ97" s="224">
        <f t="shared" ref="CJ97" si="974">IF(CJ$35=EOMONTH($E85,1),CJ95,IF(AND(CJ$35&gt;EOMONTH($E85,1),CJ$35&lt;=$E87),CI97*(1+CJ88),0))</f>
        <v>0</v>
      </c>
      <c r="CK97" s="224">
        <f t="shared" ref="CK97" si="975">IF(CK$35=EOMONTH($E85,1),CK95,IF(AND(CK$35&gt;EOMONTH($E85,1),CK$35&lt;=$E87),CJ97*(1+CK88),0))</f>
        <v>0</v>
      </c>
      <c r="CL97" s="224">
        <f t="shared" ref="CL97" si="976">IF(CL$35=EOMONTH($E85,1),CL95,IF(AND(CL$35&gt;EOMONTH($E85,1),CL$35&lt;=$E87),CK97*(1+CL88),0))</f>
        <v>0</v>
      </c>
      <c r="CM97" s="224">
        <f t="shared" ref="CM97" si="977">IF(CM$35=EOMONTH($E85,1),CM95,IF(AND(CM$35&gt;EOMONTH($E85,1),CM$35&lt;=$E87),CL97*(1+CM88),0))</f>
        <v>0</v>
      </c>
      <c r="CN97" s="224">
        <f t="shared" ref="CN97" si="978">IF(CN$35=EOMONTH($E85,1),CN95,IF(AND(CN$35&gt;EOMONTH($E85,1),CN$35&lt;=$E87),CM97*(1+CN88),0))</f>
        <v>0</v>
      </c>
      <c r="CO97" s="224">
        <f t="shared" ref="CO97" si="979">IF(CO$35=EOMONTH($E85,1),CO95,IF(AND(CO$35&gt;EOMONTH($E85,1),CO$35&lt;=$E87),CN97*(1+CO88),0))</f>
        <v>0</v>
      </c>
      <c r="CP97" s="224">
        <f t="shared" ref="CP97" si="980">IF(CP$35=EOMONTH($E85,1),CP95,IF(AND(CP$35&gt;EOMONTH($E85,1),CP$35&lt;=$E87),CO97*(1+CP88),0))</f>
        <v>0</v>
      </c>
      <c r="CQ97" s="224">
        <f t="shared" ref="CQ97" si="981">IF(CQ$35=EOMONTH($E85,1),CQ95,IF(AND(CQ$35&gt;EOMONTH($E85,1),CQ$35&lt;=$E87),CP97*(1+CQ88),0))</f>
        <v>0</v>
      </c>
      <c r="CR97" s="224">
        <f t="shared" ref="CR97" si="982">IF(CR$35=EOMONTH($E85,1),CR95,IF(AND(CR$35&gt;EOMONTH($E85,1),CR$35&lt;=$E87),CQ97*(1+CR88),0))</f>
        <v>0</v>
      </c>
      <c r="CS97" s="224">
        <f t="shared" ref="CS97" si="983">IF(CS$35=EOMONTH($E85,1),CS95,IF(AND(CS$35&gt;EOMONTH($E85,1),CS$35&lt;=$E87),CR97*(1+CS88),0))</f>
        <v>0</v>
      </c>
      <c r="CT97" s="224">
        <f t="shared" ref="CT97" si="984">IF(CT$35=EOMONTH($E85,1),CT95,IF(AND(CT$35&gt;EOMONTH($E85,1),CT$35&lt;=$E87),CS97*(1+CT88),0))</f>
        <v>0</v>
      </c>
      <c r="CU97" s="224">
        <f t="shared" ref="CU97" si="985">IF(CU$35=EOMONTH($E85,1),CU95,IF(AND(CU$35&gt;EOMONTH($E85,1),CU$35&lt;=$E87),CT97*(1+CU88),0))</f>
        <v>0</v>
      </c>
      <c r="CV97" s="224">
        <f t="shared" ref="CV97" si="986">IF(CV$35=EOMONTH($E85,1),CV95,IF(AND(CV$35&gt;EOMONTH($E85,1),CV$35&lt;=$E87),CU97*(1+CV88),0))</f>
        <v>0</v>
      </c>
      <c r="CW97" s="224">
        <f t="shared" ref="CW97" si="987">IF(CW$35=EOMONTH($E85,1),CW95,IF(AND(CW$35&gt;EOMONTH($E85,1),CW$35&lt;=$E87),CV97*(1+CW88),0))</f>
        <v>0</v>
      </c>
      <c r="CX97" s="224">
        <f t="shared" ref="CX97" si="988">IF(CX$35=EOMONTH($E85,1),CX95,IF(AND(CX$35&gt;EOMONTH($E85,1),CX$35&lt;=$E87),CW97*(1+CX88),0))</f>
        <v>1167.3483186114468</v>
      </c>
      <c r="CY97" s="224">
        <f t="shared" ref="CY97" si="989">IF(CY$35=EOMONTH($E85,1),CY95,IF(AND(CY$35&gt;EOMONTH($E85,1),CY$35&lt;=$E87),CX97*(1+CY88),0))</f>
        <v>1167.3483186114468</v>
      </c>
      <c r="CZ97" s="224">
        <f t="shared" ref="CZ97" si="990">IF(CZ$35=EOMONTH($E85,1),CZ95,IF(AND(CZ$35&gt;EOMONTH($E85,1),CZ$35&lt;=$E87),CY97*(1+CZ88),0))</f>
        <v>1167.3483186114468</v>
      </c>
      <c r="DA97" s="224">
        <f t="shared" ref="DA97" si="991">IF(DA$35=EOMONTH($E85,1),DA95,IF(AND(DA$35&gt;EOMONTH($E85,1),DA$35&lt;=$E87),CZ97*(1+DA88),0))</f>
        <v>1167.3483186114468</v>
      </c>
      <c r="DB97" s="224">
        <f t="shared" ref="DB97" si="992">IF(DB$35=EOMONTH($E85,1),DB95,IF(AND(DB$35&gt;EOMONTH($E85,1),DB$35&lt;=$E87),DA97*(1+DB88),0))</f>
        <v>1167.3483186114468</v>
      </c>
      <c r="DC97" s="224">
        <f t="shared" ref="DC97" si="993">IF(DC$35=EOMONTH($E85,1),DC95,IF(AND(DC$35&gt;EOMONTH($E85,1),DC$35&lt;=$E87),DB97*(1+DC88),0))</f>
        <v>1167.3483186114468</v>
      </c>
      <c r="DD97" s="224">
        <f t="shared" ref="DD97" si="994">IF(DD$35=EOMONTH($E85,1),DD95,IF(AND(DD$35&gt;EOMONTH($E85,1),DD$35&lt;=$E87),DC97*(1+DD88),0))</f>
        <v>1167.3483186114468</v>
      </c>
      <c r="DE97" s="224">
        <f t="shared" ref="DE97" si="995">IF(DE$35=EOMONTH($E85,1),DE95,IF(AND(DE$35&gt;EOMONTH($E85,1),DE$35&lt;=$E87),DD97*(1+DE88),0))</f>
        <v>1167.3483186114468</v>
      </c>
      <c r="DF97" s="224">
        <f t="shared" ref="DF97" si="996">IF(DF$35=EOMONTH($E85,1),DF95,IF(AND(DF$35&gt;EOMONTH($E85,1),DF$35&lt;=$E87),DE97*(1+DF88),0))</f>
        <v>1167.3483186114468</v>
      </c>
      <c r="DG97" s="224">
        <f t="shared" ref="DG97" si="997">IF(DG$35=EOMONTH($E85,1),DG95,IF(AND(DG$35&gt;EOMONTH($E85,1),DG$35&lt;=$E87),DF97*(1+DG88),0))</f>
        <v>1167.3483186114468</v>
      </c>
      <c r="DH97" s="224">
        <f t="shared" ref="DH97" si="998">IF(DH$35=EOMONTH($E85,1),DH95,IF(AND(DH$35&gt;EOMONTH($E85,1),DH$35&lt;=$E87),DG97*(1+DH88),0))</f>
        <v>1167.3483186114468</v>
      </c>
      <c r="DI97" s="224">
        <f t="shared" ref="DI97" si="999">IF(DI$35=EOMONTH($E85,1),DI95,IF(AND(DI$35&gt;EOMONTH($E85,1),DI$35&lt;=$E87),DH97*(1+DI88),0))</f>
        <v>1167.3483186114468</v>
      </c>
    </row>
    <row r="98" spans="2:113" customFormat="1" outlineLevel="1" x14ac:dyDescent="0.25">
      <c r="B98" s="1"/>
      <c r="C98" s="60" t="s">
        <v>250</v>
      </c>
      <c r="D98" s="46" t="s">
        <v>125</v>
      </c>
      <c r="E98" s="1"/>
      <c r="F98" s="224">
        <f>IF(F$35=EOMONTH($E90,1),F95,IF(F$35&gt;EOMONTH($E90,1),E98*(1+F93),IF(AND(F$35&gt;$E81,F$35&lt;=$E90),F95,0)))</f>
        <v>0</v>
      </c>
      <c r="G98" s="224">
        <f t="shared" ref="G98" si="1000">IF(G$35=EOMONTH($E90,1),G95,IF(G$35&gt;EOMONTH($E90,1),F98*(1+G93),IF(AND(G$35&gt;$E81,G$35&lt;=$E90),G95,0)))</f>
        <v>0</v>
      </c>
      <c r="H98" s="224">
        <f t="shared" ref="H98" si="1001">IF(H$35=EOMONTH($E90,1),H95,IF(H$35&gt;EOMONTH($E90,1),G98*(1+H93),IF(AND(H$35&gt;$E81,H$35&lt;=$E90),H95,0)))</f>
        <v>0</v>
      </c>
      <c r="I98" s="224">
        <f t="shared" ref="I98" si="1002">IF(I$35=EOMONTH($E90,1),I95,IF(I$35&gt;EOMONTH($E90,1),H98*(1+I93),IF(AND(I$35&gt;$E81,I$35&lt;=$E90),I95,0)))</f>
        <v>0</v>
      </c>
      <c r="J98" s="224">
        <f t="shared" ref="J98" si="1003">IF(J$35=EOMONTH($E90,1),J95,IF(J$35&gt;EOMONTH($E90,1),I98*(1+J93),IF(AND(J$35&gt;$E81,J$35&lt;=$E90),J95,0)))</f>
        <v>0</v>
      </c>
      <c r="K98" s="224">
        <f t="shared" ref="K98" si="1004">IF(K$35=EOMONTH($E90,1),K95,IF(K$35&gt;EOMONTH($E90,1),J98*(1+K93),IF(AND(K$35&gt;$E81,K$35&lt;=$E90),K95,0)))</f>
        <v>0</v>
      </c>
      <c r="L98" s="224">
        <f t="shared" ref="L98" si="1005">IF(L$35=EOMONTH($E90,1),L95,IF(L$35&gt;EOMONTH($E90,1),K98*(1+L93),IF(AND(L$35&gt;$E81,L$35&lt;=$E90),L95,0)))</f>
        <v>0</v>
      </c>
      <c r="M98" s="224">
        <f t="shared" ref="M98" si="1006">IF(M$35=EOMONTH($E90,1),M95,IF(M$35&gt;EOMONTH($E90,1),L98*(1+M93),IF(AND(M$35&gt;$E81,M$35&lt;=$E90),M95,0)))</f>
        <v>0</v>
      </c>
      <c r="N98" s="224">
        <f t="shared" ref="N98" si="1007">IF(N$35=EOMONTH($E90,1),N95,IF(N$35&gt;EOMONTH($E90,1),M98*(1+N93),IF(AND(N$35&gt;$E81,N$35&lt;=$E90),N95,0)))</f>
        <v>0</v>
      </c>
      <c r="O98" s="224">
        <f t="shared" ref="O98" si="1008">IF(O$35=EOMONTH($E90,1),O95,IF(O$35&gt;EOMONTH($E90,1),N98*(1+O93),IF(AND(O$35&gt;$E81,O$35&lt;=$E90),O95,0)))</f>
        <v>0</v>
      </c>
      <c r="P98" s="224">
        <f t="shared" ref="P98" si="1009">IF(P$35=EOMONTH($E90,1),P95,IF(P$35&gt;EOMONTH($E90,1),O98*(1+P93),IF(AND(P$35&gt;$E81,P$35&lt;=$E90),P95,0)))</f>
        <v>0</v>
      </c>
      <c r="Q98" s="224">
        <f t="shared" ref="Q98" si="1010">IF(Q$35=EOMONTH($E90,1),Q95,IF(Q$35&gt;EOMONTH($E90,1),P98*(1+Q93),IF(AND(Q$35&gt;$E81,Q$35&lt;=$E90),Q95,0)))</f>
        <v>0</v>
      </c>
      <c r="R98" s="224">
        <f t="shared" ref="R98" si="1011">IF(R$35=EOMONTH($E90,1),R95,IF(R$35&gt;EOMONTH($E90,1),Q98*(1+R93),IF(AND(R$35&gt;$E81,R$35&lt;=$E90),R95,0)))</f>
        <v>0</v>
      </c>
      <c r="S98" s="224">
        <f t="shared" ref="S98" si="1012">IF(S$35=EOMONTH($E90,1),S95,IF(S$35&gt;EOMONTH($E90,1),R98*(1+S93),IF(AND(S$35&gt;$E81,S$35&lt;=$E90),S95,0)))</f>
        <v>0</v>
      </c>
      <c r="T98" s="224">
        <f t="shared" ref="T98" si="1013">IF(T$35=EOMONTH($E90,1),T95,IF(T$35&gt;EOMONTH($E90,1),S98*(1+T93),IF(AND(T$35&gt;$E81,T$35&lt;=$E90),T95,0)))</f>
        <v>0</v>
      </c>
      <c r="U98" s="224">
        <f t="shared" ref="U98" si="1014">IF(U$35=EOMONTH($E90,1),U95,IF(U$35&gt;EOMONTH($E90,1),T98*(1+U93),IF(AND(U$35&gt;$E81,U$35&lt;=$E90),U95,0)))</f>
        <v>0</v>
      </c>
      <c r="V98" s="224">
        <f t="shared" ref="V98" si="1015">IF(V$35=EOMONTH($E90,1),V95,IF(V$35&gt;EOMONTH($E90,1),U98*(1+V93),IF(AND(V$35&gt;$E81,V$35&lt;=$E90),V95,0)))</f>
        <v>0</v>
      </c>
      <c r="W98" s="224">
        <f t="shared" ref="W98" si="1016">IF(W$35=EOMONTH($E90,1),W95,IF(W$35&gt;EOMONTH($E90,1),V98*(1+W93),IF(AND(W$35&gt;$E81,W$35&lt;=$E90),W95,0)))</f>
        <v>0</v>
      </c>
      <c r="X98" s="224">
        <f t="shared" ref="X98" si="1017">IF(X$35=EOMONTH($E90,1),X95,IF(X$35&gt;EOMONTH($E90,1),W98*(1+X93),IF(AND(X$35&gt;$E81,X$35&lt;=$E90),X95,0)))</f>
        <v>0</v>
      </c>
      <c r="Y98" s="224">
        <f t="shared" ref="Y98" si="1018">IF(Y$35=EOMONTH($E90,1),Y95,IF(Y$35&gt;EOMONTH($E90,1),X98*(1+Y93),IF(AND(Y$35&gt;$E81,Y$35&lt;=$E90),Y95,0)))</f>
        <v>0</v>
      </c>
      <c r="Z98" s="224">
        <f t="shared" ref="Z98" si="1019">IF(Z$35=EOMONTH($E90,1),Z95,IF(Z$35&gt;EOMONTH($E90,1),Y98*(1+Z93),IF(AND(Z$35&gt;$E81,Z$35&lt;=$E90),Z95,0)))</f>
        <v>0</v>
      </c>
      <c r="AA98" s="224">
        <f t="shared" ref="AA98" si="1020">IF(AA$35=EOMONTH($E90,1),AA95,IF(AA$35&gt;EOMONTH($E90,1),Z98*(1+AA93),IF(AND(AA$35&gt;$E81,AA$35&lt;=$E90),AA95,0)))</f>
        <v>0</v>
      </c>
      <c r="AB98" s="224">
        <f t="shared" ref="AB98" si="1021">IF(AB$35=EOMONTH($E90,1),AB95,IF(AB$35&gt;EOMONTH($E90,1),AA98*(1+AB93),IF(AND(AB$35&gt;$E81,AB$35&lt;=$E90),AB95,0)))</f>
        <v>0</v>
      </c>
      <c r="AC98" s="224">
        <f t="shared" ref="AC98" si="1022">IF(AC$35=EOMONTH($E90,1),AC95,IF(AC$35&gt;EOMONTH($E90,1),AB98*(1+AC93),IF(AND(AC$35&gt;$E81,AC$35&lt;=$E90),AC95,0)))</f>
        <v>0</v>
      </c>
      <c r="AD98" s="224">
        <f t="shared" ref="AD98" si="1023">IF(AD$35=EOMONTH($E90,1),AD95,IF(AD$35&gt;EOMONTH($E90,1),AC98*(1+AD93),IF(AND(AD$35&gt;$E81,AD$35&lt;=$E90),AD95,0)))</f>
        <v>0</v>
      </c>
      <c r="AE98" s="224">
        <f t="shared" ref="AE98" si="1024">IF(AE$35=EOMONTH($E90,1),AE95,IF(AE$35&gt;EOMONTH($E90,1),AD98*(1+AE93),IF(AND(AE$35&gt;$E81,AE$35&lt;=$E90),AE95,0)))</f>
        <v>0</v>
      </c>
      <c r="AF98" s="224">
        <f t="shared" ref="AF98" si="1025">IF(AF$35=EOMONTH($E90,1),AF95,IF(AF$35&gt;EOMONTH($E90,1),AE98*(1+AF93),IF(AND(AF$35&gt;$E81,AF$35&lt;=$E90),AF95,0)))</f>
        <v>0</v>
      </c>
      <c r="AG98" s="224">
        <f t="shared" ref="AG98" si="1026">IF(AG$35=EOMONTH($E90,1),AG95,IF(AG$35&gt;EOMONTH($E90,1),AF98*(1+AG93),IF(AND(AG$35&gt;$E81,AG$35&lt;=$E90),AG95,0)))</f>
        <v>0</v>
      </c>
      <c r="AH98" s="224">
        <f t="shared" ref="AH98" si="1027">IF(AH$35=EOMONTH($E90,1),AH95,IF(AH$35&gt;EOMONTH($E90,1),AG98*(1+AH93),IF(AND(AH$35&gt;$E81,AH$35&lt;=$E90),AH95,0)))</f>
        <v>0</v>
      </c>
      <c r="AI98" s="224">
        <f t="shared" ref="AI98" si="1028">IF(AI$35=EOMONTH($E90,1),AI95,IF(AI$35&gt;EOMONTH($E90,1),AH98*(1+AI93),IF(AND(AI$35&gt;$E81,AI$35&lt;=$E90),AI95,0)))</f>
        <v>0</v>
      </c>
      <c r="AJ98" s="224">
        <f t="shared" ref="AJ98" si="1029">IF(AJ$35=EOMONTH($E90,1),AJ95,IF(AJ$35&gt;EOMONTH($E90,1),AI98*(1+AJ93),IF(AND(AJ$35&gt;$E81,AJ$35&lt;=$E90),AJ95,0)))</f>
        <v>0</v>
      </c>
      <c r="AK98" s="224">
        <f t="shared" ref="AK98" si="1030">IF(AK$35=EOMONTH($E90,1),AK95,IF(AK$35&gt;EOMONTH($E90,1),AJ98*(1+AK93),IF(AND(AK$35&gt;$E81,AK$35&lt;=$E90),AK95,0)))</f>
        <v>0</v>
      </c>
      <c r="AL98" s="224">
        <f t="shared" ref="AL98" si="1031">IF(AL$35=EOMONTH($E90,1),AL95,IF(AL$35&gt;EOMONTH($E90,1),AK98*(1+AL93),IF(AND(AL$35&gt;$E81,AL$35&lt;=$E90),AL95,0)))</f>
        <v>0</v>
      </c>
      <c r="AM98" s="224">
        <f t="shared" ref="AM98" si="1032">IF(AM$35=EOMONTH($E90,1),AM95,IF(AM$35&gt;EOMONTH($E90,1),AL98*(1+AM93),IF(AND(AM$35&gt;$E81,AM$35&lt;=$E90),AM95,0)))</f>
        <v>0</v>
      </c>
      <c r="AN98" s="224">
        <f t="shared" ref="AN98" si="1033">IF(AN$35=EOMONTH($E90,1),AN95,IF(AN$35&gt;EOMONTH($E90,1),AM98*(1+AN93),IF(AND(AN$35&gt;$E81,AN$35&lt;=$E90),AN95,0)))</f>
        <v>0</v>
      </c>
      <c r="AO98" s="224">
        <f t="shared" ref="AO98" si="1034">IF(AO$35=EOMONTH($E90,1),AO95,IF(AO$35&gt;EOMONTH($E90,1),AN98*(1+AO93),IF(AND(AO$35&gt;$E81,AO$35&lt;=$E90),AO95,0)))</f>
        <v>0</v>
      </c>
      <c r="AP98" s="224">
        <f t="shared" ref="AP98" si="1035">IF(AP$35=EOMONTH($E90,1),AP95,IF(AP$35&gt;EOMONTH($E90,1),AO98*(1+AP93),IF(AND(AP$35&gt;$E81,AP$35&lt;=$E90),AP95,0)))</f>
        <v>0</v>
      </c>
      <c r="AQ98" s="224">
        <f t="shared" ref="AQ98" si="1036">IF(AQ$35=EOMONTH($E90,1),AQ95,IF(AQ$35&gt;EOMONTH($E90,1),AP98*(1+AQ93),IF(AND(AQ$35&gt;$E81,AQ$35&lt;=$E90),AQ95,0)))</f>
        <v>0</v>
      </c>
      <c r="AR98" s="224">
        <f t="shared" ref="AR98" si="1037">IF(AR$35=EOMONTH($E90,1),AR95,IF(AR$35&gt;EOMONTH($E90,1),AQ98*(1+AR93),IF(AND(AR$35&gt;$E81,AR$35&lt;=$E90),AR95,0)))</f>
        <v>0</v>
      </c>
      <c r="AS98" s="224">
        <f t="shared" ref="AS98" si="1038">IF(AS$35=EOMONTH($E90,1),AS95,IF(AS$35&gt;EOMONTH($E90,1),AR98*(1+AS93),IF(AND(AS$35&gt;$E81,AS$35&lt;=$E90),AS95,0)))</f>
        <v>0</v>
      </c>
      <c r="AT98" s="224">
        <f t="shared" ref="AT98" si="1039">IF(AT$35=EOMONTH($E90,1),AT95,IF(AT$35&gt;EOMONTH($E90,1),AS98*(1+AT93),IF(AND(AT$35&gt;$E81,AT$35&lt;=$E90),AT95,0)))</f>
        <v>0</v>
      </c>
      <c r="AU98" s="224">
        <f t="shared" ref="AU98" si="1040">IF(AU$35=EOMONTH($E90,1),AU95,IF(AU$35&gt;EOMONTH($E90,1),AT98*(1+AU93),IF(AND(AU$35&gt;$E81,AU$35&lt;=$E90),AU95,0)))</f>
        <v>0</v>
      </c>
      <c r="AV98" s="224">
        <f t="shared" ref="AV98" si="1041">IF(AV$35=EOMONTH($E90,1),AV95,IF(AV$35&gt;EOMONTH($E90,1),AU98*(1+AV93),IF(AND(AV$35&gt;$E81,AV$35&lt;=$E90),AV95,0)))</f>
        <v>0</v>
      </c>
      <c r="AW98" s="224">
        <f t="shared" ref="AW98" si="1042">IF(AW$35=EOMONTH($E90,1),AW95,IF(AW$35&gt;EOMONTH($E90,1),AV98*(1+AW93),IF(AND(AW$35&gt;$E81,AW$35&lt;=$E90),AW95,0)))</f>
        <v>0</v>
      </c>
      <c r="AX98" s="224">
        <f t="shared" ref="AX98" si="1043">IF(AX$35=EOMONTH($E90,1),AX95,IF(AX$35&gt;EOMONTH($E90,1),AW98*(1+AX93),IF(AND(AX$35&gt;$E81,AX$35&lt;=$E90),AX95,0)))</f>
        <v>0</v>
      </c>
      <c r="AY98" s="224">
        <f t="shared" ref="AY98" si="1044">IF(AY$35=EOMONTH($E90,1),AY95,IF(AY$35&gt;EOMONTH($E90,1),AX98*(1+AY93),IF(AND(AY$35&gt;$E81,AY$35&lt;=$E90),AY95,0)))</f>
        <v>0</v>
      </c>
      <c r="AZ98" s="224">
        <f t="shared" ref="AZ98" si="1045">IF(AZ$35=EOMONTH($E90,1),AZ95,IF(AZ$35&gt;EOMONTH($E90,1),AY98*(1+AZ93),IF(AND(AZ$35&gt;$E81,AZ$35&lt;=$E90),AZ95,0)))</f>
        <v>0</v>
      </c>
      <c r="BA98" s="224">
        <f t="shared" ref="BA98" si="1046">IF(BA$35=EOMONTH($E90,1),BA95,IF(BA$35&gt;EOMONTH($E90,1),AZ98*(1+BA93),IF(AND(BA$35&gt;$E81,BA$35&lt;=$E90),BA95,0)))</f>
        <v>0</v>
      </c>
      <c r="BB98" s="224">
        <f t="shared" ref="BB98" si="1047">IF(BB$35=EOMONTH($E90,1),BB95,IF(BB$35&gt;EOMONTH($E90,1),BA98*(1+BB93),IF(AND(BB$35&gt;$E81,BB$35&lt;=$E90),BB95,0)))</f>
        <v>0</v>
      </c>
      <c r="BC98" s="224">
        <f t="shared" ref="BC98" si="1048">IF(BC$35=EOMONTH($E90,1),BC95,IF(BC$35&gt;EOMONTH($E90,1),BB98*(1+BC93),IF(AND(BC$35&gt;$E81,BC$35&lt;=$E90),BC95,0)))</f>
        <v>0</v>
      </c>
      <c r="BD98" s="224">
        <f t="shared" ref="BD98" si="1049">IF(BD$35=EOMONTH($E90,1),BD95,IF(BD$35&gt;EOMONTH($E90,1),BC98*(1+BD93),IF(AND(BD$35&gt;$E81,BD$35&lt;=$E90),BD95,0)))</f>
        <v>0</v>
      </c>
      <c r="BE98" s="224">
        <f t="shared" ref="BE98" si="1050">IF(BE$35=EOMONTH($E90,1),BE95,IF(BE$35&gt;EOMONTH($E90,1),BD98*(1+BE93),IF(AND(BE$35&gt;$E81,BE$35&lt;=$E90),BE95,0)))</f>
        <v>0</v>
      </c>
      <c r="BF98" s="224">
        <f t="shared" ref="BF98" si="1051">IF(BF$35=EOMONTH($E90,1),BF95,IF(BF$35&gt;EOMONTH($E90,1),BE98*(1+BF93),IF(AND(BF$35&gt;$E81,BF$35&lt;=$E90),BF95,0)))</f>
        <v>0</v>
      </c>
      <c r="BG98" s="224">
        <f t="shared" ref="BG98" si="1052">IF(BG$35=EOMONTH($E90,1),BG95,IF(BG$35&gt;EOMONTH($E90,1),BF98*(1+BG93),IF(AND(BG$35&gt;$E81,BG$35&lt;=$E90),BG95,0)))</f>
        <v>0</v>
      </c>
      <c r="BH98" s="224">
        <f t="shared" ref="BH98" si="1053">IF(BH$35=EOMONTH($E90,1),BH95,IF(BH$35&gt;EOMONTH($E90,1),BG98*(1+BH93),IF(AND(BH$35&gt;$E81,BH$35&lt;=$E90),BH95,0)))</f>
        <v>0</v>
      </c>
      <c r="BI98" s="224">
        <f t="shared" ref="BI98" si="1054">IF(BI$35=EOMONTH($E90,1),BI95,IF(BI$35&gt;EOMONTH($E90,1),BH98*(1+BI93),IF(AND(BI$35&gt;$E81,BI$35&lt;=$E90),BI95,0)))</f>
        <v>0</v>
      </c>
      <c r="BJ98" s="224">
        <f t="shared" ref="BJ98" si="1055">IF(BJ$35=EOMONTH($E90,1),BJ95,IF(BJ$35&gt;EOMONTH($E90,1),BI98*(1+BJ93),IF(AND(BJ$35&gt;$E81,BJ$35&lt;=$E90),BJ95,0)))</f>
        <v>0</v>
      </c>
      <c r="BK98" s="224">
        <f t="shared" ref="BK98" si="1056">IF(BK$35=EOMONTH($E90,1),BK95,IF(BK$35&gt;EOMONTH($E90,1),BJ98*(1+BK93),IF(AND(BK$35&gt;$E81,BK$35&lt;=$E90),BK95,0)))</f>
        <v>0</v>
      </c>
      <c r="BL98" s="224">
        <f t="shared" ref="BL98" si="1057">IF(BL$35=EOMONTH($E90,1),BL95,IF(BL$35&gt;EOMONTH($E90,1),BK98*(1+BL93),IF(AND(BL$35&gt;$E81,BL$35&lt;=$E90),BL95,0)))</f>
        <v>0</v>
      </c>
      <c r="BM98" s="224">
        <f t="shared" ref="BM98" si="1058">IF(BM$35=EOMONTH($E90,1),BM95,IF(BM$35&gt;EOMONTH($E90,1),BL98*(1+BM93),IF(AND(BM$35&gt;$E81,BM$35&lt;=$E90),BM95,0)))</f>
        <v>0</v>
      </c>
      <c r="BN98" s="224">
        <f t="shared" ref="BN98" si="1059">IF(BN$35=EOMONTH($E90,1),BN95,IF(BN$35&gt;EOMONTH($E90,1),BM98*(1+BN93),IF(AND(BN$35&gt;$E81,BN$35&lt;=$E90),BN95,0)))</f>
        <v>0</v>
      </c>
      <c r="BO98" s="224">
        <f t="shared" ref="BO98" si="1060">IF(BO$35=EOMONTH($E90,1),BO95,IF(BO$35&gt;EOMONTH($E90,1),BN98*(1+BO93),IF(AND(BO$35&gt;$E81,BO$35&lt;=$E90),BO95,0)))</f>
        <v>0</v>
      </c>
      <c r="BP98" s="224">
        <f t="shared" ref="BP98" si="1061">IF(BP$35=EOMONTH($E90,1),BP95,IF(BP$35&gt;EOMONTH($E90,1),BO98*(1+BP93),IF(AND(BP$35&gt;$E81,BP$35&lt;=$E90),BP95,0)))</f>
        <v>0</v>
      </c>
      <c r="BQ98" s="224">
        <f t="shared" ref="BQ98" si="1062">IF(BQ$35=EOMONTH($E90,1),BQ95,IF(BQ$35&gt;EOMONTH($E90,1),BP98*(1+BQ93),IF(AND(BQ$35&gt;$E81,BQ$35&lt;=$E90),BQ95,0)))</f>
        <v>0</v>
      </c>
      <c r="BR98" s="224">
        <f t="shared" ref="BR98" si="1063">IF(BR$35=EOMONTH($E90,1),BR95,IF(BR$35&gt;EOMONTH($E90,1),BQ98*(1+BR93),IF(AND(BR$35&gt;$E81,BR$35&lt;=$E90),BR95,0)))</f>
        <v>0</v>
      </c>
      <c r="BS98" s="224">
        <f t="shared" ref="BS98" si="1064">IF(BS$35=EOMONTH($E90,1),BS95,IF(BS$35&gt;EOMONTH($E90,1),BR98*(1+BS93),IF(AND(BS$35&gt;$E81,BS$35&lt;=$E90),BS95,0)))</f>
        <v>0</v>
      </c>
      <c r="BT98" s="224">
        <f t="shared" ref="BT98" si="1065">IF(BT$35=EOMONTH($E90,1),BT95,IF(BT$35&gt;EOMONTH($E90,1),BS98*(1+BT93),IF(AND(BT$35&gt;$E81,BT$35&lt;=$E90),BT95,0)))</f>
        <v>0</v>
      </c>
      <c r="BU98" s="224">
        <f t="shared" ref="BU98" si="1066">IF(BU$35=EOMONTH($E90,1),BU95,IF(BU$35&gt;EOMONTH($E90,1),BT98*(1+BU93),IF(AND(BU$35&gt;$E81,BU$35&lt;=$E90),BU95,0)))</f>
        <v>0</v>
      </c>
      <c r="BV98" s="224">
        <f t="shared" ref="BV98" si="1067">IF(BV$35=EOMONTH($E90,1),BV95,IF(BV$35&gt;EOMONTH($E90,1),BU98*(1+BV93),IF(AND(BV$35&gt;$E81,BV$35&lt;=$E90),BV95,0)))</f>
        <v>0</v>
      </c>
      <c r="BW98" s="224">
        <f t="shared" ref="BW98" si="1068">IF(BW$35=EOMONTH($E90,1),BW95,IF(BW$35&gt;EOMONTH($E90,1),BV98*(1+BW93),IF(AND(BW$35&gt;$E81,BW$35&lt;=$E90),BW95,0)))</f>
        <v>0</v>
      </c>
      <c r="BX98" s="224">
        <f t="shared" ref="BX98" si="1069">IF(BX$35=EOMONTH($E90,1),BX95,IF(BX$35&gt;EOMONTH($E90,1),BW98*(1+BX93),IF(AND(BX$35&gt;$E81,BX$35&lt;=$E90),BX95,0)))</f>
        <v>0</v>
      </c>
      <c r="BY98" s="224">
        <f t="shared" ref="BY98" si="1070">IF(BY$35=EOMONTH($E90,1),BY95,IF(BY$35&gt;EOMONTH($E90,1),BX98*(1+BY93),IF(AND(BY$35&gt;$E81,BY$35&lt;=$E90),BY95,0)))</f>
        <v>0</v>
      </c>
      <c r="BZ98" s="224">
        <f t="shared" ref="BZ98" si="1071">IF(BZ$35=EOMONTH($E90,1),BZ95,IF(BZ$35&gt;EOMONTH($E90,1),BY98*(1+BZ93),IF(AND(BZ$35&gt;$E81,BZ$35&lt;=$E90),BZ95,0)))</f>
        <v>0</v>
      </c>
      <c r="CA98" s="224">
        <f t="shared" ref="CA98" si="1072">IF(CA$35=EOMONTH($E90,1),CA95,IF(CA$35&gt;EOMONTH($E90,1),BZ98*(1+CA93),IF(AND(CA$35&gt;$E81,CA$35&lt;=$E90),CA95,0)))</f>
        <v>0</v>
      </c>
      <c r="CB98" s="224">
        <f t="shared" ref="CB98" si="1073">IF(CB$35=EOMONTH($E90,1),CB95,IF(CB$35&gt;EOMONTH($E90,1),CA98*(1+CB93),IF(AND(CB$35&gt;$E81,CB$35&lt;=$E90),CB95,0)))</f>
        <v>0</v>
      </c>
      <c r="CC98" s="224">
        <f t="shared" ref="CC98" si="1074">IF(CC$35=EOMONTH($E90,1),CC95,IF(CC$35&gt;EOMONTH($E90,1),CB98*(1+CC93),IF(AND(CC$35&gt;$E81,CC$35&lt;=$E90),CC95,0)))</f>
        <v>0</v>
      </c>
      <c r="CD98" s="224">
        <f t="shared" ref="CD98" si="1075">IF(CD$35=EOMONTH($E90,1),CD95,IF(CD$35&gt;EOMONTH($E90,1),CC98*(1+CD93),IF(AND(CD$35&gt;$E81,CD$35&lt;=$E90),CD95,0)))</f>
        <v>0</v>
      </c>
      <c r="CE98" s="224">
        <f t="shared" ref="CE98" si="1076">IF(CE$35=EOMONTH($E90,1),CE95,IF(CE$35&gt;EOMONTH($E90,1),CD98*(1+CE93),IF(AND(CE$35&gt;$E81,CE$35&lt;=$E90),CE95,0)))</f>
        <v>0</v>
      </c>
      <c r="CF98" s="224">
        <f t="shared" ref="CF98" si="1077">IF(CF$35=EOMONTH($E90,1),CF95,IF(CF$35&gt;EOMONTH($E90,1),CE98*(1+CF93),IF(AND(CF$35&gt;$E81,CF$35&lt;=$E90),CF95,0)))</f>
        <v>0</v>
      </c>
      <c r="CG98" s="224">
        <f t="shared" ref="CG98" si="1078">IF(CG$35=EOMONTH($E90,1),CG95,IF(CG$35&gt;EOMONTH($E90,1),CF98*(1+CG93),IF(AND(CG$35&gt;$E81,CG$35&lt;=$E90),CG95,0)))</f>
        <v>0</v>
      </c>
      <c r="CH98" s="224">
        <f t="shared" ref="CH98" si="1079">IF(CH$35=EOMONTH($E90,1),CH95,IF(CH$35&gt;EOMONTH($E90,1),CG98*(1+CH93),IF(AND(CH$35&gt;$E81,CH$35&lt;=$E90),CH95,0)))</f>
        <v>0</v>
      </c>
      <c r="CI98" s="224">
        <f t="shared" ref="CI98" si="1080">IF(CI$35=EOMONTH($E90,1),CI95,IF(CI$35&gt;EOMONTH($E90,1),CH98*(1+CI93),IF(AND(CI$35&gt;$E81,CI$35&lt;=$E90),CI95,0)))</f>
        <v>0</v>
      </c>
      <c r="CJ98" s="224">
        <f t="shared" ref="CJ98" si="1081">IF(CJ$35=EOMONTH($E90,1),CJ95,IF(CJ$35&gt;EOMONTH($E90,1),CI98*(1+CJ93),IF(AND(CJ$35&gt;$E81,CJ$35&lt;=$E90),CJ95,0)))</f>
        <v>0</v>
      </c>
      <c r="CK98" s="224">
        <f t="shared" ref="CK98" si="1082">IF(CK$35=EOMONTH($E90,1),CK95,IF(CK$35&gt;EOMONTH($E90,1),CJ98*(1+CK93),IF(AND(CK$35&gt;$E81,CK$35&lt;=$E90),CK95,0)))</f>
        <v>0</v>
      </c>
      <c r="CL98" s="224">
        <f t="shared" ref="CL98" si="1083">IF(CL$35=EOMONTH($E90,1),CL95,IF(CL$35&gt;EOMONTH($E90,1),CK98*(1+CL93),IF(AND(CL$35&gt;$E81,CL$35&lt;=$E90),CL95,0)))</f>
        <v>0</v>
      </c>
      <c r="CM98" s="224">
        <f t="shared" ref="CM98" si="1084">IF(CM$35=EOMONTH($E90,1),CM95,IF(CM$35&gt;EOMONTH($E90,1),CL98*(1+CM93),IF(AND(CM$35&gt;$E81,CM$35&lt;=$E90),CM95,0)))</f>
        <v>0</v>
      </c>
      <c r="CN98" s="224">
        <f t="shared" ref="CN98" si="1085">IF(CN$35=EOMONTH($E90,1),CN95,IF(CN$35&gt;EOMONTH($E90,1),CM98*(1+CN93),IF(AND(CN$35&gt;$E81,CN$35&lt;=$E90),CN95,0)))</f>
        <v>0</v>
      </c>
      <c r="CO98" s="224">
        <f t="shared" ref="CO98" si="1086">IF(CO$35=EOMONTH($E90,1),CO95,IF(CO$35&gt;EOMONTH($E90,1),CN98*(1+CO93),IF(AND(CO$35&gt;$E81,CO$35&lt;=$E90),CO95,0)))</f>
        <v>0</v>
      </c>
      <c r="CP98" s="224">
        <f t="shared" ref="CP98" si="1087">IF(CP$35=EOMONTH($E90,1),CP95,IF(CP$35&gt;EOMONTH($E90,1),CO98*(1+CP93),IF(AND(CP$35&gt;$E81,CP$35&lt;=$E90),CP95,0)))</f>
        <v>0</v>
      </c>
      <c r="CQ98" s="224">
        <f t="shared" ref="CQ98" si="1088">IF(CQ$35=EOMONTH($E90,1),CQ95,IF(CQ$35&gt;EOMONTH($E90,1),CP98*(1+CQ93),IF(AND(CQ$35&gt;$E81,CQ$35&lt;=$E90),CQ95,0)))</f>
        <v>0</v>
      </c>
      <c r="CR98" s="224">
        <f t="shared" ref="CR98" si="1089">IF(CR$35=EOMONTH($E90,1),CR95,IF(CR$35&gt;EOMONTH($E90,1),CQ98*(1+CR93),IF(AND(CR$35&gt;$E81,CR$35&lt;=$E90),CR95,0)))</f>
        <v>0</v>
      </c>
      <c r="CS98" s="224">
        <f t="shared" ref="CS98" si="1090">IF(CS$35=EOMONTH($E90,1),CS95,IF(CS$35&gt;EOMONTH($E90,1),CR98*(1+CS93),IF(AND(CS$35&gt;$E81,CS$35&lt;=$E90),CS95,0)))</f>
        <v>0</v>
      </c>
      <c r="CT98" s="224">
        <f t="shared" ref="CT98" si="1091">IF(CT$35=EOMONTH($E90,1),CT95,IF(CT$35&gt;EOMONTH($E90,1),CS98*(1+CT93),IF(AND(CT$35&gt;$E81,CT$35&lt;=$E90),CT95,0)))</f>
        <v>0</v>
      </c>
      <c r="CU98" s="224">
        <f t="shared" ref="CU98" si="1092">IF(CU$35=EOMONTH($E90,1),CU95,IF(CU$35&gt;EOMONTH($E90,1),CT98*(1+CU93),IF(AND(CU$35&gt;$E81,CU$35&lt;=$E90),CU95,0)))</f>
        <v>0</v>
      </c>
      <c r="CV98" s="224">
        <f t="shared" ref="CV98" si="1093">IF(CV$35=EOMONTH($E90,1),CV95,IF(CV$35&gt;EOMONTH($E90,1),CU98*(1+CV93),IF(AND(CV$35&gt;$E81,CV$35&lt;=$E90),CV95,0)))</f>
        <v>0</v>
      </c>
      <c r="CW98" s="224">
        <f t="shared" ref="CW98" si="1094">IF(CW$35=EOMONTH($E90,1),CW95,IF(CW$35&gt;EOMONTH($E90,1),CV98*(1+CW93),IF(AND(CW$35&gt;$E81,CW$35&lt;=$E90),CW95,0)))</f>
        <v>0</v>
      </c>
      <c r="CX98" s="224">
        <f t="shared" ref="CX98" si="1095">IF(CX$35=EOMONTH($E90,1),CX95,IF(CX$35&gt;EOMONTH($E90,1),CW98*(1+CX93),IF(AND(CX$35&gt;$E81,CX$35&lt;=$E90),CX95,0)))</f>
        <v>1167.3483186114468</v>
      </c>
      <c r="CY98" s="224">
        <f t="shared" ref="CY98" si="1096">IF(CY$35=EOMONTH($E90,1),CY95,IF(CY$35&gt;EOMONTH($E90,1),CX98*(1+CY93),IF(AND(CY$35&gt;$E81,CY$35&lt;=$E90),CY95,0)))</f>
        <v>1170.2273144833878</v>
      </c>
      <c r="CZ98" s="224">
        <f t="shared" ref="CZ98" si="1097">IF(CZ$35=EOMONTH($E90,1),CZ95,IF(CZ$35&gt;EOMONTH($E90,1),CY98*(1+CZ93),IF(AND(CZ$35&gt;$E81,CZ$35&lt;=$E90),CZ95,0)))</f>
        <v>1173.1134107358223</v>
      </c>
      <c r="DA98" s="224">
        <f t="shared" ref="DA98" si="1098">IF(DA$35=EOMONTH($E90,1),DA95,IF(DA$35&gt;EOMONTH($E90,1),CZ98*(1+DA93),IF(AND(DA$35&gt;$E81,DA$35&lt;=$E90),DA95,0)))</f>
        <v>1176.0066248802041</v>
      </c>
      <c r="DB98" s="224">
        <f t="shared" ref="DB98" si="1099">IF(DB$35=EOMONTH($E90,1),DB95,IF(DB$35&gt;EOMONTH($E90,1),DA98*(1+DB93),IF(AND(DB$35&gt;$E81,DB$35&lt;=$E90),DB95,0)))</f>
        <v>1178.9069744711751</v>
      </c>
      <c r="DC98" s="224">
        <f t="shared" ref="DC98" si="1100">IF(DC$35=EOMONTH($E90,1),DC95,IF(DC$35&gt;EOMONTH($E90,1),DB98*(1+DC93),IF(AND(DC$35&gt;$E81,DC$35&lt;=$E90),DC95,0)))</f>
        <v>1181.8144771066713</v>
      </c>
      <c r="DD98" s="224">
        <f t="shared" ref="DD98" si="1101">IF(DD$35=EOMONTH($E90,1),DD95,IF(DD$35&gt;EOMONTH($E90,1),DC98*(1+DD93),IF(AND(DD$35&gt;$E81,DD$35&lt;=$E90),DD95,0)))</f>
        <v>1184.7291504280304</v>
      </c>
      <c r="DE98" s="224">
        <f t="shared" ref="DE98" si="1102">IF(DE$35=EOMONTH($E90,1),DE95,IF(DE$35&gt;EOMONTH($E90,1),DD98*(1+DE93),IF(AND(DE$35&gt;$E81,DE$35&lt;=$E90),DE95,0)))</f>
        <v>1187.6510121200981</v>
      </c>
      <c r="DF98" s="224">
        <f t="shared" ref="DF98" si="1103">IF(DF$35=EOMONTH($E90,1),DF95,IF(DF$35&gt;EOMONTH($E90,1),DE98*(1+DF93),IF(AND(DF$35&gt;$E81,DF$35&lt;=$E90),DF95,0)))</f>
        <v>1190.5800799113358</v>
      </c>
      <c r="DG98" s="224">
        <f t="shared" ref="DG98" si="1104">IF(DG$35=EOMONTH($E90,1),DG95,IF(DG$35&gt;EOMONTH($E90,1),DF98*(1+DG93),IF(AND(DG$35&gt;$E81,DG$35&lt;=$E90),DG95,0)))</f>
        <v>1193.5163715739282</v>
      </c>
      <c r="DH98" s="224">
        <f t="shared" ref="DH98" si="1105">IF(DH$35=EOMONTH($E90,1),DH95,IF(DH$35&gt;EOMONTH($E90,1),DG98*(1+DH93),IF(AND(DH$35&gt;$E81,DH$35&lt;=$E90),DH95,0)))</f>
        <v>1193.5163715739282</v>
      </c>
      <c r="DI98" s="224">
        <f t="shared" ref="DI98" si="1106">IF(DI$35=EOMONTH($E90,1),DI95,IF(DI$35&gt;EOMONTH($E90,1),DH98*(1+DI93),IF(AND(DI$35&gt;$E81,DI$35&lt;=$E90),DI95,0)))</f>
        <v>1193.5163715739282</v>
      </c>
    </row>
    <row r="99" spans="2:113" customFormat="1" outlineLevel="1" x14ac:dyDescent="0.25">
      <c r="B99" s="1"/>
      <c r="C99" s="54"/>
      <c r="D99" s="66"/>
      <c r="E99" s="1"/>
      <c r="F99" s="227"/>
      <c r="G99" s="1"/>
      <c r="H99" s="1"/>
      <c r="I99" s="1"/>
      <c r="J99" s="1"/>
      <c r="AP99" s="228"/>
      <c r="AQ99" s="228"/>
      <c r="AR99" s="146"/>
      <c r="AS99" s="146"/>
      <c r="AT99" s="146"/>
      <c r="CL99" s="222"/>
      <c r="CM99" s="222"/>
      <c r="CN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</row>
    <row r="100" spans="2:113" customFormat="1" outlineLevel="1" x14ac:dyDescent="0.25">
      <c r="B100" s="1"/>
      <c r="C100" s="60" t="s">
        <v>252</v>
      </c>
      <c r="D100" s="47" t="s">
        <v>107</v>
      </c>
      <c r="E100" s="1"/>
      <c r="F100" s="126">
        <f t="shared" ref="F100:BQ100" si="1107">+F96*$E78/Months</f>
        <v>0</v>
      </c>
      <c r="G100" s="126">
        <f t="shared" si="1107"/>
        <v>0</v>
      </c>
      <c r="H100" s="126">
        <f t="shared" si="1107"/>
        <v>0</v>
      </c>
      <c r="I100" s="126">
        <f t="shared" si="1107"/>
        <v>0</v>
      </c>
      <c r="J100" s="126">
        <f t="shared" si="1107"/>
        <v>0</v>
      </c>
      <c r="K100" s="126">
        <f t="shared" si="1107"/>
        <v>0</v>
      </c>
      <c r="L100" s="126">
        <f t="shared" si="1107"/>
        <v>0</v>
      </c>
      <c r="M100" s="126">
        <f t="shared" si="1107"/>
        <v>0</v>
      </c>
      <c r="N100" s="126">
        <f t="shared" si="1107"/>
        <v>0</v>
      </c>
      <c r="O100" s="126">
        <f t="shared" si="1107"/>
        <v>0</v>
      </c>
      <c r="P100" s="126">
        <f t="shared" si="1107"/>
        <v>0</v>
      </c>
      <c r="Q100" s="126">
        <f t="shared" si="1107"/>
        <v>0</v>
      </c>
      <c r="R100" s="126">
        <f t="shared" si="1107"/>
        <v>0</v>
      </c>
      <c r="S100" s="126">
        <f t="shared" si="1107"/>
        <v>0</v>
      </c>
      <c r="T100" s="126">
        <f t="shared" si="1107"/>
        <v>0</v>
      </c>
      <c r="U100" s="126">
        <f t="shared" si="1107"/>
        <v>0</v>
      </c>
      <c r="V100" s="126">
        <f t="shared" si="1107"/>
        <v>0</v>
      </c>
      <c r="W100" s="126">
        <f t="shared" si="1107"/>
        <v>0</v>
      </c>
      <c r="X100" s="126">
        <f t="shared" si="1107"/>
        <v>0</v>
      </c>
      <c r="Y100" s="126">
        <f t="shared" si="1107"/>
        <v>0</v>
      </c>
      <c r="Z100" s="126">
        <f t="shared" si="1107"/>
        <v>0</v>
      </c>
      <c r="AA100" s="126">
        <f t="shared" si="1107"/>
        <v>0</v>
      </c>
      <c r="AB100" s="126">
        <f t="shared" si="1107"/>
        <v>0</v>
      </c>
      <c r="AC100" s="126">
        <f t="shared" si="1107"/>
        <v>0</v>
      </c>
      <c r="AD100" s="126">
        <f t="shared" si="1107"/>
        <v>0</v>
      </c>
      <c r="AE100" s="126">
        <f t="shared" si="1107"/>
        <v>0</v>
      </c>
      <c r="AF100" s="126">
        <f t="shared" si="1107"/>
        <v>0</v>
      </c>
      <c r="AG100" s="126">
        <f t="shared" si="1107"/>
        <v>0</v>
      </c>
      <c r="AH100" s="126">
        <f t="shared" si="1107"/>
        <v>0</v>
      </c>
      <c r="AI100" s="126">
        <f t="shared" si="1107"/>
        <v>0</v>
      </c>
      <c r="AJ100" s="126">
        <f t="shared" si="1107"/>
        <v>0</v>
      </c>
      <c r="AK100" s="126">
        <f t="shared" si="1107"/>
        <v>0</v>
      </c>
      <c r="AL100" s="126">
        <f t="shared" si="1107"/>
        <v>0</v>
      </c>
      <c r="AM100" s="126">
        <f t="shared" si="1107"/>
        <v>0</v>
      </c>
      <c r="AN100" s="126">
        <f t="shared" si="1107"/>
        <v>0</v>
      </c>
      <c r="AO100" s="126">
        <f t="shared" si="1107"/>
        <v>0</v>
      </c>
      <c r="AP100" s="126">
        <f t="shared" si="1107"/>
        <v>0</v>
      </c>
      <c r="AQ100" s="126">
        <f t="shared" si="1107"/>
        <v>0</v>
      </c>
      <c r="AR100" s="126">
        <f t="shared" si="1107"/>
        <v>0</v>
      </c>
      <c r="AS100" s="126">
        <f t="shared" si="1107"/>
        <v>0</v>
      </c>
      <c r="AT100" s="126">
        <f t="shared" si="1107"/>
        <v>0</v>
      </c>
      <c r="AU100" s="126">
        <f t="shared" si="1107"/>
        <v>0</v>
      </c>
      <c r="AV100" s="126">
        <f t="shared" si="1107"/>
        <v>0</v>
      </c>
      <c r="AW100" s="126">
        <f t="shared" si="1107"/>
        <v>0</v>
      </c>
      <c r="AX100" s="126">
        <f t="shared" si="1107"/>
        <v>0</v>
      </c>
      <c r="AY100" s="126">
        <f t="shared" si="1107"/>
        <v>0</v>
      </c>
      <c r="AZ100" s="126">
        <f t="shared" si="1107"/>
        <v>0</v>
      </c>
      <c r="BA100" s="126">
        <f t="shared" si="1107"/>
        <v>0</v>
      </c>
      <c r="BB100" s="126">
        <f t="shared" si="1107"/>
        <v>2078561.0431549794</v>
      </c>
      <c r="BC100" s="126">
        <f t="shared" si="1107"/>
        <v>2078561.0431549794</v>
      </c>
      <c r="BD100" s="126">
        <f t="shared" si="1107"/>
        <v>2078561.0431549794</v>
      </c>
      <c r="BE100" s="126">
        <f t="shared" si="1107"/>
        <v>2078561.0431549794</v>
      </c>
      <c r="BF100" s="126">
        <f t="shared" si="1107"/>
        <v>2078561.0431549794</v>
      </c>
      <c r="BG100" s="126">
        <f t="shared" si="1107"/>
        <v>2078561.0431549794</v>
      </c>
      <c r="BH100" s="126">
        <f t="shared" si="1107"/>
        <v>2078561.0431549794</v>
      </c>
      <c r="BI100" s="126">
        <f t="shared" si="1107"/>
        <v>2078561.0431549794</v>
      </c>
      <c r="BJ100" s="126">
        <f t="shared" si="1107"/>
        <v>2078561.0431549794</v>
      </c>
      <c r="BK100" s="126">
        <f t="shared" si="1107"/>
        <v>2078561.0431549794</v>
      </c>
      <c r="BL100" s="126">
        <f t="shared" si="1107"/>
        <v>2078561.0431549794</v>
      </c>
      <c r="BM100" s="126">
        <f t="shared" si="1107"/>
        <v>2078561.0431549794</v>
      </c>
      <c r="BN100" s="126">
        <f t="shared" si="1107"/>
        <v>2125328.6666259663</v>
      </c>
      <c r="BO100" s="126">
        <f t="shared" si="1107"/>
        <v>2125328.6666259663</v>
      </c>
      <c r="BP100" s="126">
        <f t="shared" si="1107"/>
        <v>2125328.6666259663</v>
      </c>
      <c r="BQ100" s="126">
        <f t="shared" si="1107"/>
        <v>2125328.6666259663</v>
      </c>
      <c r="BR100" s="126">
        <f t="shared" ref="BR100:DI100" si="1108">+BR96*$E78/Months</f>
        <v>2125328.6666259663</v>
      </c>
      <c r="BS100" s="126">
        <f t="shared" si="1108"/>
        <v>2125328.6666259663</v>
      </c>
      <c r="BT100" s="126">
        <f t="shared" si="1108"/>
        <v>2125328.6666259663</v>
      </c>
      <c r="BU100" s="126">
        <f t="shared" si="1108"/>
        <v>2125328.6666259663</v>
      </c>
      <c r="BV100" s="126">
        <f t="shared" si="1108"/>
        <v>2125328.6666259663</v>
      </c>
      <c r="BW100" s="126">
        <f t="shared" si="1108"/>
        <v>2125328.6666259663</v>
      </c>
      <c r="BX100" s="126">
        <f t="shared" si="1108"/>
        <v>2125328.6666259663</v>
      </c>
      <c r="BY100" s="126">
        <f t="shared" si="1108"/>
        <v>2125328.6666259663</v>
      </c>
      <c r="BZ100" s="126">
        <f t="shared" si="1108"/>
        <v>2173148.5616250499</v>
      </c>
      <c r="CA100" s="126">
        <f t="shared" si="1108"/>
        <v>2173148.5616250499</v>
      </c>
      <c r="CB100" s="126">
        <f t="shared" si="1108"/>
        <v>2173148.5616250499</v>
      </c>
      <c r="CC100" s="126">
        <f t="shared" si="1108"/>
        <v>2173148.5616250499</v>
      </c>
      <c r="CD100" s="126">
        <f t="shared" si="1108"/>
        <v>2173148.5616250499</v>
      </c>
      <c r="CE100" s="126">
        <f t="shared" si="1108"/>
        <v>2173148.5616250499</v>
      </c>
      <c r="CF100" s="126">
        <f t="shared" si="1108"/>
        <v>2173148.5616250499</v>
      </c>
      <c r="CG100" s="126">
        <f t="shared" si="1108"/>
        <v>2173148.5616250499</v>
      </c>
      <c r="CH100" s="126">
        <f t="shared" si="1108"/>
        <v>2173148.5616250499</v>
      </c>
      <c r="CI100" s="126">
        <f t="shared" si="1108"/>
        <v>2173148.5616250499</v>
      </c>
      <c r="CJ100" s="126">
        <f t="shared" si="1108"/>
        <v>2173148.5616250499</v>
      </c>
      <c r="CK100" s="126">
        <f t="shared" si="1108"/>
        <v>2173148.5616250499</v>
      </c>
      <c r="CL100" s="126">
        <f t="shared" si="1108"/>
        <v>2222044.4042616137</v>
      </c>
      <c r="CM100" s="126">
        <f t="shared" si="1108"/>
        <v>2222044.4042616137</v>
      </c>
      <c r="CN100" s="126">
        <f t="shared" si="1108"/>
        <v>2222044.4042616137</v>
      </c>
      <c r="CO100" s="126">
        <f t="shared" si="1108"/>
        <v>2222044.4042616137</v>
      </c>
      <c r="CP100" s="126">
        <f t="shared" si="1108"/>
        <v>2222044.4042616137</v>
      </c>
      <c r="CQ100" s="126">
        <f t="shared" si="1108"/>
        <v>2222044.4042616137</v>
      </c>
      <c r="CR100" s="126">
        <f t="shared" si="1108"/>
        <v>2222044.4042616137</v>
      </c>
      <c r="CS100" s="126">
        <f t="shared" si="1108"/>
        <v>2222044.4042616137</v>
      </c>
      <c r="CT100" s="126">
        <f t="shared" si="1108"/>
        <v>2222044.4042616137</v>
      </c>
      <c r="CU100" s="126">
        <f t="shared" si="1108"/>
        <v>2222044.4042616137</v>
      </c>
      <c r="CV100" s="126">
        <f t="shared" si="1108"/>
        <v>2222044.4042616137</v>
      </c>
      <c r="CW100" s="126">
        <f t="shared" si="1108"/>
        <v>2222044.4042616137</v>
      </c>
      <c r="CX100" s="126">
        <f t="shared" si="1108"/>
        <v>0</v>
      </c>
      <c r="CY100" s="126">
        <f t="shared" si="1108"/>
        <v>0</v>
      </c>
      <c r="CZ100" s="126">
        <f t="shared" si="1108"/>
        <v>0</v>
      </c>
      <c r="DA100" s="126">
        <f t="shared" si="1108"/>
        <v>0</v>
      </c>
      <c r="DB100" s="126">
        <f t="shared" si="1108"/>
        <v>0</v>
      </c>
      <c r="DC100" s="126">
        <f t="shared" si="1108"/>
        <v>0</v>
      </c>
      <c r="DD100" s="126">
        <f t="shared" si="1108"/>
        <v>0</v>
      </c>
      <c r="DE100" s="126">
        <f t="shared" si="1108"/>
        <v>0</v>
      </c>
      <c r="DF100" s="126">
        <f t="shared" si="1108"/>
        <v>0</v>
      </c>
      <c r="DG100" s="126">
        <f t="shared" si="1108"/>
        <v>0</v>
      </c>
      <c r="DH100" s="126">
        <f t="shared" si="1108"/>
        <v>0</v>
      </c>
      <c r="DI100" s="126">
        <f t="shared" si="1108"/>
        <v>0</v>
      </c>
    </row>
    <row r="101" spans="2:113" customFormat="1" outlineLevel="1" x14ac:dyDescent="0.25">
      <c r="B101" s="1"/>
      <c r="C101" s="60" t="s">
        <v>253</v>
      </c>
      <c r="D101" s="47" t="s">
        <v>107</v>
      </c>
      <c r="E101" s="1"/>
      <c r="F101" s="72">
        <f t="shared" ref="F101:BQ101" si="1109">+F97*$E78/Months*Renewal_Probability</f>
        <v>0</v>
      </c>
      <c r="G101" s="72">
        <f t="shared" si="1109"/>
        <v>0</v>
      </c>
      <c r="H101" s="72">
        <f t="shared" si="1109"/>
        <v>0</v>
      </c>
      <c r="I101" s="72">
        <f t="shared" si="1109"/>
        <v>0</v>
      </c>
      <c r="J101" s="72">
        <f t="shared" si="1109"/>
        <v>0</v>
      </c>
      <c r="K101" s="72">
        <f t="shared" si="1109"/>
        <v>0</v>
      </c>
      <c r="L101" s="72">
        <f t="shared" si="1109"/>
        <v>0</v>
      </c>
      <c r="M101" s="72">
        <f t="shared" si="1109"/>
        <v>0</v>
      </c>
      <c r="N101" s="72">
        <f t="shared" si="1109"/>
        <v>0</v>
      </c>
      <c r="O101" s="72">
        <f t="shared" si="1109"/>
        <v>0</v>
      </c>
      <c r="P101" s="72">
        <f t="shared" si="1109"/>
        <v>0</v>
      </c>
      <c r="Q101" s="72">
        <f t="shared" si="1109"/>
        <v>0</v>
      </c>
      <c r="R101" s="72">
        <f t="shared" si="1109"/>
        <v>0</v>
      </c>
      <c r="S101" s="72">
        <f t="shared" si="1109"/>
        <v>0</v>
      </c>
      <c r="T101" s="72">
        <f t="shared" si="1109"/>
        <v>0</v>
      </c>
      <c r="U101" s="72">
        <f t="shared" si="1109"/>
        <v>0</v>
      </c>
      <c r="V101" s="72">
        <f t="shared" si="1109"/>
        <v>0</v>
      </c>
      <c r="W101" s="72">
        <f t="shared" si="1109"/>
        <v>0</v>
      </c>
      <c r="X101" s="72">
        <f t="shared" si="1109"/>
        <v>0</v>
      </c>
      <c r="Y101" s="72">
        <f t="shared" si="1109"/>
        <v>0</v>
      </c>
      <c r="Z101" s="72">
        <f t="shared" si="1109"/>
        <v>0</v>
      </c>
      <c r="AA101" s="72">
        <f t="shared" si="1109"/>
        <v>0</v>
      </c>
      <c r="AB101" s="72">
        <f t="shared" si="1109"/>
        <v>0</v>
      </c>
      <c r="AC101" s="72">
        <f t="shared" si="1109"/>
        <v>0</v>
      </c>
      <c r="AD101" s="72">
        <f t="shared" si="1109"/>
        <v>0</v>
      </c>
      <c r="AE101" s="72">
        <f t="shared" si="1109"/>
        <v>0</v>
      </c>
      <c r="AF101" s="72">
        <f t="shared" si="1109"/>
        <v>0</v>
      </c>
      <c r="AG101" s="72">
        <f t="shared" si="1109"/>
        <v>0</v>
      </c>
      <c r="AH101" s="72">
        <f t="shared" si="1109"/>
        <v>0</v>
      </c>
      <c r="AI101" s="72">
        <f t="shared" si="1109"/>
        <v>0</v>
      </c>
      <c r="AJ101" s="72">
        <f t="shared" si="1109"/>
        <v>0</v>
      </c>
      <c r="AK101" s="72">
        <f t="shared" si="1109"/>
        <v>0</v>
      </c>
      <c r="AL101" s="72">
        <f t="shared" si="1109"/>
        <v>0</v>
      </c>
      <c r="AM101" s="72">
        <f t="shared" si="1109"/>
        <v>0</v>
      </c>
      <c r="AN101" s="72">
        <f t="shared" si="1109"/>
        <v>0</v>
      </c>
      <c r="AO101" s="72">
        <f t="shared" si="1109"/>
        <v>0</v>
      </c>
      <c r="AP101" s="72">
        <f t="shared" si="1109"/>
        <v>0</v>
      </c>
      <c r="AQ101" s="72">
        <f t="shared" si="1109"/>
        <v>0</v>
      </c>
      <c r="AR101" s="72">
        <f t="shared" si="1109"/>
        <v>0</v>
      </c>
      <c r="AS101" s="72">
        <f t="shared" si="1109"/>
        <v>0</v>
      </c>
      <c r="AT101" s="72">
        <f t="shared" si="1109"/>
        <v>0</v>
      </c>
      <c r="AU101" s="72">
        <f t="shared" si="1109"/>
        <v>0</v>
      </c>
      <c r="AV101" s="72">
        <f t="shared" si="1109"/>
        <v>0</v>
      </c>
      <c r="AW101" s="72">
        <f t="shared" si="1109"/>
        <v>0</v>
      </c>
      <c r="AX101" s="72">
        <f t="shared" si="1109"/>
        <v>0</v>
      </c>
      <c r="AY101" s="72">
        <f t="shared" si="1109"/>
        <v>0</v>
      </c>
      <c r="AZ101" s="72">
        <f t="shared" si="1109"/>
        <v>0</v>
      </c>
      <c r="BA101" s="72">
        <f t="shared" si="1109"/>
        <v>0</v>
      </c>
      <c r="BB101" s="72">
        <f t="shared" si="1109"/>
        <v>0</v>
      </c>
      <c r="BC101" s="72">
        <f t="shared" si="1109"/>
        <v>0</v>
      </c>
      <c r="BD101" s="72">
        <f t="shared" si="1109"/>
        <v>0</v>
      </c>
      <c r="BE101" s="72">
        <f t="shared" si="1109"/>
        <v>0</v>
      </c>
      <c r="BF101" s="72">
        <f t="shared" si="1109"/>
        <v>0</v>
      </c>
      <c r="BG101" s="72">
        <f t="shared" si="1109"/>
        <v>0</v>
      </c>
      <c r="BH101" s="72">
        <f t="shared" si="1109"/>
        <v>0</v>
      </c>
      <c r="BI101" s="72">
        <f t="shared" si="1109"/>
        <v>0</v>
      </c>
      <c r="BJ101" s="72">
        <f t="shared" si="1109"/>
        <v>0</v>
      </c>
      <c r="BK101" s="72">
        <f t="shared" si="1109"/>
        <v>0</v>
      </c>
      <c r="BL101" s="72">
        <f t="shared" si="1109"/>
        <v>0</v>
      </c>
      <c r="BM101" s="72">
        <f t="shared" si="1109"/>
        <v>0</v>
      </c>
      <c r="BN101" s="72">
        <f t="shared" si="1109"/>
        <v>0</v>
      </c>
      <c r="BO101" s="72">
        <f t="shared" si="1109"/>
        <v>0</v>
      </c>
      <c r="BP101" s="72">
        <f t="shared" si="1109"/>
        <v>0</v>
      </c>
      <c r="BQ101" s="72">
        <f t="shared" si="1109"/>
        <v>0</v>
      </c>
      <c r="BR101" s="72">
        <f t="shared" ref="BR101:DI101" si="1110">+BR97*$E78/Months*Renewal_Probability</f>
        <v>0</v>
      </c>
      <c r="BS101" s="72">
        <f t="shared" si="1110"/>
        <v>0</v>
      </c>
      <c r="BT101" s="72">
        <f t="shared" si="1110"/>
        <v>0</v>
      </c>
      <c r="BU101" s="72">
        <f t="shared" si="1110"/>
        <v>0</v>
      </c>
      <c r="BV101" s="72">
        <f t="shared" si="1110"/>
        <v>0</v>
      </c>
      <c r="BW101" s="72">
        <f t="shared" si="1110"/>
        <v>0</v>
      </c>
      <c r="BX101" s="72">
        <f t="shared" si="1110"/>
        <v>0</v>
      </c>
      <c r="BY101" s="72">
        <f t="shared" si="1110"/>
        <v>0</v>
      </c>
      <c r="BZ101" s="72">
        <f t="shared" si="1110"/>
        <v>0</v>
      </c>
      <c r="CA101" s="72">
        <f t="shared" si="1110"/>
        <v>0</v>
      </c>
      <c r="CB101" s="72">
        <f t="shared" si="1110"/>
        <v>0</v>
      </c>
      <c r="CC101" s="72">
        <f t="shared" si="1110"/>
        <v>0</v>
      </c>
      <c r="CD101" s="72">
        <f t="shared" si="1110"/>
        <v>0</v>
      </c>
      <c r="CE101" s="72">
        <f t="shared" si="1110"/>
        <v>0</v>
      </c>
      <c r="CF101" s="72">
        <f t="shared" si="1110"/>
        <v>0</v>
      </c>
      <c r="CG101" s="72">
        <f t="shared" si="1110"/>
        <v>0</v>
      </c>
      <c r="CH101" s="72">
        <f t="shared" si="1110"/>
        <v>0</v>
      </c>
      <c r="CI101" s="72">
        <f t="shared" si="1110"/>
        <v>0</v>
      </c>
      <c r="CJ101" s="72">
        <f t="shared" si="1110"/>
        <v>0</v>
      </c>
      <c r="CK101" s="72">
        <f t="shared" si="1110"/>
        <v>0</v>
      </c>
      <c r="CL101" s="72">
        <f t="shared" si="1110"/>
        <v>0</v>
      </c>
      <c r="CM101" s="72">
        <f t="shared" si="1110"/>
        <v>0</v>
      </c>
      <c r="CN101" s="72">
        <f t="shared" si="1110"/>
        <v>0</v>
      </c>
      <c r="CO101" s="72">
        <f t="shared" si="1110"/>
        <v>0</v>
      </c>
      <c r="CP101" s="72">
        <f t="shared" si="1110"/>
        <v>0</v>
      </c>
      <c r="CQ101" s="72">
        <f t="shared" si="1110"/>
        <v>0</v>
      </c>
      <c r="CR101" s="72">
        <f t="shared" si="1110"/>
        <v>0</v>
      </c>
      <c r="CS101" s="72">
        <f t="shared" si="1110"/>
        <v>0</v>
      </c>
      <c r="CT101" s="72">
        <f t="shared" si="1110"/>
        <v>0</v>
      </c>
      <c r="CU101" s="72">
        <f t="shared" si="1110"/>
        <v>0</v>
      </c>
      <c r="CV101" s="72">
        <f t="shared" si="1110"/>
        <v>0</v>
      </c>
      <c r="CW101" s="72">
        <f t="shared" si="1110"/>
        <v>0</v>
      </c>
      <c r="CX101" s="72">
        <f t="shared" si="1110"/>
        <v>1180626.905735652</v>
      </c>
      <c r="CY101" s="72">
        <f t="shared" si="1110"/>
        <v>1180626.905735652</v>
      </c>
      <c r="CZ101" s="72">
        <f t="shared" si="1110"/>
        <v>1180626.905735652</v>
      </c>
      <c r="DA101" s="72">
        <f t="shared" si="1110"/>
        <v>1180626.905735652</v>
      </c>
      <c r="DB101" s="72">
        <f t="shared" si="1110"/>
        <v>1180626.905735652</v>
      </c>
      <c r="DC101" s="72">
        <f t="shared" si="1110"/>
        <v>1180626.905735652</v>
      </c>
      <c r="DD101" s="72">
        <f t="shared" si="1110"/>
        <v>1180626.905735652</v>
      </c>
      <c r="DE101" s="72">
        <f t="shared" si="1110"/>
        <v>1180626.905735652</v>
      </c>
      <c r="DF101" s="72">
        <f t="shared" si="1110"/>
        <v>1180626.905735652</v>
      </c>
      <c r="DG101" s="72">
        <f t="shared" si="1110"/>
        <v>1180626.905735652</v>
      </c>
      <c r="DH101" s="72">
        <f t="shared" si="1110"/>
        <v>1180626.905735652</v>
      </c>
      <c r="DI101" s="72">
        <f t="shared" si="1110"/>
        <v>1180626.905735652</v>
      </c>
    </row>
    <row r="102" spans="2:113" customFormat="1" outlineLevel="1" x14ac:dyDescent="0.25">
      <c r="B102" s="1"/>
      <c r="C102" s="60" t="s">
        <v>254</v>
      </c>
      <c r="D102" s="47" t="s">
        <v>107</v>
      </c>
      <c r="E102" s="1"/>
      <c r="F102" s="72">
        <f t="shared" ref="F102:BQ102" si="1111">+F98*$E78/Months*(1-Renewal_Probability)</f>
        <v>0</v>
      </c>
      <c r="G102" s="72">
        <f t="shared" si="1111"/>
        <v>0</v>
      </c>
      <c r="H102" s="72">
        <f t="shared" si="1111"/>
        <v>0</v>
      </c>
      <c r="I102" s="72">
        <f t="shared" si="1111"/>
        <v>0</v>
      </c>
      <c r="J102" s="72">
        <f t="shared" si="1111"/>
        <v>0</v>
      </c>
      <c r="K102" s="72">
        <f t="shared" si="1111"/>
        <v>0</v>
      </c>
      <c r="L102" s="72">
        <f t="shared" si="1111"/>
        <v>0</v>
      </c>
      <c r="M102" s="72">
        <f t="shared" si="1111"/>
        <v>0</v>
      </c>
      <c r="N102" s="72">
        <f t="shared" si="1111"/>
        <v>0</v>
      </c>
      <c r="O102" s="72">
        <f t="shared" si="1111"/>
        <v>0</v>
      </c>
      <c r="P102" s="72">
        <f t="shared" si="1111"/>
        <v>0</v>
      </c>
      <c r="Q102" s="72">
        <f t="shared" si="1111"/>
        <v>0</v>
      </c>
      <c r="R102" s="72">
        <f t="shared" si="1111"/>
        <v>0</v>
      </c>
      <c r="S102" s="72">
        <f t="shared" si="1111"/>
        <v>0</v>
      </c>
      <c r="T102" s="72">
        <f t="shared" si="1111"/>
        <v>0</v>
      </c>
      <c r="U102" s="72">
        <f t="shared" si="1111"/>
        <v>0</v>
      </c>
      <c r="V102" s="72">
        <f t="shared" si="1111"/>
        <v>0</v>
      </c>
      <c r="W102" s="72">
        <f t="shared" si="1111"/>
        <v>0</v>
      </c>
      <c r="X102" s="72">
        <f t="shared" si="1111"/>
        <v>0</v>
      </c>
      <c r="Y102" s="72">
        <f t="shared" si="1111"/>
        <v>0</v>
      </c>
      <c r="Z102" s="72">
        <f t="shared" si="1111"/>
        <v>0</v>
      </c>
      <c r="AA102" s="72">
        <f t="shared" si="1111"/>
        <v>0</v>
      </c>
      <c r="AB102" s="72">
        <f t="shared" si="1111"/>
        <v>0</v>
      </c>
      <c r="AC102" s="72">
        <f t="shared" si="1111"/>
        <v>0</v>
      </c>
      <c r="AD102" s="72">
        <f t="shared" si="1111"/>
        <v>0</v>
      </c>
      <c r="AE102" s="72">
        <f t="shared" si="1111"/>
        <v>0</v>
      </c>
      <c r="AF102" s="72">
        <f t="shared" si="1111"/>
        <v>0</v>
      </c>
      <c r="AG102" s="72">
        <f t="shared" si="1111"/>
        <v>0</v>
      </c>
      <c r="AH102" s="72">
        <f t="shared" si="1111"/>
        <v>0</v>
      </c>
      <c r="AI102" s="72">
        <f t="shared" si="1111"/>
        <v>0</v>
      </c>
      <c r="AJ102" s="72">
        <f t="shared" si="1111"/>
        <v>0</v>
      </c>
      <c r="AK102" s="72">
        <f t="shared" si="1111"/>
        <v>0</v>
      </c>
      <c r="AL102" s="72">
        <f t="shared" si="1111"/>
        <v>0</v>
      </c>
      <c r="AM102" s="72">
        <f t="shared" si="1111"/>
        <v>0</v>
      </c>
      <c r="AN102" s="72">
        <f t="shared" si="1111"/>
        <v>0</v>
      </c>
      <c r="AO102" s="72">
        <f t="shared" si="1111"/>
        <v>0</v>
      </c>
      <c r="AP102" s="72">
        <f t="shared" si="1111"/>
        <v>0</v>
      </c>
      <c r="AQ102" s="72">
        <f t="shared" si="1111"/>
        <v>0</v>
      </c>
      <c r="AR102" s="72">
        <f t="shared" si="1111"/>
        <v>0</v>
      </c>
      <c r="AS102" s="72">
        <f t="shared" si="1111"/>
        <v>0</v>
      </c>
      <c r="AT102" s="72">
        <f t="shared" si="1111"/>
        <v>0</v>
      </c>
      <c r="AU102" s="72">
        <f t="shared" si="1111"/>
        <v>0</v>
      </c>
      <c r="AV102" s="72">
        <f t="shared" si="1111"/>
        <v>0</v>
      </c>
      <c r="AW102" s="72">
        <f t="shared" si="1111"/>
        <v>0</v>
      </c>
      <c r="AX102" s="72">
        <f t="shared" si="1111"/>
        <v>0</v>
      </c>
      <c r="AY102" s="72">
        <f t="shared" si="1111"/>
        <v>0</v>
      </c>
      <c r="AZ102" s="72">
        <f t="shared" si="1111"/>
        <v>0</v>
      </c>
      <c r="BA102" s="72">
        <f t="shared" si="1111"/>
        <v>0</v>
      </c>
      <c r="BB102" s="72">
        <f t="shared" si="1111"/>
        <v>0</v>
      </c>
      <c r="BC102" s="72">
        <f t="shared" si="1111"/>
        <v>0</v>
      </c>
      <c r="BD102" s="72">
        <f t="shared" si="1111"/>
        <v>0</v>
      </c>
      <c r="BE102" s="72">
        <f t="shared" si="1111"/>
        <v>0</v>
      </c>
      <c r="BF102" s="72">
        <f t="shared" si="1111"/>
        <v>0</v>
      </c>
      <c r="BG102" s="72">
        <f t="shared" si="1111"/>
        <v>0</v>
      </c>
      <c r="BH102" s="72">
        <f t="shared" si="1111"/>
        <v>0</v>
      </c>
      <c r="BI102" s="72">
        <f t="shared" si="1111"/>
        <v>0</v>
      </c>
      <c r="BJ102" s="72">
        <f t="shared" si="1111"/>
        <v>0</v>
      </c>
      <c r="BK102" s="72">
        <f t="shared" si="1111"/>
        <v>0</v>
      </c>
      <c r="BL102" s="72">
        <f t="shared" si="1111"/>
        <v>0</v>
      </c>
      <c r="BM102" s="72">
        <f t="shared" si="1111"/>
        <v>0</v>
      </c>
      <c r="BN102" s="72">
        <f t="shared" si="1111"/>
        <v>0</v>
      </c>
      <c r="BO102" s="72">
        <f t="shared" si="1111"/>
        <v>0</v>
      </c>
      <c r="BP102" s="72">
        <f t="shared" si="1111"/>
        <v>0</v>
      </c>
      <c r="BQ102" s="72">
        <f t="shared" si="1111"/>
        <v>0</v>
      </c>
      <c r="BR102" s="72">
        <f t="shared" ref="BR102:DI102" si="1112">+BR98*$E78/Months*(1-Renewal_Probability)</f>
        <v>0</v>
      </c>
      <c r="BS102" s="72">
        <f t="shared" si="1112"/>
        <v>0</v>
      </c>
      <c r="BT102" s="72">
        <f t="shared" si="1112"/>
        <v>0</v>
      </c>
      <c r="BU102" s="72">
        <f t="shared" si="1112"/>
        <v>0</v>
      </c>
      <c r="BV102" s="72">
        <f t="shared" si="1112"/>
        <v>0</v>
      </c>
      <c r="BW102" s="72">
        <f t="shared" si="1112"/>
        <v>0</v>
      </c>
      <c r="BX102" s="72">
        <f t="shared" si="1112"/>
        <v>0</v>
      </c>
      <c r="BY102" s="72">
        <f t="shared" si="1112"/>
        <v>0</v>
      </c>
      <c r="BZ102" s="72">
        <f t="shared" si="1112"/>
        <v>0</v>
      </c>
      <c r="CA102" s="72">
        <f t="shared" si="1112"/>
        <v>0</v>
      </c>
      <c r="CB102" s="72">
        <f t="shared" si="1112"/>
        <v>0</v>
      </c>
      <c r="CC102" s="72">
        <f t="shared" si="1112"/>
        <v>0</v>
      </c>
      <c r="CD102" s="72">
        <f t="shared" si="1112"/>
        <v>0</v>
      </c>
      <c r="CE102" s="72">
        <f t="shared" si="1112"/>
        <v>0</v>
      </c>
      <c r="CF102" s="72">
        <f t="shared" si="1112"/>
        <v>0</v>
      </c>
      <c r="CG102" s="72">
        <f t="shared" si="1112"/>
        <v>0</v>
      </c>
      <c r="CH102" s="72">
        <f t="shared" si="1112"/>
        <v>0</v>
      </c>
      <c r="CI102" s="72">
        <f t="shared" si="1112"/>
        <v>0</v>
      </c>
      <c r="CJ102" s="72">
        <f t="shared" si="1112"/>
        <v>0</v>
      </c>
      <c r="CK102" s="72">
        <f t="shared" si="1112"/>
        <v>0</v>
      </c>
      <c r="CL102" s="72">
        <f t="shared" si="1112"/>
        <v>0</v>
      </c>
      <c r="CM102" s="72">
        <f t="shared" si="1112"/>
        <v>0</v>
      </c>
      <c r="CN102" s="72">
        <f t="shared" si="1112"/>
        <v>0</v>
      </c>
      <c r="CO102" s="72">
        <f t="shared" si="1112"/>
        <v>0</v>
      </c>
      <c r="CP102" s="72">
        <f t="shared" si="1112"/>
        <v>0</v>
      </c>
      <c r="CQ102" s="72">
        <f t="shared" si="1112"/>
        <v>0</v>
      </c>
      <c r="CR102" s="72">
        <f t="shared" si="1112"/>
        <v>0</v>
      </c>
      <c r="CS102" s="72">
        <f t="shared" si="1112"/>
        <v>0</v>
      </c>
      <c r="CT102" s="72">
        <f t="shared" si="1112"/>
        <v>0</v>
      </c>
      <c r="CU102" s="72">
        <f t="shared" si="1112"/>
        <v>0</v>
      </c>
      <c r="CV102" s="72">
        <f t="shared" si="1112"/>
        <v>0</v>
      </c>
      <c r="CW102" s="72">
        <f t="shared" si="1112"/>
        <v>0</v>
      </c>
      <c r="CX102" s="72">
        <f t="shared" si="1112"/>
        <v>1180626.905735652</v>
      </c>
      <c r="CY102" s="72">
        <f t="shared" si="1112"/>
        <v>1183538.6501856362</v>
      </c>
      <c r="CZ102" s="72">
        <f t="shared" si="1112"/>
        <v>1186457.5757829424</v>
      </c>
      <c r="DA102" s="72">
        <f t="shared" si="1112"/>
        <v>1189383.7002382164</v>
      </c>
      <c r="DB102" s="72">
        <f t="shared" si="1112"/>
        <v>1192317.0413057848</v>
      </c>
      <c r="DC102" s="72">
        <f t="shared" si="1112"/>
        <v>1195257.6167837598</v>
      </c>
      <c r="DD102" s="72">
        <f t="shared" si="1112"/>
        <v>1198205.4445141491</v>
      </c>
      <c r="DE102" s="72">
        <f t="shared" si="1112"/>
        <v>1201160.5423829642</v>
      </c>
      <c r="DF102" s="72">
        <f t="shared" si="1112"/>
        <v>1204122.9283203273</v>
      </c>
      <c r="DG102" s="72">
        <f t="shared" si="1112"/>
        <v>1207092.6203005814</v>
      </c>
      <c r="DH102" s="72">
        <f t="shared" si="1112"/>
        <v>1207092.6203005814</v>
      </c>
      <c r="DI102" s="72">
        <f t="shared" si="1112"/>
        <v>1207092.6203005814</v>
      </c>
    </row>
    <row r="103" spans="2:113" customFormat="1" outlineLevel="1" x14ac:dyDescent="0.25">
      <c r="B103" s="1"/>
      <c r="C103" s="60" t="s">
        <v>50</v>
      </c>
      <c r="D103" s="47" t="s">
        <v>107</v>
      </c>
      <c r="E103" s="1"/>
      <c r="F103" s="72">
        <f>IF(AND(F$35&gt;$E81,F$35&lt;=$E90),-F102,0)</f>
        <v>0</v>
      </c>
      <c r="G103" s="72">
        <f t="shared" ref="G103:BR103" si="1113">IF(AND(G$35&gt;$E81,G$35&lt;=$E90),-G102,0)</f>
        <v>0</v>
      </c>
      <c r="H103" s="72">
        <f t="shared" si="1113"/>
        <v>0</v>
      </c>
      <c r="I103" s="72">
        <f t="shared" si="1113"/>
        <v>0</v>
      </c>
      <c r="J103" s="72">
        <f t="shared" si="1113"/>
        <v>0</v>
      </c>
      <c r="K103" s="72">
        <f t="shared" si="1113"/>
        <v>0</v>
      </c>
      <c r="L103" s="72">
        <f t="shared" si="1113"/>
        <v>0</v>
      </c>
      <c r="M103" s="72">
        <f t="shared" si="1113"/>
        <v>0</v>
      </c>
      <c r="N103" s="72">
        <f t="shared" si="1113"/>
        <v>0</v>
      </c>
      <c r="O103" s="72">
        <f t="shared" si="1113"/>
        <v>0</v>
      </c>
      <c r="P103" s="72">
        <f t="shared" si="1113"/>
        <v>0</v>
      </c>
      <c r="Q103" s="72">
        <f t="shared" si="1113"/>
        <v>0</v>
      </c>
      <c r="R103" s="72">
        <f t="shared" si="1113"/>
        <v>0</v>
      </c>
      <c r="S103" s="72">
        <f t="shared" si="1113"/>
        <v>0</v>
      </c>
      <c r="T103" s="72">
        <f t="shared" si="1113"/>
        <v>0</v>
      </c>
      <c r="U103" s="72">
        <f t="shared" si="1113"/>
        <v>0</v>
      </c>
      <c r="V103" s="72">
        <f t="shared" si="1113"/>
        <v>0</v>
      </c>
      <c r="W103" s="72">
        <f t="shared" si="1113"/>
        <v>0</v>
      </c>
      <c r="X103" s="72">
        <f t="shared" si="1113"/>
        <v>0</v>
      </c>
      <c r="Y103" s="72">
        <f t="shared" si="1113"/>
        <v>0</v>
      </c>
      <c r="Z103" s="72">
        <f t="shared" si="1113"/>
        <v>0</v>
      </c>
      <c r="AA103" s="72">
        <f t="shared" si="1113"/>
        <v>0</v>
      </c>
      <c r="AB103" s="72">
        <f t="shared" si="1113"/>
        <v>0</v>
      </c>
      <c r="AC103" s="72">
        <f t="shared" si="1113"/>
        <v>0</v>
      </c>
      <c r="AD103" s="72">
        <f t="shared" si="1113"/>
        <v>0</v>
      </c>
      <c r="AE103" s="72">
        <f t="shared" si="1113"/>
        <v>0</v>
      </c>
      <c r="AF103" s="72">
        <f t="shared" si="1113"/>
        <v>0</v>
      </c>
      <c r="AG103" s="72">
        <f t="shared" si="1113"/>
        <v>0</v>
      </c>
      <c r="AH103" s="72">
        <f t="shared" si="1113"/>
        <v>0</v>
      </c>
      <c r="AI103" s="72">
        <f t="shared" si="1113"/>
        <v>0</v>
      </c>
      <c r="AJ103" s="72">
        <f t="shared" si="1113"/>
        <v>0</v>
      </c>
      <c r="AK103" s="72">
        <f t="shared" si="1113"/>
        <v>0</v>
      </c>
      <c r="AL103" s="72">
        <f t="shared" si="1113"/>
        <v>0</v>
      </c>
      <c r="AM103" s="72">
        <f t="shared" si="1113"/>
        <v>0</v>
      </c>
      <c r="AN103" s="72">
        <f t="shared" si="1113"/>
        <v>0</v>
      </c>
      <c r="AO103" s="72">
        <f t="shared" si="1113"/>
        <v>0</v>
      </c>
      <c r="AP103" s="72">
        <f t="shared" si="1113"/>
        <v>0</v>
      </c>
      <c r="AQ103" s="72">
        <f t="shared" si="1113"/>
        <v>0</v>
      </c>
      <c r="AR103" s="72">
        <f t="shared" si="1113"/>
        <v>0</v>
      </c>
      <c r="AS103" s="72">
        <f t="shared" si="1113"/>
        <v>0</v>
      </c>
      <c r="AT103" s="72">
        <f t="shared" si="1113"/>
        <v>0</v>
      </c>
      <c r="AU103" s="72">
        <f t="shared" si="1113"/>
        <v>0</v>
      </c>
      <c r="AV103" s="72">
        <f t="shared" si="1113"/>
        <v>0</v>
      </c>
      <c r="AW103" s="72">
        <f t="shared" si="1113"/>
        <v>0</v>
      </c>
      <c r="AX103" s="72">
        <f t="shared" si="1113"/>
        <v>0</v>
      </c>
      <c r="AY103" s="72">
        <f t="shared" si="1113"/>
        <v>0</v>
      </c>
      <c r="AZ103" s="72">
        <f t="shared" si="1113"/>
        <v>0</v>
      </c>
      <c r="BA103" s="72">
        <f t="shared" si="1113"/>
        <v>0</v>
      </c>
      <c r="BB103" s="72">
        <f t="shared" si="1113"/>
        <v>0</v>
      </c>
      <c r="BC103" s="72">
        <f t="shared" si="1113"/>
        <v>0</v>
      </c>
      <c r="BD103" s="72">
        <f t="shared" si="1113"/>
        <v>0</v>
      </c>
      <c r="BE103" s="72">
        <f t="shared" si="1113"/>
        <v>0</v>
      </c>
      <c r="BF103" s="72">
        <f t="shared" si="1113"/>
        <v>0</v>
      </c>
      <c r="BG103" s="72">
        <f t="shared" si="1113"/>
        <v>0</v>
      </c>
      <c r="BH103" s="72">
        <f t="shared" si="1113"/>
        <v>0</v>
      </c>
      <c r="BI103" s="72">
        <f t="shared" si="1113"/>
        <v>0</v>
      </c>
      <c r="BJ103" s="72">
        <f t="shared" si="1113"/>
        <v>0</v>
      </c>
      <c r="BK103" s="72">
        <f t="shared" si="1113"/>
        <v>0</v>
      </c>
      <c r="BL103" s="72">
        <f t="shared" si="1113"/>
        <v>0</v>
      </c>
      <c r="BM103" s="72">
        <f t="shared" si="1113"/>
        <v>0</v>
      </c>
      <c r="BN103" s="72">
        <f t="shared" si="1113"/>
        <v>0</v>
      </c>
      <c r="BO103" s="72">
        <f t="shared" si="1113"/>
        <v>0</v>
      </c>
      <c r="BP103" s="72">
        <f t="shared" si="1113"/>
        <v>0</v>
      </c>
      <c r="BQ103" s="72">
        <f t="shared" si="1113"/>
        <v>0</v>
      </c>
      <c r="BR103" s="72">
        <f t="shared" si="1113"/>
        <v>0</v>
      </c>
      <c r="BS103" s="72">
        <f t="shared" ref="BS103:DI103" si="1114">IF(AND(BS$35&gt;$E81,BS$35&lt;=$E90),-BS102,0)</f>
        <v>0</v>
      </c>
      <c r="BT103" s="72">
        <f t="shared" si="1114"/>
        <v>0</v>
      </c>
      <c r="BU103" s="72">
        <f t="shared" si="1114"/>
        <v>0</v>
      </c>
      <c r="BV103" s="72">
        <f t="shared" si="1114"/>
        <v>0</v>
      </c>
      <c r="BW103" s="72">
        <f t="shared" si="1114"/>
        <v>0</v>
      </c>
      <c r="BX103" s="72">
        <f t="shared" si="1114"/>
        <v>0</v>
      </c>
      <c r="BY103" s="72">
        <f t="shared" si="1114"/>
        <v>0</v>
      </c>
      <c r="BZ103" s="72">
        <f t="shared" si="1114"/>
        <v>0</v>
      </c>
      <c r="CA103" s="72">
        <f t="shared" si="1114"/>
        <v>0</v>
      </c>
      <c r="CB103" s="72">
        <f t="shared" si="1114"/>
        <v>0</v>
      </c>
      <c r="CC103" s="72">
        <f t="shared" si="1114"/>
        <v>0</v>
      </c>
      <c r="CD103" s="72">
        <f t="shared" si="1114"/>
        <v>0</v>
      </c>
      <c r="CE103" s="72">
        <f t="shared" si="1114"/>
        <v>0</v>
      </c>
      <c r="CF103" s="72">
        <f t="shared" si="1114"/>
        <v>0</v>
      </c>
      <c r="CG103" s="72">
        <f t="shared" si="1114"/>
        <v>0</v>
      </c>
      <c r="CH103" s="72">
        <f t="shared" si="1114"/>
        <v>0</v>
      </c>
      <c r="CI103" s="72">
        <f t="shared" si="1114"/>
        <v>0</v>
      </c>
      <c r="CJ103" s="72">
        <f t="shared" si="1114"/>
        <v>0</v>
      </c>
      <c r="CK103" s="72">
        <f t="shared" si="1114"/>
        <v>0</v>
      </c>
      <c r="CL103" s="72">
        <f t="shared" si="1114"/>
        <v>0</v>
      </c>
      <c r="CM103" s="72">
        <f t="shared" si="1114"/>
        <v>0</v>
      </c>
      <c r="CN103" s="72">
        <f t="shared" si="1114"/>
        <v>0</v>
      </c>
      <c r="CO103" s="72">
        <f t="shared" si="1114"/>
        <v>0</v>
      </c>
      <c r="CP103" s="72">
        <f t="shared" si="1114"/>
        <v>0</v>
      </c>
      <c r="CQ103" s="72">
        <f t="shared" si="1114"/>
        <v>0</v>
      </c>
      <c r="CR103" s="72">
        <f t="shared" si="1114"/>
        <v>0</v>
      </c>
      <c r="CS103" s="72">
        <f t="shared" si="1114"/>
        <v>0</v>
      </c>
      <c r="CT103" s="72">
        <f t="shared" si="1114"/>
        <v>0</v>
      </c>
      <c r="CU103" s="72">
        <f t="shared" si="1114"/>
        <v>0</v>
      </c>
      <c r="CV103" s="72">
        <f t="shared" si="1114"/>
        <v>0</v>
      </c>
      <c r="CW103" s="72">
        <f t="shared" si="1114"/>
        <v>0</v>
      </c>
      <c r="CX103" s="72">
        <f t="shared" si="1114"/>
        <v>-1180626.905735652</v>
      </c>
      <c r="CY103" s="72">
        <f t="shared" si="1114"/>
        <v>-1183538.6501856362</v>
      </c>
      <c r="CZ103" s="72">
        <f t="shared" si="1114"/>
        <v>-1186457.5757829424</v>
      </c>
      <c r="DA103" s="72">
        <f t="shared" si="1114"/>
        <v>-1189383.7002382164</v>
      </c>
      <c r="DB103" s="72">
        <f t="shared" si="1114"/>
        <v>-1192317.0413057848</v>
      </c>
      <c r="DC103" s="72">
        <f t="shared" si="1114"/>
        <v>-1195257.6167837598</v>
      </c>
      <c r="DD103" s="72">
        <f t="shared" si="1114"/>
        <v>-1198205.4445141491</v>
      </c>
      <c r="DE103" s="72">
        <f t="shared" si="1114"/>
        <v>-1201160.5423829642</v>
      </c>
      <c r="DF103" s="72">
        <f t="shared" si="1114"/>
        <v>-1204122.9283203273</v>
      </c>
      <c r="DG103" s="72">
        <f t="shared" si="1114"/>
        <v>0</v>
      </c>
      <c r="DH103" s="72">
        <f t="shared" si="1114"/>
        <v>0</v>
      </c>
      <c r="DI103" s="72">
        <f t="shared" si="1114"/>
        <v>0</v>
      </c>
    </row>
    <row r="104" spans="2:113" customFormat="1" outlineLevel="1" x14ac:dyDescent="0.25">
      <c r="B104" s="1"/>
      <c r="C104" s="60" t="s">
        <v>51</v>
      </c>
      <c r="D104" s="47" t="s">
        <v>107</v>
      </c>
      <c r="E104" s="1"/>
      <c r="F104" s="72">
        <f t="shared" ref="F104:BQ104" si="1115">IF(AND(F$35&gt;$E79,F$35&lt;=EOMONTH($E79,$E83)),-F100,0)+IF(AND(F$35&gt;$E81,F$35&lt;=EOMONTH($E81,Renewal_Free_Rent_Months)),-F101,0)+IF(AND(F$35&gt;EOMONTH($E81,Down_Months),F$35&lt;=EOMONTH($E81,Down_Months+New_Free_Rent_Months)),-F102,0)</f>
        <v>0</v>
      </c>
      <c r="G104" s="72">
        <f t="shared" si="1115"/>
        <v>0</v>
      </c>
      <c r="H104" s="72">
        <f t="shared" si="1115"/>
        <v>0</v>
      </c>
      <c r="I104" s="72">
        <f t="shared" si="1115"/>
        <v>0</v>
      </c>
      <c r="J104" s="72">
        <f t="shared" si="1115"/>
        <v>0</v>
      </c>
      <c r="K104" s="72">
        <f t="shared" si="1115"/>
        <v>0</v>
      </c>
      <c r="L104" s="72">
        <f t="shared" si="1115"/>
        <v>0</v>
      </c>
      <c r="M104" s="72">
        <f t="shared" si="1115"/>
        <v>0</v>
      </c>
      <c r="N104" s="72">
        <f t="shared" si="1115"/>
        <v>0</v>
      </c>
      <c r="O104" s="72">
        <f t="shared" si="1115"/>
        <v>0</v>
      </c>
      <c r="P104" s="72">
        <f t="shared" si="1115"/>
        <v>0</v>
      </c>
      <c r="Q104" s="72">
        <f t="shared" si="1115"/>
        <v>0</v>
      </c>
      <c r="R104" s="72">
        <f t="shared" si="1115"/>
        <v>0</v>
      </c>
      <c r="S104" s="72">
        <f t="shared" si="1115"/>
        <v>0</v>
      </c>
      <c r="T104" s="72">
        <f t="shared" si="1115"/>
        <v>0</v>
      </c>
      <c r="U104" s="72">
        <f t="shared" si="1115"/>
        <v>0</v>
      </c>
      <c r="V104" s="72">
        <f t="shared" si="1115"/>
        <v>0</v>
      </c>
      <c r="W104" s="72">
        <f t="shared" si="1115"/>
        <v>0</v>
      </c>
      <c r="X104" s="72">
        <f t="shared" si="1115"/>
        <v>0</v>
      </c>
      <c r="Y104" s="72">
        <f t="shared" si="1115"/>
        <v>0</v>
      </c>
      <c r="Z104" s="72">
        <f t="shared" si="1115"/>
        <v>0</v>
      </c>
      <c r="AA104" s="72">
        <f t="shared" si="1115"/>
        <v>0</v>
      </c>
      <c r="AB104" s="72">
        <f t="shared" si="1115"/>
        <v>0</v>
      </c>
      <c r="AC104" s="72">
        <f t="shared" si="1115"/>
        <v>0</v>
      </c>
      <c r="AD104" s="72">
        <f t="shared" si="1115"/>
        <v>0</v>
      </c>
      <c r="AE104" s="72">
        <f t="shared" si="1115"/>
        <v>0</v>
      </c>
      <c r="AF104" s="72">
        <f t="shared" si="1115"/>
        <v>0</v>
      </c>
      <c r="AG104" s="72">
        <f t="shared" si="1115"/>
        <v>0</v>
      </c>
      <c r="AH104" s="72">
        <f t="shared" si="1115"/>
        <v>0</v>
      </c>
      <c r="AI104" s="72">
        <f t="shared" si="1115"/>
        <v>0</v>
      </c>
      <c r="AJ104" s="72">
        <f t="shared" si="1115"/>
        <v>0</v>
      </c>
      <c r="AK104" s="72">
        <f t="shared" si="1115"/>
        <v>0</v>
      </c>
      <c r="AL104" s="72">
        <f t="shared" si="1115"/>
        <v>0</v>
      </c>
      <c r="AM104" s="72">
        <f t="shared" si="1115"/>
        <v>0</v>
      </c>
      <c r="AN104" s="72">
        <f t="shared" si="1115"/>
        <v>0</v>
      </c>
      <c r="AO104" s="72">
        <f t="shared" si="1115"/>
        <v>0</v>
      </c>
      <c r="AP104" s="72">
        <f t="shared" si="1115"/>
        <v>0</v>
      </c>
      <c r="AQ104" s="72">
        <f t="shared" si="1115"/>
        <v>0</v>
      </c>
      <c r="AR104" s="72">
        <f t="shared" si="1115"/>
        <v>0</v>
      </c>
      <c r="AS104" s="72">
        <f t="shared" si="1115"/>
        <v>0</v>
      </c>
      <c r="AT104" s="72">
        <f t="shared" si="1115"/>
        <v>0</v>
      </c>
      <c r="AU104" s="72">
        <f t="shared" si="1115"/>
        <v>0</v>
      </c>
      <c r="AV104" s="72">
        <f t="shared" si="1115"/>
        <v>0</v>
      </c>
      <c r="AW104" s="72">
        <f t="shared" si="1115"/>
        <v>0</v>
      </c>
      <c r="AX104" s="72">
        <f t="shared" si="1115"/>
        <v>0</v>
      </c>
      <c r="AY104" s="72">
        <f t="shared" si="1115"/>
        <v>0</v>
      </c>
      <c r="AZ104" s="72">
        <f t="shared" si="1115"/>
        <v>0</v>
      </c>
      <c r="BA104" s="72">
        <f t="shared" si="1115"/>
        <v>0</v>
      </c>
      <c r="BB104" s="72">
        <f t="shared" si="1115"/>
        <v>-2078561.0431549794</v>
      </c>
      <c r="BC104" s="72">
        <f t="shared" si="1115"/>
        <v>-2078561.0431549794</v>
      </c>
      <c r="BD104" s="72">
        <f t="shared" si="1115"/>
        <v>-2078561.0431549794</v>
      </c>
      <c r="BE104" s="72">
        <f t="shared" si="1115"/>
        <v>-2078561.0431549794</v>
      </c>
      <c r="BF104" s="72">
        <f t="shared" si="1115"/>
        <v>-2078561.0431549794</v>
      </c>
      <c r="BG104" s="72">
        <f t="shared" si="1115"/>
        <v>-2078561.0431549794</v>
      </c>
      <c r="BH104" s="72">
        <f t="shared" si="1115"/>
        <v>-2078561.0431549794</v>
      </c>
      <c r="BI104" s="72">
        <f t="shared" si="1115"/>
        <v>-2078561.0431549794</v>
      </c>
      <c r="BJ104" s="72">
        <f t="shared" si="1115"/>
        <v>-2078561.0431549794</v>
      </c>
      <c r="BK104" s="72">
        <f t="shared" si="1115"/>
        <v>0</v>
      </c>
      <c r="BL104" s="72">
        <f t="shared" si="1115"/>
        <v>0</v>
      </c>
      <c r="BM104" s="72">
        <f t="shared" si="1115"/>
        <v>0</v>
      </c>
      <c r="BN104" s="72">
        <f t="shared" si="1115"/>
        <v>0</v>
      </c>
      <c r="BO104" s="72">
        <f t="shared" si="1115"/>
        <v>0</v>
      </c>
      <c r="BP104" s="72">
        <f t="shared" si="1115"/>
        <v>0</v>
      </c>
      <c r="BQ104" s="72">
        <f t="shared" si="1115"/>
        <v>0</v>
      </c>
      <c r="BR104" s="72">
        <f t="shared" ref="BR104:DI104" si="1116">IF(AND(BR$35&gt;$E79,BR$35&lt;=EOMONTH($E79,$E83)),-BR100,0)+IF(AND(BR$35&gt;$E81,BR$35&lt;=EOMONTH($E81,Renewal_Free_Rent_Months)),-BR101,0)+IF(AND(BR$35&gt;EOMONTH($E81,Down_Months),BR$35&lt;=EOMONTH($E81,Down_Months+New_Free_Rent_Months)),-BR102,0)</f>
        <v>0</v>
      </c>
      <c r="BS104" s="72">
        <f t="shared" si="1116"/>
        <v>0</v>
      </c>
      <c r="BT104" s="72">
        <f t="shared" si="1116"/>
        <v>0</v>
      </c>
      <c r="BU104" s="72">
        <f t="shared" si="1116"/>
        <v>0</v>
      </c>
      <c r="BV104" s="72">
        <f t="shared" si="1116"/>
        <v>0</v>
      </c>
      <c r="BW104" s="72">
        <f t="shared" si="1116"/>
        <v>0</v>
      </c>
      <c r="BX104" s="72">
        <f t="shared" si="1116"/>
        <v>0</v>
      </c>
      <c r="BY104" s="72">
        <f t="shared" si="1116"/>
        <v>0</v>
      </c>
      <c r="BZ104" s="72">
        <f t="shared" si="1116"/>
        <v>0</v>
      </c>
      <c r="CA104" s="72">
        <f t="shared" si="1116"/>
        <v>0</v>
      </c>
      <c r="CB104" s="72">
        <f t="shared" si="1116"/>
        <v>0</v>
      </c>
      <c r="CC104" s="72">
        <f t="shared" si="1116"/>
        <v>0</v>
      </c>
      <c r="CD104" s="72">
        <f t="shared" si="1116"/>
        <v>0</v>
      </c>
      <c r="CE104" s="72">
        <f t="shared" si="1116"/>
        <v>0</v>
      </c>
      <c r="CF104" s="72">
        <f t="shared" si="1116"/>
        <v>0</v>
      </c>
      <c r="CG104" s="72">
        <f t="shared" si="1116"/>
        <v>0</v>
      </c>
      <c r="CH104" s="72">
        <f t="shared" si="1116"/>
        <v>0</v>
      </c>
      <c r="CI104" s="72">
        <f t="shared" si="1116"/>
        <v>0</v>
      </c>
      <c r="CJ104" s="72">
        <f t="shared" si="1116"/>
        <v>0</v>
      </c>
      <c r="CK104" s="72">
        <f t="shared" si="1116"/>
        <v>0</v>
      </c>
      <c r="CL104" s="72">
        <f t="shared" si="1116"/>
        <v>0</v>
      </c>
      <c r="CM104" s="72">
        <f t="shared" si="1116"/>
        <v>0</v>
      </c>
      <c r="CN104" s="72">
        <f t="shared" si="1116"/>
        <v>0</v>
      </c>
      <c r="CO104" s="72">
        <f t="shared" si="1116"/>
        <v>0</v>
      </c>
      <c r="CP104" s="72">
        <f t="shared" si="1116"/>
        <v>0</v>
      </c>
      <c r="CQ104" s="72">
        <f t="shared" si="1116"/>
        <v>0</v>
      </c>
      <c r="CR104" s="72">
        <f t="shared" si="1116"/>
        <v>0</v>
      </c>
      <c r="CS104" s="72">
        <f t="shared" si="1116"/>
        <v>0</v>
      </c>
      <c r="CT104" s="72">
        <f t="shared" si="1116"/>
        <v>0</v>
      </c>
      <c r="CU104" s="72">
        <f t="shared" si="1116"/>
        <v>0</v>
      </c>
      <c r="CV104" s="72">
        <f t="shared" si="1116"/>
        <v>0</v>
      </c>
      <c r="CW104" s="72">
        <f t="shared" si="1116"/>
        <v>0</v>
      </c>
      <c r="CX104" s="72">
        <f t="shared" si="1116"/>
        <v>-1180626.905735652</v>
      </c>
      <c r="CY104" s="72">
        <f t="shared" si="1116"/>
        <v>-1180626.905735652</v>
      </c>
      <c r="CZ104" s="72">
        <f t="shared" si="1116"/>
        <v>-1180626.905735652</v>
      </c>
      <c r="DA104" s="72">
        <f t="shared" si="1116"/>
        <v>-1180626.905735652</v>
      </c>
      <c r="DB104" s="72">
        <f t="shared" si="1116"/>
        <v>-1180626.905735652</v>
      </c>
      <c r="DC104" s="72">
        <f t="shared" si="1116"/>
        <v>-1180626.905735652</v>
      </c>
      <c r="DD104" s="72">
        <f t="shared" si="1116"/>
        <v>-1180626.905735652</v>
      </c>
      <c r="DE104" s="72">
        <f t="shared" si="1116"/>
        <v>-1180626.905735652</v>
      </c>
      <c r="DF104" s="72">
        <f t="shared" si="1116"/>
        <v>0</v>
      </c>
      <c r="DG104" s="72">
        <f t="shared" si="1116"/>
        <v>-1207092.6203005814</v>
      </c>
      <c r="DH104" s="72">
        <f t="shared" si="1116"/>
        <v>-1207092.6203005814</v>
      </c>
      <c r="DI104" s="72">
        <f t="shared" si="1116"/>
        <v>-1207092.6203005814</v>
      </c>
    </row>
    <row r="105" spans="2:113" customFormat="1" outlineLevel="1" x14ac:dyDescent="0.25">
      <c r="B105" s="1"/>
      <c r="C105" s="60" t="s">
        <v>52</v>
      </c>
      <c r="D105" s="47" t="s">
        <v>107</v>
      </c>
      <c r="E105" s="1"/>
      <c r="F105" s="72">
        <f t="shared" ref="F105:BQ105" si="1117">IF(F$35=EOMONTH($E79,1),-New_TIs*$E78*F$40,0)+IF(F$35=EOMONTH($E85,1),-Renewal_TIs*$E78*F$40*Renewal_Probability,0)+IF(F$35=EOMONTH($E85,Down_Months+1),-New_TIs*$E78*F$40*(1-Renewal_Probability),0)</f>
        <v>0</v>
      </c>
      <c r="G105" s="72">
        <f t="shared" si="1117"/>
        <v>0</v>
      </c>
      <c r="H105" s="72">
        <f t="shared" si="1117"/>
        <v>0</v>
      </c>
      <c r="I105" s="72">
        <f t="shared" si="1117"/>
        <v>0</v>
      </c>
      <c r="J105" s="72">
        <f t="shared" si="1117"/>
        <v>0</v>
      </c>
      <c r="K105" s="72">
        <f t="shared" si="1117"/>
        <v>0</v>
      </c>
      <c r="L105" s="72">
        <f t="shared" si="1117"/>
        <v>0</v>
      </c>
      <c r="M105" s="72">
        <f t="shared" si="1117"/>
        <v>0</v>
      </c>
      <c r="N105" s="72">
        <f t="shared" si="1117"/>
        <v>0</v>
      </c>
      <c r="O105" s="72">
        <f t="shared" si="1117"/>
        <v>0</v>
      </c>
      <c r="P105" s="72">
        <f t="shared" si="1117"/>
        <v>0</v>
      </c>
      <c r="Q105" s="72">
        <f t="shared" si="1117"/>
        <v>0</v>
      </c>
      <c r="R105" s="72">
        <f t="shared" si="1117"/>
        <v>0</v>
      </c>
      <c r="S105" s="72">
        <f t="shared" si="1117"/>
        <v>0</v>
      </c>
      <c r="T105" s="72">
        <f t="shared" si="1117"/>
        <v>0</v>
      </c>
      <c r="U105" s="72">
        <f t="shared" si="1117"/>
        <v>0</v>
      </c>
      <c r="V105" s="72">
        <f t="shared" si="1117"/>
        <v>0</v>
      </c>
      <c r="W105" s="72">
        <f t="shared" si="1117"/>
        <v>0</v>
      </c>
      <c r="X105" s="72">
        <f t="shared" si="1117"/>
        <v>0</v>
      </c>
      <c r="Y105" s="72">
        <f t="shared" si="1117"/>
        <v>0</v>
      </c>
      <c r="Z105" s="72">
        <f t="shared" si="1117"/>
        <v>0</v>
      </c>
      <c r="AA105" s="72">
        <f t="shared" si="1117"/>
        <v>0</v>
      </c>
      <c r="AB105" s="72">
        <f t="shared" si="1117"/>
        <v>0</v>
      </c>
      <c r="AC105" s="72">
        <f t="shared" si="1117"/>
        <v>0</v>
      </c>
      <c r="AD105" s="72">
        <f t="shared" si="1117"/>
        <v>0</v>
      </c>
      <c r="AE105" s="72">
        <f t="shared" si="1117"/>
        <v>0</v>
      </c>
      <c r="AF105" s="72">
        <f t="shared" si="1117"/>
        <v>0</v>
      </c>
      <c r="AG105" s="72">
        <f t="shared" si="1117"/>
        <v>0</v>
      </c>
      <c r="AH105" s="72">
        <f t="shared" si="1117"/>
        <v>0</v>
      </c>
      <c r="AI105" s="72">
        <f t="shared" si="1117"/>
        <v>0</v>
      </c>
      <c r="AJ105" s="72">
        <f t="shared" si="1117"/>
        <v>0</v>
      </c>
      <c r="AK105" s="72">
        <f t="shared" si="1117"/>
        <v>0</v>
      </c>
      <c r="AL105" s="72">
        <f t="shared" si="1117"/>
        <v>0</v>
      </c>
      <c r="AM105" s="72">
        <f t="shared" si="1117"/>
        <v>0</v>
      </c>
      <c r="AN105" s="72">
        <f t="shared" si="1117"/>
        <v>0</v>
      </c>
      <c r="AO105" s="72">
        <f t="shared" si="1117"/>
        <v>0</v>
      </c>
      <c r="AP105" s="72">
        <f t="shared" si="1117"/>
        <v>0</v>
      </c>
      <c r="AQ105" s="72">
        <f t="shared" si="1117"/>
        <v>0</v>
      </c>
      <c r="AR105" s="72">
        <f t="shared" si="1117"/>
        <v>0</v>
      </c>
      <c r="AS105" s="72">
        <f t="shared" si="1117"/>
        <v>0</v>
      </c>
      <c r="AT105" s="72">
        <f t="shared" si="1117"/>
        <v>0</v>
      </c>
      <c r="AU105" s="72">
        <f t="shared" si="1117"/>
        <v>0</v>
      </c>
      <c r="AV105" s="72">
        <f t="shared" si="1117"/>
        <v>0</v>
      </c>
      <c r="AW105" s="72">
        <f t="shared" si="1117"/>
        <v>0</v>
      </c>
      <c r="AX105" s="72">
        <f t="shared" si="1117"/>
        <v>0</v>
      </c>
      <c r="AY105" s="72">
        <f t="shared" si="1117"/>
        <v>0</v>
      </c>
      <c r="AZ105" s="72">
        <f t="shared" si="1117"/>
        <v>0</v>
      </c>
      <c r="BA105" s="72">
        <f t="shared" si="1117"/>
        <v>0</v>
      </c>
      <c r="BB105" s="72">
        <f t="shared" si="1117"/>
        <v>-395807.32144239498</v>
      </c>
      <c r="BC105" s="72">
        <f t="shared" si="1117"/>
        <v>0</v>
      </c>
      <c r="BD105" s="72">
        <f t="shared" si="1117"/>
        <v>0</v>
      </c>
      <c r="BE105" s="72">
        <f t="shared" si="1117"/>
        <v>0</v>
      </c>
      <c r="BF105" s="72">
        <f t="shared" si="1117"/>
        <v>0</v>
      </c>
      <c r="BG105" s="72">
        <f t="shared" si="1117"/>
        <v>0</v>
      </c>
      <c r="BH105" s="72">
        <f t="shared" si="1117"/>
        <v>0</v>
      </c>
      <c r="BI105" s="72">
        <f t="shared" si="1117"/>
        <v>0</v>
      </c>
      <c r="BJ105" s="72">
        <f t="shared" si="1117"/>
        <v>0</v>
      </c>
      <c r="BK105" s="72">
        <f t="shared" si="1117"/>
        <v>0</v>
      </c>
      <c r="BL105" s="72">
        <f t="shared" si="1117"/>
        <v>0</v>
      </c>
      <c r="BM105" s="72">
        <f t="shared" si="1117"/>
        <v>0</v>
      </c>
      <c r="BN105" s="72">
        <f t="shared" si="1117"/>
        <v>0</v>
      </c>
      <c r="BO105" s="72">
        <f t="shared" si="1117"/>
        <v>0</v>
      </c>
      <c r="BP105" s="72">
        <f t="shared" si="1117"/>
        <v>0</v>
      </c>
      <c r="BQ105" s="72">
        <f t="shared" si="1117"/>
        <v>0</v>
      </c>
      <c r="BR105" s="72">
        <f t="shared" ref="BR105:DI105" si="1118">IF(BR$35=EOMONTH($E79,1),-New_TIs*$E78*BR$40,0)+IF(BR$35=EOMONTH($E85,1),-Renewal_TIs*$E78*BR$40*Renewal_Probability,0)+IF(BR$35=EOMONTH($E85,Down_Months+1),-New_TIs*$E78*BR$40*(1-Renewal_Probability),0)</f>
        <v>0</v>
      </c>
      <c r="BS105" s="72">
        <f t="shared" si="1118"/>
        <v>0</v>
      </c>
      <c r="BT105" s="72">
        <f t="shared" si="1118"/>
        <v>0</v>
      </c>
      <c r="BU105" s="72">
        <f t="shared" si="1118"/>
        <v>0</v>
      </c>
      <c r="BV105" s="72">
        <f t="shared" si="1118"/>
        <v>0</v>
      </c>
      <c r="BW105" s="72">
        <f t="shared" si="1118"/>
        <v>0</v>
      </c>
      <c r="BX105" s="72">
        <f t="shared" si="1118"/>
        <v>0</v>
      </c>
      <c r="BY105" s="72">
        <f t="shared" si="1118"/>
        <v>0</v>
      </c>
      <c r="BZ105" s="72">
        <f t="shared" si="1118"/>
        <v>0</v>
      </c>
      <c r="CA105" s="72">
        <f t="shared" si="1118"/>
        <v>0</v>
      </c>
      <c r="CB105" s="72">
        <f t="shared" si="1118"/>
        <v>0</v>
      </c>
      <c r="CC105" s="72">
        <f t="shared" si="1118"/>
        <v>0</v>
      </c>
      <c r="CD105" s="72">
        <f t="shared" si="1118"/>
        <v>0</v>
      </c>
      <c r="CE105" s="72">
        <f t="shared" si="1118"/>
        <v>0</v>
      </c>
      <c r="CF105" s="72">
        <f t="shared" si="1118"/>
        <v>0</v>
      </c>
      <c r="CG105" s="72">
        <f t="shared" si="1118"/>
        <v>0</v>
      </c>
      <c r="CH105" s="72">
        <f t="shared" si="1118"/>
        <v>0</v>
      </c>
      <c r="CI105" s="72">
        <f t="shared" si="1118"/>
        <v>0</v>
      </c>
      <c r="CJ105" s="72">
        <f t="shared" si="1118"/>
        <v>0</v>
      </c>
      <c r="CK105" s="72">
        <f t="shared" si="1118"/>
        <v>0</v>
      </c>
      <c r="CL105" s="72">
        <f t="shared" si="1118"/>
        <v>0</v>
      </c>
      <c r="CM105" s="72">
        <f t="shared" si="1118"/>
        <v>0</v>
      </c>
      <c r="CN105" s="72">
        <f t="shared" si="1118"/>
        <v>0</v>
      </c>
      <c r="CO105" s="72">
        <f t="shared" si="1118"/>
        <v>0</v>
      </c>
      <c r="CP105" s="72">
        <f t="shared" si="1118"/>
        <v>0</v>
      </c>
      <c r="CQ105" s="72">
        <f t="shared" si="1118"/>
        <v>0</v>
      </c>
      <c r="CR105" s="72">
        <f t="shared" si="1118"/>
        <v>0</v>
      </c>
      <c r="CS105" s="72">
        <f t="shared" si="1118"/>
        <v>0</v>
      </c>
      <c r="CT105" s="72">
        <f t="shared" si="1118"/>
        <v>0</v>
      </c>
      <c r="CU105" s="72">
        <f t="shared" si="1118"/>
        <v>0</v>
      </c>
      <c r="CV105" s="72">
        <f t="shared" si="1118"/>
        <v>0</v>
      </c>
      <c r="CW105" s="72">
        <f t="shared" si="1118"/>
        <v>0</v>
      </c>
      <c r="CX105" s="72">
        <f t="shared" si="1118"/>
        <v>-101714.74168800846</v>
      </c>
      <c r="CY105" s="72">
        <f t="shared" si="1118"/>
        <v>0</v>
      </c>
      <c r="CZ105" s="72">
        <f t="shared" si="1118"/>
        <v>0</v>
      </c>
      <c r="DA105" s="72">
        <f t="shared" si="1118"/>
        <v>0</v>
      </c>
      <c r="DB105" s="72">
        <f t="shared" si="1118"/>
        <v>0</v>
      </c>
      <c r="DC105" s="72">
        <f t="shared" si="1118"/>
        <v>0</v>
      </c>
      <c r="DD105" s="72">
        <f t="shared" si="1118"/>
        <v>0</v>
      </c>
      <c r="DE105" s="72">
        <f t="shared" si="1118"/>
        <v>0</v>
      </c>
      <c r="DF105" s="72">
        <f t="shared" si="1118"/>
        <v>0</v>
      </c>
      <c r="DG105" s="72">
        <f t="shared" si="1118"/>
        <v>-222034.27386252786</v>
      </c>
      <c r="DH105" s="72">
        <f t="shared" si="1118"/>
        <v>0</v>
      </c>
      <c r="DI105" s="72">
        <f t="shared" si="1118"/>
        <v>0</v>
      </c>
    </row>
    <row r="106" spans="2:113" customFormat="1" outlineLevel="1" x14ac:dyDescent="0.25">
      <c r="B106" s="1"/>
      <c r="C106" s="60" t="s">
        <v>53</v>
      </c>
      <c r="D106" s="47" t="s">
        <v>107</v>
      </c>
      <c r="E106" s="1"/>
      <c r="F106" s="72">
        <f t="shared" ref="F106:BQ106" si="1119">IF(F$35=EOMONTH($E79,1),-New_LC_Pct*FV($E82,$E80,-F96*$E78),0)+IF(F$35=EOMONTH($E85,1),-Renewal_LC_Pct*FV($E88,$E86,-F97*$E78)*Renewal_Probability,0)+IF(F$35=EOMONTH($E90,1),-New_LC_Pct*FV($E93,$E91,-F98*$E78)*(1-Renewal_Probability),0)</f>
        <v>0</v>
      </c>
      <c r="G106" s="72">
        <f t="shared" si="1119"/>
        <v>0</v>
      </c>
      <c r="H106" s="72">
        <f t="shared" si="1119"/>
        <v>0</v>
      </c>
      <c r="I106" s="72">
        <f t="shared" si="1119"/>
        <v>0</v>
      </c>
      <c r="J106" s="72">
        <f t="shared" si="1119"/>
        <v>0</v>
      </c>
      <c r="K106" s="72">
        <f t="shared" si="1119"/>
        <v>0</v>
      </c>
      <c r="L106" s="72">
        <f t="shared" si="1119"/>
        <v>0</v>
      </c>
      <c r="M106" s="72">
        <f t="shared" si="1119"/>
        <v>0</v>
      </c>
      <c r="N106" s="72">
        <f t="shared" si="1119"/>
        <v>0</v>
      </c>
      <c r="O106" s="72">
        <f t="shared" si="1119"/>
        <v>0</v>
      </c>
      <c r="P106" s="72">
        <f t="shared" si="1119"/>
        <v>0</v>
      </c>
      <c r="Q106" s="72">
        <f t="shared" si="1119"/>
        <v>0</v>
      </c>
      <c r="R106" s="72">
        <f t="shared" si="1119"/>
        <v>0</v>
      </c>
      <c r="S106" s="72">
        <f t="shared" si="1119"/>
        <v>0</v>
      </c>
      <c r="T106" s="72">
        <f t="shared" si="1119"/>
        <v>0</v>
      </c>
      <c r="U106" s="72">
        <f t="shared" si="1119"/>
        <v>0</v>
      </c>
      <c r="V106" s="72">
        <f t="shared" si="1119"/>
        <v>0</v>
      </c>
      <c r="W106" s="72">
        <f t="shared" si="1119"/>
        <v>0</v>
      </c>
      <c r="X106" s="72">
        <f t="shared" si="1119"/>
        <v>0</v>
      </c>
      <c r="Y106" s="72">
        <f t="shared" si="1119"/>
        <v>0</v>
      </c>
      <c r="Z106" s="72">
        <f t="shared" si="1119"/>
        <v>0</v>
      </c>
      <c r="AA106" s="72">
        <f t="shared" si="1119"/>
        <v>0</v>
      </c>
      <c r="AB106" s="72">
        <f t="shared" si="1119"/>
        <v>0</v>
      </c>
      <c r="AC106" s="72">
        <f t="shared" si="1119"/>
        <v>0</v>
      </c>
      <c r="AD106" s="72">
        <f t="shared" si="1119"/>
        <v>0</v>
      </c>
      <c r="AE106" s="72">
        <f t="shared" si="1119"/>
        <v>0</v>
      </c>
      <c r="AF106" s="72">
        <f t="shared" si="1119"/>
        <v>0</v>
      </c>
      <c r="AG106" s="72">
        <f t="shared" si="1119"/>
        <v>0</v>
      </c>
      <c r="AH106" s="72">
        <f t="shared" si="1119"/>
        <v>0</v>
      </c>
      <c r="AI106" s="72">
        <f t="shared" si="1119"/>
        <v>0</v>
      </c>
      <c r="AJ106" s="72">
        <f t="shared" si="1119"/>
        <v>0</v>
      </c>
      <c r="AK106" s="72">
        <f t="shared" si="1119"/>
        <v>0</v>
      </c>
      <c r="AL106" s="72">
        <f t="shared" si="1119"/>
        <v>0</v>
      </c>
      <c r="AM106" s="72">
        <f t="shared" si="1119"/>
        <v>0</v>
      </c>
      <c r="AN106" s="72">
        <f t="shared" si="1119"/>
        <v>0</v>
      </c>
      <c r="AO106" s="72">
        <f t="shared" si="1119"/>
        <v>0</v>
      </c>
      <c r="AP106" s="72">
        <f t="shared" si="1119"/>
        <v>0</v>
      </c>
      <c r="AQ106" s="72">
        <f t="shared" si="1119"/>
        <v>0</v>
      </c>
      <c r="AR106" s="72">
        <f t="shared" si="1119"/>
        <v>0</v>
      </c>
      <c r="AS106" s="72">
        <f t="shared" si="1119"/>
        <v>0</v>
      </c>
      <c r="AT106" s="72">
        <f t="shared" si="1119"/>
        <v>0</v>
      </c>
      <c r="AU106" s="72">
        <f t="shared" si="1119"/>
        <v>0</v>
      </c>
      <c r="AV106" s="72">
        <f t="shared" si="1119"/>
        <v>0</v>
      </c>
      <c r="AW106" s="72">
        <f t="shared" si="1119"/>
        <v>0</v>
      </c>
      <c r="AX106" s="72">
        <f t="shared" si="1119"/>
        <v>0</v>
      </c>
      <c r="AY106" s="72">
        <f t="shared" si="1119"/>
        <v>0</v>
      </c>
      <c r="AZ106" s="72">
        <f t="shared" si="1119"/>
        <v>0</v>
      </c>
      <c r="BA106" s="72">
        <f t="shared" si="1119"/>
        <v>0</v>
      </c>
      <c r="BB106" s="72">
        <f t="shared" si="1119"/>
        <v>-2579724.8027002774</v>
      </c>
      <c r="BC106" s="72">
        <f t="shared" si="1119"/>
        <v>0</v>
      </c>
      <c r="BD106" s="72">
        <f t="shared" si="1119"/>
        <v>0</v>
      </c>
      <c r="BE106" s="72">
        <f t="shared" si="1119"/>
        <v>0</v>
      </c>
      <c r="BF106" s="72">
        <f t="shared" si="1119"/>
        <v>0</v>
      </c>
      <c r="BG106" s="72">
        <f t="shared" si="1119"/>
        <v>0</v>
      </c>
      <c r="BH106" s="72">
        <f t="shared" si="1119"/>
        <v>0</v>
      </c>
      <c r="BI106" s="72">
        <f t="shared" si="1119"/>
        <v>0</v>
      </c>
      <c r="BJ106" s="72">
        <f t="shared" si="1119"/>
        <v>0</v>
      </c>
      <c r="BK106" s="72">
        <f t="shared" si="1119"/>
        <v>0</v>
      </c>
      <c r="BL106" s="72">
        <f t="shared" si="1119"/>
        <v>0</v>
      </c>
      <c r="BM106" s="72">
        <f t="shared" si="1119"/>
        <v>0</v>
      </c>
      <c r="BN106" s="72">
        <f t="shared" si="1119"/>
        <v>0</v>
      </c>
      <c r="BO106" s="72">
        <f t="shared" si="1119"/>
        <v>0</v>
      </c>
      <c r="BP106" s="72">
        <f t="shared" si="1119"/>
        <v>0</v>
      </c>
      <c r="BQ106" s="72">
        <f t="shared" si="1119"/>
        <v>0</v>
      </c>
      <c r="BR106" s="72">
        <f t="shared" ref="BR106:DI106" si="1120">IF(BR$35=EOMONTH($E79,1),-New_LC_Pct*FV($E82,$E80,-BR96*$E78),0)+IF(BR$35=EOMONTH($E85,1),-Renewal_LC_Pct*FV($E88,$E86,-BR97*$E78)*Renewal_Probability,0)+IF(BR$35=EOMONTH($E90,1),-New_LC_Pct*FV($E93,$E91,-BR98*$E78)*(1-Renewal_Probability),0)</f>
        <v>0</v>
      </c>
      <c r="BS106" s="72">
        <f t="shared" si="1120"/>
        <v>0</v>
      </c>
      <c r="BT106" s="72">
        <f t="shared" si="1120"/>
        <v>0</v>
      </c>
      <c r="BU106" s="72">
        <f t="shared" si="1120"/>
        <v>0</v>
      </c>
      <c r="BV106" s="72">
        <f t="shared" si="1120"/>
        <v>0</v>
      </c>
      <c r="BW106" s="72">
        <f t="shared" si="1120"/>
        <v>0</v>
      </c>
      <c r="BX106" s="72">
        <f t="shared" si="1120"/>
        <v>0</v>
      </c>
      <c r="BY106" s="72">
        <f t="shared" si="1120"/>
        <v>0</v>
      </c>
      <c r="BZ106" s="72">
        <f t="shared" si="1120"/>
        <v>0</v>
      </c>
      <c r="CA106" s="72">
        <f t="shared" si="1120"/>
        <v>0</v>
      </c>
      <c r="CB106" s="72">
        <f t="shared" si="1120"/>
        <v>0</v>
      </c>
      <c r="CC106" s="72">
        <f t="shared" si="1120"/>
        <v>0</v>
      </c>
      <c r="CD106" s="72">
        <f t="shared" si="1120"/>
        <v>0</v>
      </c>
      <c r="CE106" s="72">
        <f t="shared" si="1120"/>
        <v>0</v>
      </c>
      <c r="CF106" s="72">
        <f t="shared" si="1120"/>
        <v>0</v>
      </c>
      <c r="CG106" s="72">
        <f t="shared" si="1120"/>
        <v>0</v>
      </c>
      <c r="CH106" s="72">
        <f t="shared" si="1120"/>
        <v>0</v>
      </c>
      <c r="CI106" s="72">
        <f t="shared" si="1120"/>
        <v>0</v>
      </c>
      <c r="CJ106" s="72">
        <f t="shared" si="1120"/>
        <v>0</v>
      </c>
      <c r="CK106" s="72">
        <f t="shared" si="1120"/>
        <v>0</v>
      </c>
      <c r="CL106" s="72">
        <f t="shared" si="1120"/>
        <v>0</v>
      </c>
      <c r="CM106" s="72">
        <f t="shared" si="1120"/>
        <v>0</v>
      </c>
      <c r="CN106" s="72">
        <f t="shared" si="1120"/>
        <v>0</v>
      </c>
      <c r="CO106" s="72">
        <f t="shared" si="1120"/>
        <v>0</v>
      </c>
      <c r="CP106" s="72">
        <f t="shared" si="1120"/>
        <v>0</v>
      </c>
      <c r="CQ106" s="72">
        <f t="shared" si="1120"/>
        <v>0</v>
      </c>
      <c r="CR106" s="72">
        <f t="shared" si="1120"/>
        <v>0</v>
      </c>
      <c r="CS106" s="72">
        <f t="shared" si="1120"/>
        <v>0</v>
      </c>
      <c r="CT106" s="72">
        <f t="shared" si="1120"/>
        <v>0</v>
      </c>
      <c r="CU106" s="72">
        <f t="shared" si="1120"/>
        <v>0</v>
      </c>
      <c r="CV106" s="72">
        <f t="shared" si="1120"/>
        <v>0</v>
      </c>
      <c r="CW106" s="72">
        <f t="shared" si="1120"/>
        <v>0</v>
      </c>
      <c r="CX106" s="72">
        <f t="shared" si="1120"/>
        <v>-1117037.316767832</v>
      </c>
      <c r="CY106" s="72">
        <f t="shared" si="1120"/>
        <v>0</v>
      </c>
      <c r="CZ106" s="72">
        <f t="shared" si="1120"/>
        <v>0</v>
      </c>
      <c r="DA106" s="72">
        <f t="shared" si="1120"/>
        <v>0</v>
      </c>
      <c r="DB106" s="72">
        <f t="shared" si="1120"/>
        <v>0</v>
      </c>
      <c r="DC106" s="72">
        <f t="shared" si="1120"/>
        <v>0</v>
      </c>
      <c r="DD106" s="72">
        <f t="shared" si="1120"/>
        <v>0</v>
      </c>
      <c r="DE106" s="72">
        <f t="shared" si="1120"/>
        <v>0</v>
      </c>
      <c r="DF106" s="72">
        <f t="shared" si="1120"/>
        <v>0</v>
      </c>
      <c r="DG106" s="72">
        <f t="shared" si="1120"/>
        <v>-1903462.6083259294</v>
      </c>
      <c r="DH106" s="72">
        <f t="shared" si="1120"/>
        <v>0</v>
      </c>
      <c r="DI106" s="72">
        <f t="shared" si="1120"/>
        <v>0</v>
      </c>
    </row>
    <row r="107" spans="2:113" customFormat="1" outlineLevel="1" x14ac:dyDescent="0.25">
      <c r="B107" s="1"/>
      <c r="C107" s="54"/>
      <c r="D107" s="66"/>
      <c r="E107" s="1"/>
      <c r="F107" s="118"/>
      <c r="G107" s="118"/>
      <c r="H107" s="1"/>
      <c r="I107" s="1"/>
      <c r="J107" s="1"/>
      <c r="K107" s="118"/>
      <c r="AP107" s="72"/>
    </row>
    <row r="108" spans="2:113" customFormat="1" outlineLevel="1" x14ac:dyDescent="0.25">
      <c r="B108" s="1"/>
      <c r="C108" s="60" t="s">
        <v>54</v>
      </c>
      <c r="D108" s="47" t="s">
        <v>107</v>
      </c>
      <c r="E108" s="1"/>
      <c r="F108" s="72">
        <f t="shared" ref="F108:BQ108" si="1121">-IF(F$35&gt;$E79,F$157*($E78/Rentable_Sq_M)*IF(AND(F$35&gt;$E81,F$35&lt;=$E90),Renewal_Probability,1),0)</f>
        <v>0</v>
      </c>
      <c r="G108" s="72">
        <f t="shared" si="1121"/>
        <v>0</v>
      </c>
      <c r="H108" s="72">
        <f t="shared" si="1121"/>
        <v>0</v>
      </c>
      <c r="I108" s="72">
        <f t="shared" si="1121"/>
        <v>0</v>
      </c>
      <c r="J108" s="72">
        <f t="shared" si="1121"/>
        <v>0</v>
      </c>
      <c r="K108" s="72">
        <f t="shared" si="1121"/>
        <v>0</v>
      </c>
      <c r="L108" s="72">
        <f t="shared" si="1121"/>
        <v>0</v>
      </c>
      <c r="M108" s="72">
        <f t="shared" si="1121"/>
        <v>0</v>
      </c>
      <c r="N108" s="72">
        <f t="shared" si="1121"/>
        <v>0</v>
      </c>
      <c r="O108" s="72">
        <f t="shared" si="1121"/>
        <v>0</v>
      </c>
      <c r="P108" s="72">
        <f t="shared" si="1121"/>
        <v>0</v>
      </c>
      <c r="Q108" s="72">
        <f t="shared" si="1121"/>
        <v>0</v>
      </c>
      <c r="R108" s="72">
        <f t="shared" si="1121"/>
        <v>0</v>
      </c>
      <c r="S108" s="72">
        <f t="shared" si="1121"/>
        <v>0</v>
      </c>
      <c r="T108" s="72">
        <f t="shared" si="1121"/>
        <v>0</v>
      </c>
      <c r="U108" s="72">
        <f t="shared" si="1121"/>
        <v>0</v>
      </c>
      <c r="V108" s="72">
        <f t="shared" si="1121"/>
        <v>0</v>
      </c>
      <c r="W108" s="72">
        <f t="shared" si="1121"/>
        <v>0</v>
      </c>
      <c r="X108" s="72">
        <f t="shared" si="1121"/>
        <v>0</v>
      </c>
      <c r="Y108" s="72">
        <f t="shared" si="1121"/>
        <v>0</v>
      </c>
      <c r="Z108" s="72">
        <f t="shared" si="1121"/>
        <v>0</v>
      </c>
      <c r="AA108" s="72">
        <f t="shared" si="1121"/>
        <v>0</v>
      </c>
      <c r="AB108" s="72">
        <f t="shared" si="1121"/>
        <v>0</v>
      </c>
      <c r="AC108" s="72">
        <f t="shared" si="1121"/>
        <v>0</v>
      </c>
      <c r="AD108" s="72">
        <f t="shared" si="1121"/>
        <v>0</v>
      </c>
      <c r="AE108" s="72">
        <f t="shared" si="1121"/>
        <v>0</v>
      </c>
      <c r="AF108" s="72">
        <f t="shared" si="1121"/>
        <v>0</v>
      </c>
      <c r="AG108" s="72">
        <f t="shared" si="1121"/>
        <v>0</v>
      </c>
      <c r="AH108" s="72">
        <f t="shared" si="1121"/>
        <v>0</v>
      </c>
      <c r="AI108" s="72">
        <f t="shared" si="1121"/>
        <v>0</v>
      </c>
      <c r="AJ108" s="72">
        <f t="shared" si="1121"/>
        <v>0</v>
      </c>
      <c r="AK108" s="72">
        <f t="shared" si="1121"/>
        <v>0</v>
      </c>
      <c r="AL108" s="72">
        <f t="shared" si="1121"/>
        <v>0</v>
      </c>
      <c r="AM108" s="72">
        <f t="shared" si="1121"/>
        <v>0</v>
      </c>
      <c r="AN108" s="72">
        <f t="shared" si="1121"/>
        <v>0</v>
      </c>
      <c r="AO108" s="72">
        <f t="shared" si="1121"/>
        <v>0</v>
      </c>
      <c r="AP108" s="72">
        <f t="shared" si="1121"/>
        <v>0</v>
      </c>
      <c r="AQ108" s="72">
        <f t="shared" si="1121"/>
        <v>0</v>
      </c>
      <c r="AR108" s="72">
        <f t="shared" si="1121"/>
        <v>0</v>
      </c>
      <c r="AS108" s="72">
        <f t="shared" si="1121"/>
        <v>0</v>
      </c>
      <c r="AT108" s="72">
        <f t="shared" si="1121"/>
        <v>0</v>
      </c>
      <c r="AU108" s="72">
        <f t="shared" si="1121"/>
        <v>0</v>
      </c>
      <c r="AV108" s="72">
        <f t="shared" si="1121"/>
        <v>0</v>
      </c>
      <c r="AW108" s="72">
        <f t="shared" si="1121"/>
        <v>0</v>
      </c>
      <c r="AX108" s="72">
        <f t="shared" si="1121"/>
        <v>0</v>
      </c>
      <c r="AY108" s="72">
        <f t="shared" si="1121"/>
        <v>0</v>
      </c>
      <c r="AZ108" s="72">
        <f t="shared" si="1121"/>
        <v>0</v>
      </c>
      <c r="BA108" s="72">
        <f t="shared" si="1121"/>
        <v>0</v>
      </c>
      <c r="BB108" s="72">
        <f t="shared" si="1121"/>
        <v>703657.46034203551</v>
      </c>
      <c r="BC108" s="72">
        <f t="shared" si="1121"/>
        <v>704963.40463470365</v>
      </c>
      <c r="BD108" s="72">
        <f t="shared" si="1121"/>
        <v>706271.77267840365</v>
      </c>
      <c r="BE108" s="72">
        <f t="shared" si="1121"/>
        <v>707582.56897146592</v>
      </c>
      <c r="BF108" s="72">
        <f t="shared" si="1121"/>
        <v>708895.79802056961</v>
      </c>
      <c r="BG108" s="72">
        <f t="shared" si="1121"/>
        <v>710211.46434075804</v>
      </c>
      <c r="BH108" s="72">
        <f t="shared" si="1121"/>
        <v>711529.57245545427</v>
      </c>
      <c r="BI108" s="72">
        <f t="shared" si="1121"/>
        <v>712850.12689647614</v>
      </c>
      <c r="BJ108" s="72">
        <f t="shared" si="1121"/>
        <v>714173.13220405253</v>
      </c>
      <c r="BK108" s="72">
        <f t="shared" si="1121"/>
        <v>715498.59292683855</v>
      </c>
      <c r="BL108" s="72">
        <f t="shared" si="1121"/>
        <v>716826.51362193178</v>
      </c>
      <c r="BM108" s="72">
        <f t="shared" si="1121"/>
        <v>718156.89885488688</v>
      </c>
      <c r="BN108" s="72">
        <f t="shared" si="1121"/>
        <v>719636.18448258599</v>
      </c>
      <c r="BO108" s="72">
        <f t="shared" si="1121"/>
        <v>721118.51719647448</v>
      </c>
      <c r="BP108" s="72">
        <f t="shared" si="1121"/>
        <v>722603.90327305091</v>
      </c>
      <c r="BQ108" s="72">
        <f t="shared" si="1121"/>
        <v>724092.34900174267</v>
      </c>
      <c r="BR108" s="72">
        <f t="shared" ref="BR108:DI108" si="1122">-IF(BR$35&gt;$E79,BR$157*($E78/Rentable_Sq_M)*IF(AND(BR$35&gt;$E81,BR$35&lt;=$E90),Renewal_Probability,1),0)</f>
        <v>725583.86068493221</v>
      </c>
      <c r="BS108" s="72">
        <f t="shared" si="1122"/>
        <v>727078.44463798346</v>
      </c>
      <c r="BT108" s="72">
        <f t="shared" si="1122"/>
        <v>728576.10718926962</v>
      </c>
      <c r="BU108" s="72">
        <f t="shared" si="1122"/>
        <v>730076.85468019883</v>
      </c>
      <c r="BV108" s="72">
        <f t="shared" si="1122"/>
        <v>731580.69346524193</v>
      </c>
      <c r="BW108" s="72">
        <f t="shared" si="1122"/>
        <v>733087.62991195836</v>
      </c>
      <c r="BX108" s="72">
        <f t="shared" si="1122"/>
        <v>734597.67040102405</v>
      </c>
      <c r="BY108" s="72">
        <f t="shared" si="1122"/>
        <v>736110.82132625813</v>
      </c>
      <c r="BZ108" s="72">
        <f t="shared" si="1122"/>
        <v>737627.08909464953</v>
      </c>
      <c r="CA108" s="72">
        <f t="shared" si="1122"/>
        <v>739146.48012638534</v>
      </c>
      <c r="CB108" s="72">
        <f t="shared" si="1122"/>
        <v>740669.00085487636</v>
      </c>
      <c r="CC108" s="72">
        <f t="shared" si="1122"/>
        <v>742194.6577267854</v>
      </c>
      <c r="CD108" s="72">
        <f t="shared" si="1122"/>
        <v>743723.45720205456</v>
      </c>
      <c r="CE108" s="72">
        <f t="shared" si="1122"/>
        <v>745255.40575393208</v>
      </c>
      <c r="CF108" s="72">
        <f t="shared" si="1122"/>
        <v>746790.50986900053</v>
      </c>
      <c r="CG108" s="72">
        <f t="shared" si="1122"/>
        <v>748328.77604720311</v>
      </c>
      <c r="CH108" s="72">
        <f t="shared" si="1122"/>
        <v>749870.21080187219</v>
      </c>
      <c r="CI108" s="72">
        <f t="shared" si="1122"/>
        <v>751414.82065975643</v>
      </c>
      <c r="CJ108" s="72">
        <f t="shared" si="1122"/>
        <v>752962.6121610488</v>
      </c>
      <c r="CK108" s="72">
        <f t="shared" si="1122"/>
        <v>754513.59185941378</v>
      </c>
      <c r="CL108" s="72">
        <f t="shared" si="1122"/>
        <v>756067.76632201497</v>
      </c>
      <c r="CM108" s="72">
        <f t="shared" si="1122"/>
        <v>757625.14212954405</v>
      </c>
      <c r="CN108" s="72">
        <f t="shared" si="1122"/>
        <v>759185.72587624716</v>
      </c>
      <c r="CO108" s="72">
        <f t="shared" si="1122"/>
        <v>760749.52416995401</v>
      </c>
      <c r="CP108" s="72">
        <f t="shared" si="1122"/>
        <v>762316.54363210488</v>
      </c>
      <c r="CQ108" s="72">
        <f t="shared" si="1122"/>
        <v>763886.79089777952</v>
      </c>
      <c r="CR108" s="72">
        <f t="shared" si="1122"/>
        <v>765460.27261572459</v>
      </c>
      <c r="CS108" s="72">
        <f t="shared" si="1122"/>
        <v>767036.99544838222</v>
      </c>
      <c r="CT108" s="72">
        <f t="shared" si="1122"/>
        <v>768616.96607191802</v>
      </c>
      <c r="CU108" s="72">
        <f t="shared" si="1122"/>
        <v>770200.19117624953</v>
      </c>
      <c r="CV108" s="72">
        <f t="shared" si="1122"/>
        <v>771786.67746507411</v>
      </c>
      <c r="CW108" s="72">
        <f t="shared" si="1122"/>
        <v>773376.43165589799</v>
      </c>
      <c r="CX108" s="72">
        <f t="shared" si="1122"/>
        <v>387484.73024003219</v>
      </c>
      <c r="CY108" s="72">
        <f t="shared" si="1122"/>
        <v>388282.88534139085</v>
      </c>
      <c r="CZ108" s="72">
        <f t="shared" si="1122"/>
        <v>389082.68451157626</v>
      </c>
      <c r="DA108" s="72">
        <f t="shared" si="1122"/>
        <v>389884.13113710098</v>
      </c>
      <c r="DB108" s="72">
        <f t="shared" si="1122"/>
        <v>390687.2286114532</v>
      </c>
      <c r="DC108" s="72">
        <f t="shared" si="1122"/>
        <v>391491.9803351115</v>
      </c>
      <c r="DD108" s="72">
        <f t="shared" si="1122"/>
        <v>392298.38971555833</v>
      </c>
      <c r="DE108" s="72">
        <f t="shared" si="1122"/>
        <v>393106.4601672953</v>
      </c>
      <c r="DF108" s="72">
        <f t="shared" si="1122"/>
        <v>393916.19511185732</v>
      </c>
      <c r="DG108" s="72">
        <f t="shared" si="1122"/>
        <v>789455.19595565449</v>
      </c>
      <c r="DH108" s="72">
        <f t="shared" si="1122"/>
        <v>791081.34440169972</v>
      </c>
      <c r="DI108" s="72">
        <f t="shared" si="1122"/>
        <v>792710.84244729427</v>
      </c>
    </row>
    <row r="109" spans="2:113" customFormat="1" outlineLevel="1" x14ac:dyDescent="0.25">
      <c r="B109" s="1"/>
      <c r="C109" s="1"/>
      <c r="D109" s="1"/>
      <c r="E109" s="1"/>
      <c r="F109" s="1"/>
      <c r="G109" s="1"/>
      <c r="H109" s="118"/>
      <c r="I109" s="1"/>
      <c r="J109" s="1"/>
      <c r="L109" s="118"/>
    </row>
    <row r="110" spans="2:113" customFormat="1" outlineLevel="1" x14ac:dyDescent="0.25">
      <c r="B110" s="1"/>
      <c r="C110" s="56" t="s">
        <v>133</v>
      </c>
      <c r="D110" s="57"/>
      <c r="E110" s="58"/>
      <c r="F110" s="58"/>
      <c r="G110" s="58"/>
      <c r="H110" s="58"/>
      <c r="I110" s="58"/>
      <c r="J110" s="58"/>
      <c r="K110" s="58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  <c r="BK110" s="59"/>
      <c r="BL110" s="59"/>
      <c r="BM110" s="59"/>
      <c r="BN110" s="59"/>
      <c r="BO110" s="59"/>
      <c r="BP110" s="59"/>
      <c r="BQ110" s="59"/>
      <c r="BR110" s="59"/>
      <c r="BS110" s="59"/>
      <c r="BT110" s="59"/>
      <c r="BU110" s="59"/>
      <c r="BV110" s="59"/>
      <c r="BW110" s="59"/>
      <c r="BX110" s="59"/>
      <c r="BY110" s="59"/>
      <c r="BZ110" s="59"/>
      <c r="CA110" s="59"/>
      <c r="CB110" s="59"/>
      <c r="CC110" s="59"/>
      <c r="CD110" s="59"/>
      <c r="CE110" s="59"/>
      <c r="CF110" s="59"/>
      <c r="CG110" s="59"/>
      <c r="CH110" s="59"/>
      <c r="CI110" s="59"/>
      <c r="CJ110" s="59"/>
      <c r="CK110" s="59"/>
      <c r="CL110" s="59"/>
      <c r="CM110" s="59"/>
      <c r="CN110" s="59"/>
      <c r="CO110" s="59"/>
      <c r="CP110" s="59"/>
      <c r="CQ110" s="59"/>
      <c r="CR110" s="59"/>
      <c r="CS110" s="59"/>
      <c r="CT110" s="59"/>
      <c r="CU110" s="59"/>
      <c r="CV110" s="59"/>
      <c r="CW110" s="59"/>
      <c r="CX110" s="59"/>
      <c r="CY110" s="59"/>
      <c r="CZ110" s="59"/>
      <c r="DA110" s="59"/>
      <c r="DB110" s="59"/>
      <c r="DC110" s="59"/>
      <c r="DD110" s="59"/>
      <c r="DE110" s="59"/>
      <c r="DF110" s="59"/>
      <c r="DG110" s="59"/>
      <c r="DH110" s="59"/>
      <c r="DI110" s="59"/>
    </row>
    <row r="111" spans="2:113" customFormat="1" outlineLevel="1" x14ac:dyDescent="0.25">
      <c r="B111" s="1"/>
      <c r="C111" s="93" t="s">
        <v>243</v>
      </c>
      <c r="D111" s="63" t="s">
        <v>39</v>
      </c>
      <c r="E111" s="14">
        <v>0.25</v>
      </c>
      <c r="F111" s="70"/>
      <c r="G111" s="70"/>
      <c r="H111" s="70"/>
      <c r="I111" s="70"/>
      <c r="J111" s="70"/>
      <c r="K111" s="70"/>
      <c r="L111" s="71"/>
      <c r="M111" s="71"/>
      <c r="N111" s="71"/>
    </row>
    <row r="112" spans="2:113" customFormat="1" outlineLevel="1" x14ac:dyDescent="0.25">
      <c r="B112" s="1"/>
      <c r="C112" s="60" t="s">
        <v>244</v>
      </c>
      <c r="D112" s="65" t="s">
        <v>47</v>
      </c>
      <c r="E112" s="123">
        <f>+E111*Rentable_Sq_M</f>
        <v>20925</v>
      </c>
      <c r="F112" s="1"/>
      <c r="G112" s="1"/>
      <c r="H112" s="1"/>
      <c r="I112" s="1"/>
      <c r="J112" s="1"/>
    </row>
    <row r="113" spans="2:113" customFormat="1" outlineLevel="1" x14ac:dyDescent="0.25">
      <c r="B113" s="1"/>
      <c r="C113" s="60" t="s">
        <v>66</v>
      </c>
      <c r="D113" s="46" t="s">
        <v>34</v>
      </c>
      <c r="E113" s="17">
        <v>43890</v>
      </c>
      <c r="F113" s="1"/>
      <c r="G113" s="1"/>
      <c r="H113" s="1"/>
      <c r="I113" s="1"/>
      <c r="J113" s="1"/>
    </row>
    <row r="114" spans="2:113" customFormat="1" outlineLevel="1" x14ac:dyDescent="0.25">
      <c r="B114" s="1"/>
      <c r="C114" s="60" t="s">
        <v>124</v>
      </c>
      <c r="D114" s="46" t="s">
        <v>42</v>
      </c>
      <c r="E114" s="61">
        <v>6</v>
      </c>
      <c r="F114" s="1"/>
      <c r="G114" s="1"/>
      <c r="H114" s="1"/>
      <c r="I114" s="1"/>
      <c r="J114" s="1"/>
    </row>
    <row r="115" spans="2:113" customFormat="1" outlineLevel="1" x14ac:dyDescent="0.25">
      <c r="B115" s="1"/>
      <c r="C115" s="60" t="s">
        <v>48</v>
      </c>
      <c r="D115" s="46" t="s">
        <v>34</v>
      </c>
      <c r="E115" s="135">
        <f>EOMONTH(E113,E114*Months)</f>
        <v>46081</v>
      </c>
      <c r="F115" s="1"/>
      <c r="G115" s="1"/>
      <c r="H115" s="1"/>
      <c r="I115" s="1"/>
      <c r="J115" s="1"/>
    </row>
    <row r="116" spans="2:113" customFormat="1" outlineLevel="1" x14ac:dyDescent="0.25">
      <c r="B116" s="1"/>
      <c r="C116" s="93" t="s">
        <v>251</v>
      </c>
      <c r="D116" s="48" t="s">
        <v>39</v>
      </c>
      <c r="E116" s="140">
        <f>INDEX(Annual!$F$69:$N$90,22,INDEX($F$5:$DI$9,5,MATCH(E113,$F$5:$DI$5,0)))</f>
        <v>2.2499999999999999E-2</v>
      </c>
      <c r="F116" s="140">
        <f>IF(AND(E$35&gt;$E113,F$35&lt;$E115,MONTH(E$35)=MONTH($E113)),$E116,0)</f>
        <v>0</v>
      </c>
      <c r="G116" s="140">
        <f t="shared" ref="G116" si="1123">IF(AND(F$35&gt;$E113,G$35&lt;$E115,MONTH(F$35)=MONTH($E113)),$E116,0)</f>
        <v>0</v>
      </c>
      <c r="H116" s="140">
        <f t="shared" ref="H116" si="1124">IF(AND(G$35&gt;$E113,H$35&lt;$E115,MONTH(G$35)=MONTH($E113)),$E116,0)</f>
        <v>0</v>
      </c>
      <c r="I116" s="140">
        <f t="shared" ref="I116" si="1125">IF(AND(H$35&gt;$E113,I$35&lt;$E115,MONTH(H$35)=MONTH($E113)),$E116,0)</f>
        <v>0</v>
      </c>
      <c r="J116" s="140">
        <f t="shared" ref="J116" si="1126">IF(AND(I$35&gt;$E113,J$35&lt;$E115,MONTH(I$35)=MONTH($E113)),$E116,0)</f>
        <v>0</v>
      </c>
      <c r="K116" s="140">
        <f t="shared" ref="K116" si="1127">IF(AND(J$35&gt;$E113,K$35&lt;$E115,MONTH(J$35)=MONTH($E113)),$E116,0)</f>
        <v>0</v>
      </c>
      <c r="L116" s="140">
        <f t="shared" ref="L116" si="1128">IF(AND(K$35&gt;$E113,L$35&lt;$E115,MONTH(K$35)=MONTH($E113)),$E116,0)</f>
        <v>0</v>
      </c>
      <c r="M116" s="140">
        <f t="shared" ref="M116" si="1129">IF(AND(L$35&gt;$E113,M$35&lt;$E115,MONTH(L$35)=MONTH($E113)),$E116,0)</f>
        <v>0</v>
      </c>
      <c r="N116" s="140">
        <f t="shared" ref="N116" si="1130">IF(AND(M$35&gt;$E113,N$35&lt;$E115,MONTH(M$35)=MONTH($E113)),$E116,0)</f>
        <v>0</v>
      </c>
      <c r="O116" s="140">
        <f t="shared" ref="O116" si="1131">IF(AND(N$35&gt;$E113,O$35&lt;$E115,MONTH(N$35)=MONTH($E113)),$E116,0)</f>
        <v>0</v>
      </c>
      <c r="P116" s="140">
        <f t="shared" ref="P116" si="1132">IF(AND(O$35&gt;$E113,P$35&lt;$E115,MONTH(O$35)=MONTH($E113)),$E116,0)</f>
        <v>0</v>
      </c>
      <c r="Q116" s="140">
        <f t="shared" ref="Q116" si="1133">IF(AND(P$35&gt;$E113,Q$35&lt;$E115,MONTH(P$35)=MONTH($E113)),$E116,0)</f>
        <v>0</v>
      </c>
      <c r="R116" s="140">
        <f t="shared" ref="R116" si="1134">IF(AND(Q$35&gt;$E113,R$35&lt;$E115,MONTH(Q$35)=MONTH($E113)),$E116,0)</f>
        <v>0</v>
      </c>
      <c r="S116" s="140">
        <f t="shared" ref="S116" si="1135">IF(AND(R$35&gt;$E113,S$35&lt;$E115,MONTH(R$35)=MONTH($E113)),$E116,0)</f>
        <v>0</v>
      </c>
      <c r="T116" s="140">
        <f t="shared" ref="T116" si="1136">IF(AND(S$35&gt;$E113,T$35&lt;$E115,MONTH(S$35)=MONTH($E113)),$E116,0)</f>
        <v>0</v>
      </c>
      <c r="U116" s="140">
        <f t="shared" ref="U116" si="1137">IF(AND(T$35&gt;$E113,U$35&lt;$E115,MONTH(T$35)=MONTH($E113)),$E116,0)</f>
        <v>0</v>
      </c>
      <c r="V116" s="140">
        <f t="shared" ref="V116" si="1138">IF(AND(U$35&gt;$E113,V$35&lt;$E115,MONTH(U$35)=MONTH($E113)),$E116,0)</f>
        <v>0</v>
      </c>
      <c r="W116" s="140">
        <f t="shared" ref="W116" si="1139">IF(AND(V$35&gt;$E113,W$35&lt;$E115,MONTH(V$35)=MONTH($E113)),$E116,0)</f>
        <v>0</v>
      </c>
      <c r="X116" s="140">
        <f t="shared" ref="X116" si="1140">IF(AND(W$35&gt;$E113,X$35&lt;$E115,MONTH(W$35)=MONTH($E113)),$E116,0)</f>
        <v>0</v>
      </c>
      <c r="Y116" s="140">
        <f t="shared" ref="Y116" si="1141">IF(AND(X$35&gt;$E113,Y$35&lt;$E115,MONTH(X$35)=MONTH($E113)),$E116,0)</f>
        <v>0</v>
      </c>
      <c r="Z116" s="140">
        <f t="shared" ref="Z116" si="1142">IF(AND(Y$35&gt;$E113,Z$35&lt;$E115,MONTH(Y$35)=MONTH($E113)),$E116,0)</f>
        <v>0</v>
      </c>
      <c r="AA116" s="140">
        <f t="shared" ref="AA116" si="1143">IF(AND(Z$35&gt;$E113,AA$35&lt;$E115,MONTH(Z$35)=MONTH($E113)),$E116,0)</f>
        <v>0</v>
      </c>
      <c r="AB116" s="140">
        <f t="shared" ref="AB116" si="1144">IF(AND(AA$35&gt;$E113,AB$35&lt;$E115,MONTH(AA$35)=MONTH($E113)),$E116,0)</f>
        <v>0</v>
      </c>
      <c r="AC116" s="140">
        <f t="shared" ref="AC116" si="1145">IF(AND(AB$35&gt;$E113,AC$35&lt;$E115,MONTH(AB$35)=MONTH($E113)),$E116,0)</f>
        <v>0</v>
      </c>
      <c r="AD116" s="140">
        <f t="shared" ref="AD116" si="1146">IF(AND(AC$35&gt;$E113,AD$35&lt;$E115,MONTH(AC$35)=MONTH($E113)),$E116,0)</f>
        <v>0</v>
      </c>
      <c r="AE116" s="140">
        <f t="shared" ref="AE116" si="1147">IF(AND(AD$35&gt;$E113,AE$35&lt;$E115,MONTH(AD$35)=MONTH($E113)),$E116,0)</f>
        <v>0</v>
      </c>
      <c r="AF116" s="140">
        <f t="shared" ref="AF116" si="1148">IF(AND(AE$35&gt;$E113,AF$35&lt;$E115,MONTH(AE$35)=MONTH($E113)),$E116,0)</f>
        <v>0</v>
      </c>
      <c r="AG116" s="140">
        <f t="shared" ref="AG116" si="1149">IF(AND(AF$35&gt;$E113,AG$35&lt;$E115,MONTH(AF$35)=MONTH($E113)),$E116,0)</f>
        <v>0</v>
      </c>
      <c r="AH116" s="140">
        <f t="shared" ref="AH116" si="1150">IF(AND(AG$35&gt;$E113,AH$35&lt;$E115,MONTH(AG$35)=MONTH($E113)),$E116,0)</f>
        <v>0</v>
      </c>
      <c r="AI116" s="140">
        <f t="shared" ref="AI116" si="1151">IF(AND(AH$35&gt;$E113,AI$35&lt;$E115,MONTH(AH$35)=MONTH($E113)),$E116,0)</f>
        <v>0</v>
      </c>
      <c r="AJ116" s="140">
        <f t="shared" ref="AJ116" si="1152">IF(AND(AI$35&gt;$E113,AJ$35&lt;$E115,MONTH(AI$35)=MONTH($E113)),$E116,0)</f>
        <v>0</v>
      </c>
      <c r="AK116" s="140">
        <f t="shared" ref="AK116" si="1153">IF(AND(AJ$35&gt;$E113,AK$35&lt;$E115,MONTH(AJ$35)=MONTH($E113)),$E116,0)</f>
        <v>0</v>
      </c>
      <c r="AL116" s="140">
        <f t="shared" ref="AL116" si="1154">IF(AND(AK$35&gt;$E113,AL$35&lt;$E115,MONTH(AK$35)=MONTH($E113)),$E116,0)</f>
        <v>0</v>
      </c>
      <c r="AM116" s="140">
        <f t="shared" ref="AM116" si="1155">IF(AND(AL$35&gt;$E113,AM$35&lt;$E115,MONTH(AL$35)=MONTH($E113)),$E116,0)</f>
        <v>0</v>
      </c>
      <c r="AN116" s="140">
        <f t="shared" ref="AN116" si="1156">IF(AND(AM$35&gt;$E113,AN$35&lt;$E115,MONTH(AM$35)=MONTH($E113)),$E116,0)</f>
        <v>0</v>
      </c>
      <c r="AO116" s="140">
        <f t="shared" ref="AO116" si="1157">IF(AND(AN$35&gt;$E113,AO$35&lt;$E115,MONTH(AN$35)=MONTH($E113)),$E116,0)</f>
        <v>0</v>
      </c>
      <c r="AP116" s="140">
        <f t="shared" ref="AP116" si="1158">IF(AND(AO$35&gt;$E113,AP$35&lt;$E115,MONTH(AO$35)=MONTH($E113)),$E116,0)</f>
        <v>0</v>
      </c>
      <c r="AQ116" s="140">
        <f t="shared" ref="AQ116" si="1159">IF(AND(AP$35&gt;$E113,AQ$35&lt;$E115,MONTH(AP$35)=MONTH($E113)),$E116,0)</f>
        <v>0</v>
      </c>
      <c r="AR116" s="140">
        <f t="shared" ref="AR116" si="1160">IF(AND(AQ$35&gt;$E113,AR$35&lt;$E115,MONTH(AQ$35)=MONTH($E113)),$E116,0)</f>
        <v>0</v>
      </c>
      <c r="AS116" s="140">
        <f t="shared" ref="AS116" si="1161">IF(AND(AR$35&gt;$E113,AS$35&lt;$E115,MONTH(AR$35)=MONTH($E113)),$E116,0)</f>
        <v>0</v>
      </c>
      <c r="AT116" s="140">
        <f t="shared" ref="AT116" si="1162">IF(AND(AS$35&gt;$E113,AT$35&lt;$E115,MONTH(AS$35)=MONTH($E113)),$E116,0)</f>
        <v>0</v>
      </c>
      <c r="AU116" s="140">
        <f t="shared" ref="AU116" si="1163">IF(AND(AT$35&gt;$E113,AU$35&lt;$E115,MONTH(AT$35)=MONTH($E113)),$E116,0)</f>
        <v>0</v>
      </c>
      <c r="AV116" s="140">
        <f t="shared" ref="AV116" si="1164">IF(AND(AU$35&gt;$E113,AV$35&lt;$E115,MONTH(AU$35)=MONTH($E113)),$E116,0)</f>
        <v>0</v>
      </c>
      <c r="AW116" s="140">
        <f t="shared" ref="AW116" si="1165">IF(AND(AV$35&gt;$E113,AW$35&lt;$E115,MONTH(AV$35)=MONTH($E113)),$E116,0)</f>
        <v>0</v>
      </c>
      <c r="AX116" s="140">
        <f t="shared" ref="AX116" si="1166">IF(AND(AW$35&gt;$E113,AX$35&lt;$E115,MONTH(AW$35)=MONTH($E113)),$E116,0)</f>
        <v>0</v>
      </c>
      <c r="AY116" s="140">
        <f t="shared" ref="AY116" si="1167">IF(AND(AX$35&gt;$E113,AY$35&lt;$E115,MONTH(AX$35)=MONTH($E113)),$E116,0)</f>
        <v>0</v>
      </c>
      <c r="AZ116" s="140">
        <f t="shared" ref="AZ116" si="1168">IF(AND(AY$35&gt;$E113,AZ$35&lt;$E115,MONTH(AY$35)=MONTH($E113)),$E116,0)</f>
        <v>0</v>
      </c>
      <c r="BA116" s="140">
        <f t="shared" ref="BA116" si="1169">IF(AND(AZ$35&gt;$E113,BA$35&lt;$E115,MONTH(AZ$35)=MONTH($E113)),$E116,0)</f>
        <v>0</v>
      </c>
      <c r="BB116" s="140">
        <f t="shared" ref="BB116" si="1170">IF(AND(BA$35&gt;$E113,BB$35&lt;$E115,MONTH(BA$35)=MONTH($E113)),$E116,0)</f>
        <v>0</v>
      </c>
      <c r="BC116" s="140">
        <f t="shared" ref="BC116" si="1171">IF(AND(BB$35&gt;$E113,BC$35&lt;$E115,MONTH(BB$35)=MONTH($E113)),$E116,0)</f>
        <v>0</v>
      </c>
      <c r="BD116" s="140">
        <f t="shared" ref="BD116" si="1172">IF(AND(BC$35&gt;$E113,BD$35&lt;$E115,MONTH(BC$35)=MONTH($E113)),$E116,0)</f>
        <v>0</v>
      </c>
      <c r="BE116" s="140">
        <f t="shared" ref="BE116" si="1173">IF(AND(BD$35&gt;$E113,BE$35&lt;$E115,MONTH(BD$35)=MONTH($E113)),$E116,0)</f>
        <v>0</v>
      </c>
      <c r="BF116" s="140">
        <f t="shared" ref="BF116" si="1174">IF(AND(BE$35&gt;$E113,BF$35&lt;$E115,MONTH(BE$35)=MONTH($E113)),$E116,0)</f>
        <v>0</v>
      </c>
      <c r="BG116" s="140">
        <f t="shared" ref="BG116" si="1175">IF(AND(BF$35&gt;$E113,BG$35&lt;$E115,MONTH(BF$35)=MONTH($E113)),$E116,0)</f>
        <v>0</v>
      </c>
      <c r="BH116" s="140">
        <f t="shared" ref="BH116" si="1176">IF(AND(BG$35&gt;$E113,BH$35&lt;$E115,MONTH(BG$35)=MONTH($E113)),$E116,0)</f>
        <v>0</v>
      </c>
      <c r="BI116" s="140">
        <f t="shared" ref="BI116" si="1177">IF(AND(BH$35&gt;$E113,BI$35&lt;$E115,MONTH(BH$35)=MONTH($E113)),$E116,0)</f>
        <v>0</v>
      </c>
      <c r="BJ116" s="140">
        <f t="shared" ref="BJ116" si="1178">IF(AND(BI$35&gt;$E113,BJ$35&lt;$E115,MONTH(BI$35)=MONTH($E113)),$E116,0)</f>
        <v>0</v>
      </c>
      <c r="BK116" s="140">
        <f t="shared" ref="BK116" si="1179">IF(AND(BJ$35&gt;$E113,BK$35&lt;$E115,MONTH(BJ$35)=MONTH($E113)),$E116,0)</f>
        <v>0</v>
      </c>
      <c r="BL116" s="140">
        <f t="shared" ref="BL116" si="1180">IF(AND(BK$35&gt;$E113,BL$35&lt;$E115,MONTH(BK$35)=MONTH($E113)),$E116,0)</f>
        <v>0</v>
      </c>
      <c r="BM116" s="140">
        <f t="shared" ref="BM116" si="1181">IF(AND(BL$35&gt;$E113,BM$35&lt;$E115,MONTH(BL$35)=MONTH($E113)),$E116,0)</f>
        <v>0</v>
      </c>
      <c r="BN116" s="140">
        <f t="shared" ref="BN116" si="1182">IF(AND(BM$35&gt;$E113,BN$35&lt;$E115,MONTH(BM$35)=MONTH($E113)),$E116,0)</f>
        <v>0</v>
      </c>
      <c r="BO116" s="140">
        <f t="shared" ref="BO116" si="1183">IF(AND(BN$35&gt;$E113,BO$35&lt;$E115,MONTH(BN$35)=MONTH($E113)),$E116,0)</f>
        <v>0</v>
      </c>
      <c r="BP116" s="140">
        <f t="shared" ref="BP116" si="1184">IF(AND(BO$35&gt;$E113,BP$35&lt;$E115,MONTH(BO$35)=MONTH($E113)),$E116,0)</f>
        <v>0</v>
      </c>
      <c r="BQ116" s="140">
        <f t="shared" ref="BQ116" si="1185">IF(AND(BP$35&gt;$E113,BQ$35&lt;$E115,MONTH(BP$35)=MONTH($E113)),$E116,0)</f>
        <v>0</v>
      </c>
      <c r="BR116" s="140">
        <f t="shared" ref="BR116" si="1186">IF(AND(BQ$35&gt;$E113,BR$35&lt;$E115,MONTH(BQ$35)=MONTH($E113)),$E116,0)</f>
        <v>0</v>
      </c>
      <c r="BS116" s="140">
        <f t="shared" ref="BS116" si="1187">IF(AND(BR$35&gt;$E113,BS$35&lt;$E115,MONTH(BR$35)=MONTH($E113)),$E116,0)</f>
        <v>0</v>
      </c>
      <c r="BT116" s="140">
        <f t="shared" ref="BT116" si="1188">IF(AND(BS$35&gt;$E113,BT$35&lt;$E115,MONTH(BS$35)=MONTH($E113)),$E116,0)</f>
        <v>0</v>
      </c>
      <c r="BU116" s="140">
        <f t="shared" ref="BU116" si="1189">IF(AND(BT$35&gt;$E113,BU$35&lt;$E115,MONTH(BT$35)=MONTH($E113)),$E116,0)</f>
        <v>0</v>
      </c>
      <c r="BV116" s="140">
        <f t="shared" ref="BV116" si="1190">IF(AND(BU$35&gt;$E113,BV$35&lt;$E115,MONTH(BU$35)=MONTH($E113)),$E116,0)</f>
        <v>0</v>
      </c>
      <c r="BW116" s="140">
        <f t="shared" ref="BW116" si="1191">IF(AND(BV$35&gt;$E113,BW$35&lt;$E115,MONTH(BV$35)=MONTH($E113)),$E116,0)</f>
        <v>0</v>
      </c>
      <c r="BX116" s="140">
        <f t="shared" ref="BX116" si="1192">IF(AND(BW$35&gt;$E113,BX$35&lt;$E115,MONTH(BW$35)=MONTH($E113)),$E116,0)</f>
        <v>2.2499999999999999E-2</v>
      </c>
      <c r="BY116" s="140">
        <f t="shared" ref="BY116" si="1193">IF(AND(BX$35&gt;$E113,BY$35&lt;$E115,MONTH(BX$35)=MONTH($E113)),$E116,0)</f>
        <v>0</v>
      </c>
      <c r="BZ116" s="140">
        <f t="shared" ref="BZ116" si="1194">IF(AND(BY$35&gt;$E113,BZ$35&lt;$E115,MONTH(BY$35)=MONTH($E113)),$E116,0)</f>
        <v>0</v>
      </c>
      <c r="CA116" s="140">
        <f t="shared" ref="CA116" si="1195">IF(AND(BZ$35&gt;$E113,CA$35&lt;$E115,MONTH(BZ$35)=MONTH($E113)),$E116,0)</f>
        <v>0</v>
      </c>
      <c r="CB116" s="140">
        <f t="shared" ref="CB116" si="1196">IF(AND(CA$35&gt;$E113,CB$35&lt;$E115,MONTH(CA$35)=MONTH($E113)),$E116,0)</f>
        <v>0</v>
      </c>
      <c r="CC116" s="140">
        <f t="shared" ref="CC116" si="1197">IF(AND(CB$35&gt;$E113,CC$35&lt;$E115,MONTH(CB$35)=MONTH($E113)),$E116,0)</f>
        <v>0</v>
      </c>
      <c r="CD116" s="140">
        <f t="shared" ref="CD116" si="1198">IF(AND(CC$35&gt;$E113,CD$35&lt;$E115,MONTH(CC$35)=MONTH($E113)),$E116,0)</f>
        <v>0</v>
      </c>
      <c r="CE116" s="140">
        <f t="shared" ref="CE116" si="1199">IF(AND(CD$35&gt;$E113,CE$35&lt;$E115,MONTH(CD$35)=MONTH($E113)),$E116,0)</f>
        <v>0</v>
      </c>
      <c r="CF116" s="140">
        <f t="shared" ref="CF116" si="1200">IF(AND(CE$35&gt;$E113,CF$35&lt;$E115,MONTH(CE$35)=MONTH($E113)),$E116,0)</f>
        <v>0</v>
      </c>
      <c r="CG116" s="140">
        <f t="shared" ref="CG116" si="1201">IF(AND(CF$35&gt;$E113,CG$35&lt;$E115,MONTH(CF$35)=MONTH($E113)),$E116,0)</f>
        <v>0</v>
      </c>
      <c r="CH116" s="140">
        <f t="shared" ref="CH116" si="1202">IF(AND(CG$35&gt;$E113,CH$35&lt;$E115,MONTH(CG$35)=MONTH($E113)),$E116,0)</f>
        <v>0</v>
      </c>
      <c r="CI116" s="140">
        <f t="shared" ref="CI116" si="1203">IF(AND(CH$35&gt;$E113,CI$35&lt;$E115,MONTH(CH$35)=MONTH($E113)),$E116,0)</f>
        <v>0</v>
      </c>
      <c r="CJ116" s="140">
        <f t="shared" ref="CJ116" si="1204">IF(AND(CI$35&gt;$E113,CJ$35&lt;$E115,MONTH(CI$35)=MONTH($E113)),$E116,0)</f>
        <v>2.2499999999999999E-2</v>
      </c>
      <c r="CK116" s="140">
        <f t="shared" ref="CK116" si="1205">IF(AND(CJ$35&gt;$E113,CK$35&lt;$E115,MONTH(CJ$35)=MONTH($E113)),$E116,0)</f>
        <v>0</v>
      </c>
      <c r="CL116" s="140">
        <f t="shared" ref="CL116" si="1206">IF(AND(CK$35&gt;$E113,CL$35&lt;$E115,MONTH(CK$35)=MONTH($E113)),$E116,0)</f>
        <v>0</v>
      </c>
      <c r="CM116" s="140">
        <f t="shared" ref="CM116" si="1207">IF(AND(CL$35&gt;$E113,CM$35&lt;$E115,MONTH(CL$35)=MONTH($E113)),$E116,0)</f>
        <v>0</v>
      </c>
      <c r="CN116" s="140">
        <f t="shared" ref="CN116" si="1208">IF(AND(CM$35&gt;$E113,CN$35&lt;$E115,MONTH(CM$35)=MONTH($E113)),$E116,0)</f>
        <v>0</v>
      </c>
      <c r="CO116" s="140">
        <f t="shared" ref="CO116" si="1209">IF(AND(CN$35&gt;$E113,CO$35&lt;$E115,MONTH(CN$35)=MONTH($E113)),$E116,0)</f>
        <v>0</v>
      </c>
      <c r="CP116" s="140">
        <f t="shared" ref="CP116" si="1210">IF(AND(CO$35&gt;$E113,CP$35&lt;$E115,MONTH(CO$35)=MONTH($E113)),$E116,0)</f>
        <v>0</v>
      </c>
      <c r="CQ116" s="140">
        <f t="shared" ref="CQ116" si="1211">IF(AND(CP$35&gt;$E113,CQ$35&lt;$E115,MONTH(CP$35)=MONTH($E113)),$E116,0)</f>
        <v>0</v>
      </c>
      <c r="CR116" s="140">
        <f t="shared" ref="CR116" si="1212">IF(AND(CQ$35&gt;$E113,CR$35&lt;$E115,MONTH(CQ$35)=MONTH($E113)),$E116,0)</f>
        <v>0</v>
      </c>
      <c r="CS116" s="140">
        <f t="shared" ref="CS116" si="1213">IF(AND(CR$35&gt;$E113,CS$35&lt;$E115,MONTH(CR$35)=MONTH($E113)),$E116,0)</f>
        <v>0</v>
      </c>
      <c r="CT116" s="140">
        <f t="shared" ref="CT116" si="1214">IF(AND(CS$35&gt;$E113,CT$35&lt;$E115,MONTH(CS$35)=MONTH($E113)),$E116,0)</f>
        <v>0</v>
      </c>
      <c r="CU116" s="140">
        <f t="shared" ref="CU116" si="1215">IF(AND(CT$35&gt;$E113,CU$35&lt;$E115,MONTH(CT$35)=MONTH($E113)),$E116,0)</f>
        <v>0</v>
      </c>
      <c r="CV116" s="140">
        <f t="shared" ref="CV116" si="1216">IF(AND(CU$35&gt;$E113,CV$35&lt;$E115,MONTH(CU$35)=MONTH($E113)),$E116,0)</f>
        <v>2.2499999999999999E-2</v>
      </c>
      <c r="CW116" s="140">
        <f t="shared" ref="CW116" si="1217">IF(AND(CV$35&gt;$E113,CW$35&lt;$E115,MONTH(CV$35)=MONTH($E113)),$E116,0)</f>
        <v>0</v>
      </c>
      <c r="CX116" s="140">
        <f t="shared" ref="CX116" si="1218">IF(AND(CW$35&gt;$E113,CX$35&lt;$E115,MONTH(CW$35)=MONTH($E113)),$E116,0)</f>
        <v>0</v>
      </c>
      <c r="CY116" s="140">
        <f t="shared" ref="CY116" si="1219">IF(AND(CX$35&gt;$E113,CY$35&lt;$E115,MONTH(CX$35)=MONTH($E113)),$E116,0)</f>
        <v>0</v>
      </c>
      <c r="CZ116" s="140">
        <f t="shared" ref="CZ116" si="1220">IF(AND(CY$35&gt;$E113,CZ$35&lt;$E115,MONTH(CY$35)=MONTH($E113)),$E116,0)</f>
        <v>0</v>
      </c>
      <c r="DA116" s="140">
        <f t="shared" ref="DA116" si="1221">IF(AND(CZ$35&gt;$E113,DA$35&lt;$E115,MONTH(CZ$35)=MONTH($E113)),$E116,0)</f>
        <v>0</v>
      </c>
      <c r="DB116" s="140">
        <f t="shared" ref="DB116" si="1222">IF(AND(DA$35&gt;$E113,DB$35&lt;$E115,MONTH(DA$35)=MONTH($E113)),$E116,0)</f>
        <v>0</v>
      </c>
      <c r="DC116" s="140">
        <f t="shared" ref="DC116" si="1223">IF(AND(DB$35&gt;$E113,DC$35&lt;$E115,MONTH(DB$35)=MONTH($E113)),$E116,0)</f>
        <v>0</v>
      </c>
      <c r="DD116" s="140">
        <f t="shared" ref="DD116" si="1224">IF(AND(DC$35&gt;$E113,DD$35&lt;$E115,MONTH(DC$35)=MONTH($E113)),$E116,0)</f>
        <v>0</v>
      </c>
      <c r="DE116" s="140">
        <f t="shared" ref="DE116" si="1225">IF(AND(DD$35&gt;$E113,DE$35&lt;$E115,MONTH(DD$35)=MONTH($E113)),$E116,0)</f>
        <v>0</v>
      </c>
      <c r="DF116" s="140">
        <f t="shared" ref="DF116" si="1226">IF(AND(DE$35&gt;$E113,DF$35&lt;$E115,MONTH(DE$35)=MONTH($E113)),$E116,0)</f>
        <v>0</v>
      </c>
      <c r="DG116" s="140">
        <f t="shared" ref="DG116" si="1227">IF(AND(DF$35&gt;$E113,DG$35&lt;$E115,MONTH(DF$35)=MONTH($E113)),$E116,0)</f>
        <v>0</v>
      </c>
      <c r="DH116" s="140">
        <f t="shared" ref="DH116" si="1228">IF(AND(DG$35&gt;$E113,DH$35&lt;$E115,MONTH(DG$35)=MONTH($E113)),$E116,0)</f>
        <v>2.2499999999999999E-2</v>
      </c>
      <c r="DI116" s="140">
        <f t="shared" ref="DI116" si="1229">IF(AND(DH$35&gt;$E113,DI$35&lt;$E115,MONTH(DH$35)=MONTH($E113)),$E116,0)</f>
        <v>0</v>
      </c>
    </row>
    <row r="117" spans="2:113" customFormat="1" outlineLevel="1" x14ac:dyDescent="0.25">
      <c r="B117" s="1"/>
      <c r="C117" s="93" t="s">
        <v>269</v>
      </c>
      <c r="D117" s="46" t="s">
        <v>44</v>
      </c>
      <c r="E117" s="61">
        <v>15</v>
      </c>
      <c r="F117" s="1"/>
      <c r="G117" s="1"/>
      <c r="H117" s="1"/>
      <c r="I117" s="1"/>
      <c r="J117" s="1"/>
      <c r="AP117" s="72"/>
      <c r="CL117" s="72"/>
      <c r="CM117" s="72"/>
      <c r="CN117" s="72"/>
      <c r="CO117" s="72"/>
      <c r="CP117" s="72"/>
      <c r="CR117" s="72"/>
    </row>
    <row r="118" spans="2:113" customFormat="1" outlineLevel="1" x14ac:dyDescent="0.25">
      <c r="B118" s="1"/>
      <c r="C118" s="54"/>
      <c r="D118" s="66"/>
      <c r="E118" s="1"/>
      <c r="F118" s="1"/>
      <c r="G118" s="1"/>
      <c r="H118" s="1"/>
      <c r="I118" s="1"/>
      <c r="J118" s="1"/>
      <c r="AP118" s="72"/>
      <c r="CL118" s="72"/>
      <c r="CM118" s="72"/>
      <c r="CN118" s="72"/>
      <c r="CO118" s="72"/>
      <c r="CP118" s="72"/>
      <c r="CR118" s="72"/>
    </row>
    <row r="119" spans="2:113" customFormat="1" outlineLevel="1" x14ac:dyDescent="0.25">
      <c r="B119" s="1"/>
      <c r="C119" s="93" t="s">
        <v>256</v>
      </c>
      <c r="D119" s="46" t="s">
        <v>34</v>
      </c>
      <c r="E119" s="225">
        <f>E115</f>
        <v>46081</v>
      </c>
      <c r="F119" s="1"/>
      <c r="G119" s="1"/>
      <c r="H119" s="1"/>
      <c r="I119" s="1"/>
      <c r="J119" s="1"/>
      <c r="AP119" s="72"/>
      <c r="CL119" s="72"/>
      <c r="CM119" s="72"/>
      <c r="CN119" s="72"/>
      <c r="CO119" s="72"/>
      <c r="CP119" s="72"/>
      <c r="CR119" s="72"/>
    </row>
    <row r="120" spans="2:113" customFormat="1" outlineLevel="1" x14ac:dyDescent="0.25">
      <c r="B120" s="1"/>
      <c r="C120" s="93" t="s">
        <v>258</v>
      </c>
      <c r="D120" s="46" t="s">
        <v>42</v>
      </c>
      <c r="E120" s="226">
        <f>New_Lease_Years</f>
        <v>5</v>
      </c>
      <c r="F120" s="1"/>
      <c r="G120" s="1"/>
      <c r="H120" s="1"/>
      <c r="I120" s="1"/>
      <c r="J120" s="1"/>
      <c r="AP120" s="72"/>
      <c r="CL120" s="72"/>
      <c r="CM120" s="72"/>
      <c r="CN120" s="72"/>
      <c r="CO120" s="72"/>
      <c r="CP120" s="72"/>
      <c r="CR120" s="72"/>
    </row>
    <row r="121" spans="2:113" customFormat="1" outlineLevel="1" x14ac:dyDescent="0.25">
      <c r="B121" s="1"/>
      <c r="C121" s="60" t="s">
        <v>259</v>
      </c>
      <c r="D121" s="46" t="s">
        <v>34</v>
      </c>
      <c r="E121" s="225">
        <f>EOMONTH(E119,E120*Months)</f>
        <v>47907</v>
      </c>
      <c r="F121" s="1"/>
      <c r="G121" s="1"/>
      <c r="H121" s="1"/>
      <c r="I121" s="1"/>
      <c r="J121" s="1"/>
      <c r="AP121" s="72"/>
      <c r="CL121" s="72"/>
      <c r="CM121" s="72"/>
      <c r="CN121" s="72"/>
      <c r="CO121" s="72"/>
      <c r="CP121" s="72"/>
      <c r="CR121" s="72"/>
    </row>
    <row r="122" spans="2:113" customFormat="1" outlineLevel="1" x14ac:dyDescent="0.25">
      <c r="B122" s="1"/>
      <c r="C122" s="93" t="s">
        <v>257</v>
      </c>
      <c r="D122" s="48" t="s">
        <v>39</v>
      </c>
      <c r="E122" s="140" t="e">
        <f>INDEX(Annual!$F$69:$N$90,22,INDEX($F$5:$DI$9,5,MATCH(E119,$F$5:$DI$5,0)))</f>
        <v>#N/A</v>
      </c>
      <c r="F122" s="140">
        <f>IF(AND(E$35&gt;$E119,F$35&lt;$E121,MONTH(E$35)=MONTH($E119)),$E122,0)</f>
        <v>0</v>
      </c>
      <c r="G122" s="140">
        <f t="shared" ref="G122" si="1230">IF(AND(F$35&gt;$E119,G$35&lt;$E121,MONTH(F$35)=MONTH($E119)),$E122,0)</f>
        <v>0</v>
      </c>
      <c r="H122" s="140">
        <f t="shared" ref="H122" si="1231">IF(AND(G$35&gt;$E119,H$35&lt;$E121,MONTH(G$35)=MONTH($E119)),$E122,0)</f>
        <v>0</v>
      </c>
      <c r="I122" s="140">
        <f t="shared" ref="I122" si="1232">IF(AND(H$35&gt;$E119,I$35&lt;$E121,MONTH(H$35)=MONTH($E119)),$E122,0)</f>
        <v>0</v>
      </c>
      <c r="J122" s="140">
        <f t="shared" ref="J122" si="1233">IF(AND(I$35&gt;$E119,J$35&lt;$E121,MONTH(I$35)=MONTH($E119)),$E122,0)</f>
        <v>0</v>
      </c>
      <c r="K122" s="140">
        <f t="shared" ref="K122" si="1234">IF(AND(J$35&gt;$E119,K$35&lt;$E121,MONTH(J$35)=MONTH($E119)),$E122,0)</f>
        <v>0</v>
      </c>
      <c r="L122" s="140">
        <f t="shared" ref="L122" si="1235">IF(AND(K$35&gt;$E119,L$35&lt;$E121,MONTH(K$35)=MONTH($E119)),$E122,0)</f>
        <v>0</v>
      </c>
      <c r="M122" s="140">
        <f t="shared" ref="M122" si="1236">IF(AND(L$35&gt;$E119,M$35&lt;$E121,MONTH(L$35)=MONTH($E119)),$E122,0)</f>
        <v>0</v>
      </c>
      <c r="N122" s="140">
        <f t="shared" ref="N122" si="1237">IF(AND(M$35&gt;$E119,N$35&lt;$E121,MONTH(M$35)=MONTH($E119)),$E122,0)</f>
        <v>0</v>
      </c>
      <c r="O122" s="140">
        <f t="shared" ref="O122" si="1238">IF(AND(N$35&gt;$E119,O$35&lt;$E121,MONTH(N$35)=MONTH($E119)),$E122,0)</f>
        <v>0</v>
      </c>
      <c r="P122" s="140">
        <f t="shared" ref="P122" si="1239">IF(AND(O$35&gt;$E119,P$35&lt;$E121,MONTH(O$35)=MONTH($E119)),$E122,0)</f>
        <v>0</v>
      </c>
      <c r="Q122" s="140">
        <f t="shared" ref="Q122" si="1240">IF(AND(P$35&gt;$E119,Q$35&lt;$E121,MONTH(P$35)=MONTH($E119)),$E122,0)</f>
        <v>0</v>
      </c>
      <c r="R122" s="140">
        <f t="shared" ref="R122" si="1241">IF(AND(Q$35&gt;$E119,R$35&lt;$E121,MONTH(Q$35)=MONTH($E119)),$E122,0)</f>
        <v>0</v>
      </c>
      <c r="S122" s="140">
        <f t="shared" ref="S122" si="1242">IF(AND(R$35&gt;$E119,S$35&lt;$E121,MONTH(R$35)=MONTH($E119)),$E122,0)</f>
        <v>0</v>
      </c>
      <c r="T122" s="140">
        <f t="shared" ref="T122" si="1243">IF(AND(S$35&gt;$E119,T$35&lt;$E121,MONTH(S$35)=MONTH($E119)),$E122,0)</f>
        <v>0</v>
      </c>
      <c r="U122" s="140">
        <f t="shared" ref="U122" si="1244">IF(AND(T$35&gt;$E119,U$35&lt;$E121,MONTH(T$35)=MONTH($E119)),$E122,0)</f>
        <v>0</v>
      </c>
      <c r="V122" s="140">
        <f t="shared" ref="V122" si="1245">IF(AND(U$35&gt;$E119,V$35&lt;$E121,MONTH(U$35)=MONTH($E119)),$E122,0)</f>
        <v>0</v>
      </c>
      <c r="W122" s="140">
        <f t="shared" ref="W122" si="1246">IF(AND(V$35&gt;$E119,W$35&lt;$E121,MONTH(V$35)=MONTH($E119)),$E122,0)</f>
        <v>0</v>
      </c>
      <c r="X122" s="140">
        <f t="shared" ref="X122" si="1247">IF(AND(W$35&gt;$E119,X$35&lt;$E121,MONTH(W$35)=MONTH($E119)),$E122,0)</f>
        <v>0</v>
      </c>
      <c r="Y122" s="140">
        <f t="shared" ref="Y122" si="1248">IF(AND(X$35&gt;$E119,Y$35&lt;$E121,MONTH(X$35)=MONTH($E119)),$E122,0)</f>
        <v>0</v>
      </c>
      <c r="Z122" s="140">
        <f t="shared" ref="Z122" si="1249">IF(AND(Y$35&gt;$E119,Z$35&lt;$E121,MONTH(Y$35)=MONTH($E119)),$E122,0)</f>
        <v>0</v>
      </c>
      <c r="AA122" s="140">
        <f t="shared" ref="AA122" si="1250">IF(AND(Z$35&gt;$E119,AA$35&lt;$E121,MONTH(Z$35)=MONTH($E119)),$E122,0)</f>
        <v>0</v>
      </c>
      <c r="AB122" s="140">
        <f t="shared" ref="AB122" si="1251">IF(AND(AA$35&gt;$E119,AB$35&lt;$E121,MONTH(AA$35)=MONTH($E119)),$E122,0)</f>
        <v>0</v>
      </c>
      <c r="AC122" s="140">
        <f t="shared" ref="AC122" si="1252">IF(AND(AB$35&gt;$E119,AC$35&lt;$E121,MONTH(AB$35)=MONTH($E119)),$E122,0)</f>
        <v>0</v>
      </c>
      <c r="AD122" s="140">
        <f t="shared" ref="AD122" si="1253">IF(AND(AC$35&gt;$E119,AD$35&lt;$E121,MONTH(AC$35)=MONTH($E119)),$E122,0)</f>
        <v>0</v>
      </c>
      <c r="AE122" s="140">
        <f t="shared" ref="AE122" si="1254">IF(AND(AD$35&gt;$E119,AE$35&lt;$E121,MONTH(AD$35)=MONTH($E119)),$E122,0)</f>
        <v>0</v>
      </c>
      <c r="AF122" s="140">
        <f t="shared" ref="AF122" si="1255">IF(AND(AE$35&gt;$E119,AF$35&lt;$E121,MONTH(AE$35)=MONTH($E119)),$E122,0)</f>
        <v>0</v>
      </c>
      <c r="AG122" s="140">
        <f t="shared" ref="AG122" si="1256">IF(AND(AF$35&gt;$E119,AG$35&lt;$E121,MONTH(AF$35)=MONTH($E119)),$E122,0)</f>
        <v>0</v>
      </c>
      <c r="AH122" s="140">
        <f t="shared" ref="AH122" si="1257">IF(AND(AG$35&gt;$E119,AH$35&lt;$E121,MONTH(AG$35)=MONTH($E119)),$E122,0)</f>
        <v>0</v>
      </c>
      <c r="AI122" s="140">
        <f t="shared" ref="AI122" si="1258">IF(AND(AH$35&gt;$E119,AI$35&lt;$E121,MONTH(AH$35)=MONTH($E119)),$E122,0)</f>
        <v>0</v>
      </c>
      <c r="AJ122" s="140">
        <f t="shared" ref="AJ122" si="1259">IF(AND(AI$35&gt;$E119,AJ$35&lt;$E121,MONTH(AI$35)=MONTH($E119)),$E122,0)</f>
        <v>0</v>
      </c>
      <c r="AK122" s="140">
        <f t="shared" ref="AK122" si="1260">IF(AND(AJ$35&gt;$E119,AK$35&lt;$E121,MONTH(AJ$35)=MONTH($E119)),$E122,0)</f>
        <v>0</v>
      </c>
      <c r="AL122" s="140">
        <f t="shared" ref="AL122" si="1261">IF(AND(AK$35&gt;$E119,AL$35&lt;$E121,MONTH(AK$35)=MONTH($E119)),$E122,0)</f>
        <v>0</v>
      </c>
      <c r="AM122" s="140">
        <f t="shared" ref="AM122" si="1262">IF(AND(AL$35&gt;$E119,AM$35&lt;$E121,MONTH(AL$35)=MONTH($E119)),$E122,0)</f>
        <v>0</v>
      </c>
      <c r="AN122" s="140">
        <f t="shared" ref="AN122" si="1263">IF(AND(AM$35&gt;$E119,AN$35&lt;$E121,MONTH(AM$35)=MONTH($E119)),$E122,0)</f>
        <v>0</v>
      </c>
      <c r="AO122" s="140">
        <f t="shared" ref="AO122" si="1264">IF(AND(AN$35&gt;$E119,AO$35&lt;$E121,MONTH(AN$35)=MONTH($E119)),$E122,0)</f>
        <v>0</v>
      </c>
      <c r="AP122" s="140">
        <f t="shared" ref="AP122" si="1265">IF(AND(AO$35&gt;$E119,AP$35&lt;$E121,MONTH(AO$35)=MONTH($E119)),$E122,0)</f>
        <v>0</v>
      </c>
      <c r="AQ122" s="140">
        <f t="shared" ref="AQ122" si="1266">IF(AND(AP$35&gt;$E119,AQ$35&lt;$E121,MONTH(AP$35)=MONTH($E119)),$E122,0)</f>
        <v>0</v>
      </c>
      <c r="AR122" s="140">
        <f t="shared" ref="AR122" si="1267">IF(AND(AQ$35&gt;$E119,AR$35&lt;$E121,MONTH(AQ$35)=MONTH($E119)),$E122,0)</f>
        <v>0</v>
      </c>
      <c r="AS122" s="140">
        <f t="shared" ref="AS122" si="1268">IF(AND(AR$35&gt;$E119,AS$35&lt;$E121,MONTH(AR$35)=MONTH($E119)),$E122,0)</f>
        <v>0</v>
      </c>
      <c r="AT122" s="140">
        <f t="shared" ref="AT122" si="1269">IF(AND(AS$35&gt;$E119,AT$35&lt;$E121,MONTH(AS$35)=MONTH($E119)),$E122,0)</f>
        <v>0</v>
      </c>
      <c r="AU122" s="140">
        <f t="shared" ref="AU122" si="1270">IF(AND(AT$35&gt;$E119,AU$35&lt;$E121,MONTH(AT$35)=MONTH($E119)),$E122,0)</f>
        <v>0</v>
      </c>
      <c r="AV122" s="140">
        <f t="shared" ref="AV122" si="1271">IF(AND(AU$35&gt;$E119,AV$35&lt;$E121,MONTH(AU$35)=MONTH($E119)),$E122,0)</f>
        <v>0</v>
      </c>
      <c r="AW122" s="140">
        <f t="shared" ref="AW122" si="1272">IF(AND(AV$35&gt;$E119,AW$35&lt;$E121,MONTH(AV$35)=MONTH($E119)),$E122,0)</f>
        <v>0</v>
      </c>
      <c r="AX122" s="140">
        <f t="shared" ref="AX122" si="1273">IF(AND(AW$35&gt;$E119,AX$35&lt;$E121,MONTH(AW$35)=MONTH($E119)),$E122,0)</f>
        <v>0</v>
      </c>
      <c r="AY122" s="140">
        <f t="shared" ref="AY122" si="1274">IF(AND(AX$35&gt;$E119,AY$35&lt;$E121,MONTH(AX$35)=MONTH($E119)),$E122,0)</f>
        <v>0</v>
      </c>
      <c r="AZ122" s="140">
        <f t="shared" ref="AZ122" si="1275">IF(AND(AY$35&gt;$E119,AZ$35&lt;$E121,MONTH(AY$35)=MONTH($E119)),$E122,0)</f>
        <v>0</v>
      </c>
      <c r="BA122" s="140">
        <f t="shared" ref="BA122" si="1276">IF(AND(AZ$35&gt;$E119,BA$35&lt;$E121,MONTH(AZ$35)=MONTH($E119)),$E122,0)</f>
        <v>0</v>
      </c>
      <c r="BB122" s="140">
        <f t="shared" ref="BB122" si="1277">IF(AND(BA$35&gt;$E119,BB$35&lt;$E121,MONTH(BA$35)=MONTH($E119)),$E122,0)</f>
        <v>0</v>
      </c>
      <c r="BC122" s="140">
        <f t="shared" ref="BC122" si="1278">IF(AND(BB$35&gt;$E119,BC$35&lt;$E121,MONTH(BB$35)=MONTH($E119)),$E122,0)</f>
        <v>0</v>
      </c>
      <c r="BD122" s="140">
        <f t="shared" ref="BD122" si="1279">IF(AND(BC$35&gt;$E119,BD$35&lt;$E121,MONTH(BC$35)=MONTH($E119)),$E122,0)</f>
        <v>0</v>
      </c>
      <c r="BE122" s="140">
        <f t="shared" ref="BE122" si="1280">IF(AND(BD$35&gt;$E119,BE$35&lt;$E121,MONTH(BD$35)=MONTH($E119)),$E122,0)</f>
        <v>0</v>
      </c>
      <c r="BF122" s="140">
        <f t="shared" ref="BF122" si="1281">IF(AND(BE$35&gt;$E119,BF$35&lt;$E121,MONTH(BE$35)=MONTH($E119)),$E122,0)</f>
        <v>0</v>
      </c>
      <c r="BG122" s="140">
        <f t="shared" ref="BG122" si="1282">IF(AND(BF$35&gt;$E119,BG$35&lt;$E121,MONTH(BF$35)=MONTH($E119)),$E122,0)</f>
        <v>0</v>
      </c>
      <c r="BH122" s="140">
        <f t="shared" ref="BH122" si="1283">IF(AND(BG$35&gt;$E119,BH$35&lt;$E121,MONTH(BG$35)=MONTH($E119)),$E122,0)</f>
        <v>0</v>
      </c>
      <c r="BI122" s="140">
        <f t="shared" ref="BI122" si="1284">IF(AND(BH$35&gt;$E119,BI$35&lt;$E121,MONTH(BH$35)=MONTH($E119)),$E122,0)</f>
        <v>0</v>
      </c>
      <c r="BJ122" s="140">
        <f t="shared" ref="BJ122" si="1285">IF(AND(BI$35&gt;$E119,BJ$35&lt;$E121,MONTH(BI$35)=MONTH($E119)),$E122,0)</f>
        <v>0</v>
      </c>
      <c r="BK122" s="140">
        <f t="shared" ref="BK122" si="1286">IF(AND(BJ$35&gt;$E119,BK$35&lt;$E121,MONTH(BJ$35)=MONTH($E119)),$E122,0)</f>
        <v>0</v>
      </c>
      <c r="BL122" s="140">
        <f t="shared" ref="BL122" si="1287">IF(AND(BK$35&gt;$E119,BL$35&lt;$E121,MONTH(BK$35)=MONTH($E119)),$E122,0)</f>
        <v>0</v>
      </c>
      <c r="BM122" s="140">
        <f t="shared" ref="BM122" si="1288">IF(AND(BL$35&gt;$E119,BM$35&lt;$E121,MONTH(BL$35)=MONTH($E119)),$E122,0)</f>
        <v>0</v>
      </c>
      <c r="BN122" s="140">
        <f t="shared" ref="BN122" si="1289">IF(AND(BM$35&gt;$E119,BN$35&lt;$E121,MONTH(BM$35)=MONTH($E119)),$E122,0)</f>
        <v>0</v>
      </c>
      <c r="BO122" s="140">
        <f t="shared" ref="BO122" si="1290">IF(AND(BN$35&gt;$E119,BO$35&lt;$E121,MONTH(BN$35)=MONTH($E119)),$E122,0)</f>
        <v>0</v>
      </c>
      <c r="BP122" s="140">
        <f t="shared" ref="BP122" si="1291">IF(AND(BO$35&gt;$E119,BP$35&lt;$E121,MONTH(BO$35)=MONTH($E119)),$E122,0)</f>
        <v>0</v>
      </c>
      <c r="BQ122" s="140">
        <f t="shared" ref="BQ122" si="1292">IF(AND(BP$35&gt;$E119,BQ$35&lt;$E121,MONTH(BP$35)=MONTH($E119)),$E122,0)</f>
        <v>0</v>
      </c>
      <c r="BR122" s="140">
        <f t="shared" ref="BR122" si="1293">IF(AND(BQ$35&gt;$E119,BR$35&lt;$E121,MONTH(BQ$35)=MONTH($E119)),$E122,0)</f>
        <v>0</v>
      </c>
      <c r="BS122" s="140">
        <f t="shared" ref="BS122" si="1294">IF(AND(BR$35&gt;$E119,BS$35&lt;$E121,MONTH(BR$35)=MONTH($E119)),$E122,0)</f>
        <v>0</v>
      </c>
      <c r="BT122" s="140">
        <f t="shared" ref="BT122" si="1295">IF(AND(BS$35&gt;$E119,BT$35&lt;$E121,MONTH(BS$35)=MONTH($E119)),$E122,0)</f>
        <v>0</v>
      </c>
      <c r="BU122" s="140">
        <f t="shared" ref="BU122" si="1296">IF(AND(BT$35&gt;$E119,BU$35&lt;$E121,MONTH(BT$35)=MONTH($E119)),$E122,0)</f>
        <v>0</v>
      </c>
      <c r="BV122" s="140">
        <f t="shared" ref="BV122" si="1297">IF(AND(BU$35&gt;$E119,BV$35&lt;$E121,MONTH(BU$35)=MONTH($E119)),$E122,0)</f>
        <v>0</v>
      </c>
      <c r="BW122" s="140">
        <f t="shared" ref="BW122" si="1298">IF(AND(BV$35&gt;$E119,BW$35&lt;$E121,MONTH(BV$35)=MONTH($E119)),$E122,0)</f>
        <v>0</v>
      </c>
      <c r="BX122" s="140">
        <f t="shared" ref="BX122" si="1299">IF(AND(BW$35&gt;$E119,BX$35&lt;$E121,MONTH(BW$35)=MONTH($E119)),$E122,0)</f>
        <v>0</v>
      </c>
      <c r="BY122" s="140">
        <f t="shared" ref="BY122" si="1300">IF(AND(BX$35&gt;$E119,BY$35&lt;$E121,MONTH(BX$35)=MONTH($E119)),$E122,0)</f>
        <v>0</v>
      </c>
      <c r="BZ122" s="140">
        <f t="shared" ref="BZ122" si="1301">IF(AND(BY$35&gt;$E119,BZ$35&lt;$E121,MONTH(BY$35)=MONTH($E119)),$E122,0)</f>
        <v>0</v>
      </c>
      <c r="CA122" s="140">
        <f t="shared" ref="CA122" si="1302">IF(AND(BZ$35&gt;$E119,CA$35&lt;$E121,MONTH(BZ$35)=MONTH($E119)),$E122,0)</f>
        <v>0</v>
      </c>
      <c r="CB122" s="140">
        <f t="shared" ref="CB122" si="1303">IF(AND(CA$35&gt;$E119,CB$35&lt;$E121,MONTH(CA$35)=MONTH($E119)),$E122,0)</f>
        <v>0</v>
      </c>
      <c r="CC122" s="140">
        <f t="shared" ref="CC122" si="1304">IF(AND(CB$35&gt;$E119,CC$35&lt;$E121,MONTH(CB$35)=MONTH($E119)),$E122,0)</f>
        <v>0</v>
      </c>
      <c r="CD122" s="140">
        <f t="shared" ref="CD122" si="1305">IF(AND(CC$35&gt;$E119,CD$35&lt;$E121,MONTH(CC$35)=MONTH($E119)),$E122,0)</f>
        <v>0</v>
      </c>
      <c r="CE122" s="140">
        <f t="shared" ref="CE122" si="1306">IF(AND(CD$35&gt;$E119,CE$35&lt;$E121,MONTH(CD$35)=MONTH($E119)),$E122,0)</f>
        <v>0</v>
      </c>
      <c r="CF122" s="140">
        <f t="shared" ref="CF122" si="1307">IF(AND(CE$35&gt;$E119,CF$35&lt;$E121,MONTH(CE$35)=MONTH($E119)),$E122,0)</f>
        <v>0</v>
      </c>
      <c r="CG122" s="140">
        <f t="shared" ref="CG122" si="1308">IF(AND(CF$35&gt;$E119,CG$35&lt;$E121,MONTH(CF$35)=MONTH($E119)),$E122,0)</f>
        <v>0</v>
      </c>
      <c r="CH122" s="140">
        <f t="shared" ref="CH122" si="1309">IF(AND(CG$35&gt;$E119,CH$35&lt;$E121,MONTH(CG$35)=MONTH($E119)),$E122,0)</f>
        <v>0</v>
      </c>
      <c r="CI122" s="140">
        <f t="shared" ref="CI122" si="1310">IF(AND(CH$35&gt;$E119,CI$35&lt;$E121,MONTH(CH$35)=MONTH($E119)),$E122,0)</f>
        <v>0</v>
      </c>
      <c r="CJ122" s="140">
        <f t="shared" ref="CJ122" si="1311">IF(AND(CI$35&gt;$E119,CJ$35&lt;$E121,MONTH(CI$35)=MONTH($E119)),$E122,0)</f>
        <v>0</v>
      </c>
      <c r="CK122" s="140">
        <f t="shared" ref="CK122" si="1312">IF(AND(CJ$35&gt;$E119,CK$35&lt;$E121,MONTH(CJ$35)=MONTH($E119)),$E122,0)</f>
        <v>0</v>
      </c>
      <c r="CL122" s="140">
        <f t="shared" ref="CL122" si="1313">IF(AND(CK$35&gt;$E119,CL$35&lt;$E121,MONTH(CK$35)=MONTH($E119)),$E122,0)</f>
        <v>0</v>
      </c>
      <c r="CM122" s="140">
        <f t="shared" ref="CM122" si="1314">IF(AND(CL$35&gt;$E119,CM$35&lt;$E121,MONTH(CL$35)=MONTH($E119)),$E122,0)</f>
        <v>0</v>
      </c>
      <c r="CN122" s="140">
        <f t="shared" ref="CN122" si="1315">IF(AND(CM$35&gt;$E119,CN$35&lt;$E121,MONTH(CM$35)=MONTH($E119)),$E122,0)</f>
        <v>0</v>
      </c>
      <c r="CO122" s="140">
        <f t="shared" ref="CO122" si="1316">IF(AND(CN$35&gt;$E119,CO$35&lt;$E121,MONTH(CN$35)=MONTH($E119)),$E122,0)</f>
        <v>0</v>
      </c>
      <c r="CP122" s="140">
        <f t="shared" ref="CP122" si="1317">IF(AND(CO$35&gt;$E119,CP$35&lt;$E121,MONTH(CO$35)=MONTH($E119)),$E122,0)</f>
        <v>0</v>
      </c>
      <c r="CQ122" s="140">
        <f t="shared" ref="CQ122" si="1318">IF(AND(CP$35&gt;$E119,CQ$35&lt;$E121,MONTH(CP$35)=MONTH($E119)),$E122,0)</f>
        <v>0</v>
      </c>
      <c r="CR122" s="140">
        <f t="shared" ref="CR122" si="1319">IF(AND(CQ$35&gt;$E119,CR$35&lt;$E121,MONTH(CQ$35)=MONTH($E119)),$E122,0)</f>
        <v>0</v>
      </c>
      <c r="CS122" s="140">
        <f t="shared" ref="CS122" si="1320">IF(AND(CR$35&gt;$E119,CS$35&lt;$E121,MONTH(CR$35)=MONTH($E119)),$E122,0)</f>
        <v>0</v>
      </c>
      <c r="CT122" s="140">
        <f t="shared" ref="CT122" si="1321">IF(AND(CS$35&gt;$E119,CT$35&lt;$E121,MONTH(CS$35)=MONTH($E119)),$E122,0)</f>
        <v>0</v>
      </c>
      <c r="CU122" s="140">
        <f t="shared" ref="CU122" si="1322">IF(AND(CT$35&gt;$E119,CU$35&lt;$E121,MONTH(CT$35)=MONTH($E119)),$E122,0)</f>
        <v>0</v>
      </c>
      <c r="CV122" s="140">
        <f t="shared" ref="CV122" si="1323">IF(AND(CU$35&gt;$E119,CV$35&lt;$E121,MONTH(CU$35)=MONTH($E119)),$E122,0)</f>
        <v>0</v>
      </c>
      <c r="CW122" s="140">
        <f t="shared" ref="CW122" si="1324">IF(AND(CV$35&gt;$E119,CW$35&lt;$E121,MONTH(CV$35)=MONTH($E119)),$E122,0)</f>
        <v>0</v>
      </c>
      <c r="CX122" s="140">
        <f t="shared" ref="CX122" si="1325">IF(AND(CW$35&gt;$E119,CX$35&lt;$E121,MONTH(CW$35)=MONTH($E119)),$E122,0)</f>
        <v>0</v>
      </c>
      <c r="CY122" s="140">
        <f t="shared" ref="CY122" si="1326">IF(AND(CX$35&gt;$E119,CY$35&lt;$E121,MONTH(CX$35)=MONTH($E119)),$E122,0)</f>
        <v>0</v>
      </c>
      <c r="CZ122" s="140">
        <f t="shared" ref="CZ122" si="1327">IF(AND(CY$35&gt;$E119,CZ$35&lt;$E121,MONTH(CY$35)=MONTH($E119)),$E122,0)</f>
        <v>0</v>
      </c>
      <c r="DA122" s="140">
        <f t="shared" ref="DA122" si="1328">IF(AND(CZ$35&gt;$E119,DA$35&lt;$E121,MONTH(CZ$35)=MONTH($E119)),$E122,0)</f>
        <v>0</v>
      </c>
      <c r="DB122" s="140">
        <f t="shared" ref="DB122" si="1329">IF(AND(DA$35&gt;$E119,DB$35&lt;$E121,MONTH(DA$35)=MONTH($E119)),$E122,0)</f>
        <v>0</v>
      </c>
      <c r="DC122" s="140">
        <f t="shared" ref="DC122" si="1330">IF(AND(DB$35&gt;$E119,DC$35&lt;$E121,MONTH(DB$35)=MONTH($E119)),$E122,0)</f>
        <v>0</v>
      </c>
      <c r="DD122" s="140">
        <f t="shared" ref="DD122" si="1331">IF(AND(DC$35&gt;$E119,DD$35&lt;$E121,MONTH(DC$35)=MONTH($E119)),$E122,0)</f>
        <v>0</v>
      </c>
      <c r="DE122" s="140">
        <f t="shared" ref="DE122" si="1332">IF(AND(DD$35&gt;$E119,DE$35&lt;$E121,MONTH(DD$35)=MONTH($E119)),$E122,0)</f>
        <v>0</v>
      </c>
      <c r="DF122" s="140">
        <f t="shared" ref="DF122" si="1333">IF(AND(DE$35&gt;$E119,DF$35&lt;$E121,MONTH(DE$35)=MONTH($E119)),$E122,0)</f>
        <v>0</v>
      </c>
      <c r="DG122" s="140">
        <f t="shared" ref="DG122" si="1334">IF(AND(DF$35&gt;$E119,DG$35&lt;$E121,MONTH(DF$35)=MONTH($E119)),$E122,0)</f>
        <v>0</v>
      </c>
      <c r="DH122" s="140">
        <f t="shared" ref="DH122" si="1335">IF(AND(DG$35&gt;$E119,DH$35&lt;$E121,MONTH(DG$35)=MONTH($E119)),$E122,0)</f>
        <v>0</v>
      </c>
      <c r="DI122" s="140">
        <f t="shared" ref="DI122" si="1336">IF(AND(DH$35&gt;$E119,DI$35&lt;$E121,MONTH(DH$35)=MONTH($E119)),$E122,0)</f>
        <v>0</v>
      </c>
    </row>
    <row r="123" spans="2:113" customFormat="1" outlineLevel="1" x14ac:dyDescent="0.25">
      <c r="B123" s="1"/>
      <c r="C123" s="54"/>
      <c r="D123" s="66"/>
      <c r="E123" s="1"/>
      <c r="F123" s="1"/>
      <c r="G123" s="1"/>
      <c r="H123" s="1"/>
      <c r="I123" s="1"/>
      <c r="J123" s="1"/>
      <c r="AP123" s="72"/>
      <c r="CL123" s="72"/>
      <c r="CM123" s="72"/>
      <c r="CN123" s="72"/>
      <c r="CO123" s="72"/>
      <c r="CP123" s="72"/>
      <c r="CR123" s="72"/>
    </row>
    <row r="124" spans="2:113" customFormat="1" outlineLevel="1" x14ac:dyDescent="0.25">
      <c r="B124" s="1"/>
      <c r="C124" s="93" t="s">
        <v>260</v>
      </c>
      <c r="D124" s="46" t="s">
        <v>34</v>
      </c>
      <c r="E124" s="225">
        <f>EOMONTH(E115,Down_Months)</f>
        <v>46356</v>
      </c>
      <c r="F124" s="1"/>
      <c r="G124" s="1"/>
      <c r="H124" s="1"/>
      <c r="I124" s="1"/>
      <c r="J124" s="1"/>
      <c r="AP124" s="72"/>
      <c r="CL124" s="72"/>
      <c r="CM124" s="72"/>
      <c r="CN124" s="72"/>
      <c r="CO124" s="72"/>
      <c r="CP124" s="72"/>
      <c r="CR124" s="72"/>
    </row>
    <row r="125" spans="2:113" customFormat="1" outlineLevel="1" x14ac:dyDescent="0.25">
      <c r="B125" s="1"/>
      <c r="C125" s="93" t="s">
        <v>261</v>
      </c>
      <c r="D125" s="46" t="s">
        <v>42</v>
      </c>
      <c r="E125" s="226">
        <f>New_Lease_Years</f>
        <v>5</v>
      </c>
      <c r="F125" s="1"/>
      <c r="G125" s="1"/>
      <c r="H125" s="1"/>
      <c r="I125" s="1"/>
      <c r="J125" s="1"/>
      <c r="AP125" s="72"/>
      <c r="CL125" s="72"/>
      <c r="CM125" s="72"/>
      <c r="CN125" s="72"/>
      <c r="CO125" s="72"/>
      <c r="CP125" s="72"/>
      <c r="CR125" s="72"/>
    </row>
    <row r="126" spans="2:113" customFormat="1" outlineLevel="1" x14ac:dyDescent="0.25">
      <c r="B126" s="1"/>
      <c r="C126" s="60" t="s">
        <v>262</v>
      </c>
      <c r="D126" s="46" t="s">
        <v>34</v>
      </c>
      <c r="E126" s="225">
        <f>EOMONTH(E124,E125*Months)</f>
        <v>48182</v>
      </c>
      <c r="F126" s="1"/>
      <c r="G126" s="1"/>
      <c r="H126" s="1"/>
      <c r="I126" s="1"/>
      <c r="J126" s="1"/>
      <c r="AP126" s="72"/>
      <c r="CL126" s="72"/>
      <c r="CM126" s="72"/>
      <c r="CN126" s="72"/>
      <c r="CO126" s="72"/>
      <c r="CP126" s="72"/>
      <c r="CR126" s="72"/>
    </row>
    <row r="127" spans="2:113" customFormat="1" outlineLevel="1" x14ac:dyDescent="0.25">
      <c r="B127" s="1"/>
      <c r="C127" s="93" t="s">
        <v>263</v>
      </c>
      <c r="D127" s="48" t="s">
        <v>39</v>
      </c>
      <c r="E127" s="140" t="e">
        <f>INDEX(Annual!$F$69:$N$90,22,INDEX($F$5:$DI$9,5,MATCH(E124,$F$5:$DI$5,0)))</f>
        <v>#N/A</v>
      </c>
      <c r="F127" s="140">
        <f>IF(AND(E$35&gt;$E124,F$35&lt;$E126,MONTH(E$35)=MONTH($E124)),$E127,0)</f>
        <v>0</v>
      </c>
      <c r="G127" s="140">
        <f t="shared" ref="G127" si="1337">IF(AND(F$35&gt;$E124,G$35&lt;$E126,MONTH(F$35)=MONTH($E124)),$E127,0)</f>
        <v>0</v>
      </c>
      <c r="H127" s="140">
        <f t="shared" ref="H127" si="1338">IF(AND(G$35&gt;$E124,H$35&lt;$E126,MONTH(G$35)=MONTH($E124)),$E127,0)</f>
        <v>0</v>
      </c>
      <c r="I127" s="140">
        <f t="shared" ref="I127" si="1339">IF(AND(H$35&gt;$E124,I$35&lt;$E126,MONTH(H$35)=MONTH($E124)),$E127,0)</f>
        <v>0</v>
      </c>
      <c r="J127" s="140">
        <f t="shared" ref="J127" si="1340">IF(AND(I$35&gt;$E124,J$35&lt;$E126,MONTH(I$35)=MONTH($E124)),$E127,0)</f>
        <v>0</v>
      </c>
      <c r="K127" s="140">
        <f t="shared" ref="K127" si="1341">IF(AND(J$35&gt;$E124,K$35&lt;$E126,MONTH(J$35)=MONTH($E124)),$E127,0)</f>
        <v>0</v>
      </c>
      <c r="L127" s="140">
        <f t="shared" ref="L127" si="1342">IF(AND(K$35&gt;$E124,L$35&lt;$E126,MONTH(K$35)=MONTH($E124)),$E127,0)</f>
        <v>0</v>
      </c>
      <c r="M127" s="140">
        <f t="shared" ref="M127" si="1343">IF(AND(L$35&gt;$E124,M$35&lt;$E126,MONTH(L$35)=MONTH($E124)),$E127,0)</f>
        <v>0</v>
      </c>
      <c r="N127" s="140">
        <f t="shared" ref="N127" si="1344">IF(AND(M$35&gt;$E124,N$35&lt;$E126,MONTH(M$35)=MONTH($E124)),$E127,0)</f>
        <v>0</v>
      </c>
      <c r="O127" s="140">
        <f t="shared" ref="O127" si="1345">IF(AND(N$35&gt;$E124,O$35&lt;$E126,MONTH(N$35)=MONTH($E124)),$E127,0)</f>
        <v>0</v>
      </c>
      <c r="P127" s="140">
        <f t="shared" ref="P127" si="1346">IF(AND(O$35&gt;$E124,P$35&lt;$E126,MONTH(O$35)=MONTH($E124)),$E127,0)</f>
        <v>0</v>
      </c>
      <c r="Q127" s="140">
        <f t="shared" ref="Q127" si="1347">IF(AND(P$35&gt;$E124,Q$35&lt;$E126,MONTH(P$35)=MONTH($E124)),$E127,0)</f>
        <v>0</v>
      </c>
      <c r="R127" s="140">
        <f t="shared" ref="R127" si="1348">IF(AND(Q$35&gt;$E124,R$35&lt;$E126,MONTH(Q$35)=MONTH($E124)),$E127,0)</f>
        <v>0</v>
      </c>
      <c r="S127" s="140">
        <f t="shared" ref="S127" si="1349">IF(AND(R$35&gt;$E124,S$35&lt;$E126,MONTH(R$35)=MONTH($E124)),$E127,0)</f>
        <v>0</v>
      </c>
      <c r="T127" s="140">
        <f t="shared" ref="T127" si="1350">IF(AND(S$35&gt;$E124,T$35&lt;$E126,MONTH(S$35)=MONTH($E124)),$E127,0)</f>
        <v>0</v>
      </c>
      <c r="U127" s="140">
        <f t="shared" ref="U127" si="1351">IF(AND(T$35&gt;$E124,U$35&lt;$E126,MONTH(T$35)=MONTH($E124)),$E127,0)</f>
        <v>0</v>
      </c>
      <c r="V127" s="140">
        <f t="shared" ref="V127" si="1352">IF(AND(U$35&gt;$E124,V$35&lt;$E126,MONTH(U$35)=MONTH($E124)),$E127,0)</f>
        <v>0</v>
      </c>
      <c r="W127" s="140">
        <f t="shared" ref="W127" si="1353">IF(AND(V$35&gt;$E124,W$35&lt;$E126,MONTH(V$35)=MONTH($E124)),$E127,0)</f>
        <v>0</v>
      </c>
      <c r="X127" s="140">
        <f t="shared" ref="X127" si="1354">IF(AND(W$35&gt;$E124,X$35&lt;$E126,MONTH(W$35)=MONTH($E124)),$E127,0)</f>
        <v>0</v>
      </c>
      <c r="Y127" s="140">
        <f t="shared" ref="Y127" si="1355">IF(AND(X$35&gt;$E124,Y$35&lt;$E126,MONTH(X$35)=MONTH($E124)),$E127,0)</f>
        <v>0</v>
      </c>
      <c r="Z127" s="140">
        <f t="shared" ref="Z127" si="1356">IF(AND(Y$35&gt;$E124,Z$35&lt;$E126,MONTH(Y$35)=MONTH($E124)),$E127,0)</f>
        <v>0</v>
      </c>
      <c r="AA127" s="140">
        <f t="shared" ref="AA127" si="1357">IF(AND(Z$35&gt;$E124,AA$35&lt;$E126,MONTH(Z$35)=MONTH($E124)),$E127,0)</f>
        <v>0</v>
      </c>
      <c r="AB127" s="140">
        <f t="shared" ref="AB127" si="1358">IF(AND(AA$35&gt;$E124,AB$35&lt;$E126,MONTH(AA$35)=MONTH($E124)),$E127,0)</f>
        <v>0</v>
      </c>
      <c r="AC127" s="140">
        <f t="shared" ref="AC127" si="1359">IF(AND(AB$35&gt;$E124,AC$35&lt;$E126,MONTH(AB$35)=MONTH($E124)),$E127,0)</f>
        <v>0</v>
      </c>
      <c r="AD127" s="140">
        <f t="shared" ref="AD127" si="1360">IF(AND(AC$35&gt;$E124,AD$35&lt;$E126,MONTH(AC$35)=MONTH($E124)),$E127,0)</f>
        <v>0</v>
      </c>
      <c r="AE127" s="140">
        <f t="shared" ref="AE127" si="1361">IF(AND(AD$35&gt;$E124,AE$35&lt;$E126,MONTH(AD$35)=MONTH($E124)),$E127,0)</f>
        <v>0</v>
      </c>
      <c r="AF127" s="140">
        <f t="shared" ref="AF127" si="1362">IF(AND(AE$35&gt;$E124,AF$35&lt;$E126,MONTH(AE$35)=MONTH($E124)),$E127,0)</f>
        <v>0</v>
      </c>
      <c r="AG127" s="140">
        <f t="shared" ref="AG127" si="1363">IF(AND(AF$35&gt;$E124,AG$35&lt;$E126,MONTH(AF$35)=MONTH($E124)),$E127,0)</f>
        <v>0</v>
      </c>
      <c r="AH127" s="140">
        <f t="shared" ref="AH127" si="1364">IF(AND(AG$35&gt;$E124,AH$35&lt;$E126,MONTH(AG$35)=MONTH($E124)),$E127,0)</f>
        <v>0</v>
      </c>
      <c r="AI127" s="140">
        <f t="shared" ref="AI127" si="1365">IF(AND(AH$35&gt;$E124,AI$35&lt;$E126,MONTH(AH$35)=MONTH($E124)),$E127,0)</f>
        <v>0</v>
      </c>
      <c r="AJ127" s="140">
        <f t="shared" ref="AJ127" si="1366">IF(AND(AI$35&gt;$E124,AJ$35&lt;$E126,MONTH(AI$35)=MONTH($E124)),$E127,0)</f>
        <v>0</v>
      </c>
      <c r="AK127" s="140">
        <f t="shared" ref="AK127" si="1367">IF(AND(AJ$35&gt;$E124,AK$35&lt;$E126,MONTH(AJ$35)=MONTH($E124)),$E127,0)</f>
        <v>0</v>
      </c>
      <c r="AL127" s="140">
        <f t="shared" ref="AL127" si="1368">IF(AND(AK$35&gt;$E124,AL$35&lt;$E126,MONTH(AK$35)=MONTH($E124)),$E127,0)</f>
        <v>0</v>
      </c>
      <c r="AM127" s="140">
        <f t="shared" ref="AM127" si="1369">IF(AND(AL$35&gt;$E124,AM$35&lt;$E126,MONTH(AL$35)=MONTH($E124)),$E127,0)</f>
        <v>0</v>
      </c>
      <c r="AN127" s="140">
        <f t="shared" ref="AN127" si="1370">IF(AND(AM$35&gt;$E124,AN$35&lt;$E126,MONTH(AM$35)=MONTH($E124)),$E127,0)</f>
        <v>0</v>
      </c>
      <c r="AO127" s="140">
        <f t="shared" ref="AO127" si="1371">IF(AND(AN$35&gt;$E124,AO$35&lt;$E126,MONTH(AN$35)=MONTH($E124)),$E127,0)</f>
        <v>0</v>
      </c>
      <c r="AP127" s="140">
        <f t="shared" ref="AP127" si="1372">IF(AND(AO$35&gt;$E124,AP$35&lt;$E126,MONTH(AO$35)=MONTH($E124)),$E127,0)</f>
        <v>0</v>
      </c>
      <c r="AQ127" s="140">
        <f t="shared" ref="AQ127" si="1373">IF(AND(AP$35&gt;$E124,AQ$35&lt;$E126,MONTH(AP$35)=MONTH($E124)),$E127,0)</f>
        <v>0</v>
      </c>
      <c r="AR127" s="140">
        <f t="shared" ref="AR127" si="1374">IF(AND(AQ$35&gt;$E124,AR$35&lt;$E126,MONTH(AQ$35)=MONTH($E124)),$E127,0)</f>
        <v>0</v>
      </c>
      <c r="AS127" s="140">
        <f t="shared" ref="AS127" si="1375">IF(AND(AR$35&gt;$E124,AS$35&lt;$E126,MONTH(AR$35)=MONTH($E124)),$E127,0)</f>
        <v>0</v>
      </c>
      <c r="AT127" s="140">
        <f t="shared" ref="AT127" si="1376">IF(AND(AS$35&gt;$E124,AT$35&lt;$E126,MONTH(AS$35)=MONTH($E124)),$E127,0)</f>
        <v>0</v>
      </c>
      <c r="AU127" s="140">
        <f t="shared" ref="AU127" si="1377">IF(AND(AT$35&gt;$E124,AU$35&lt;$E126,MONTH(AT$35)=MONTH($E124)),$E127,0)</f>
        <v>0</v>
      </c>
      <c r="AV127" s="140">
        <f t="shared" ref="AV127" si="1378">IF(AND(AU$35&gt;$E124,AV$35&lt;$E126,MONTH(AU$35)=MONTH($E124)),$E127,0)</f>
        <v>0</v>
      </c>
      <c r="AW127" s="140">
        <f t="shared" ref="AW127" si="1379">IF(AND(AV$35&gt;$E124,AW$35&lt;$E126,MONTH(AV$35)=MONTH($E124)),$E127,0)</f>
        <v>0</v>
      </c>
      <c r="AX127" s="140">
        <f t="shared" ref="AX127" si="1380">IF(AND(AW$35&gt;$E124,AX$35&lt;$E126,MONTH(AW$35)=MONTH($E124)),$E127,0)</f>
        <v>0</v>
      </c>
      <c r="AY127" s="140">
        <f t="shared" ref="AY127" si="1381">IF(AND(AX$35&gt;$E124,AY$35&lt;$E126,MONTH(AX$35)=MONTH($E124)),$E127,0)</f>
        <v>0</v>
      </c>
      <c r="AZ127" s="140">
        <f t="shared" ref="AZ127" si="1382">IF(AND(AY$35&gt;$E124,AZ$35&lt;$E126,MONTH(AY$35)=MONTH($E124)),$E127,0)</f>
        <v>0</v>
      </c>
      <c r="BA127" s="140">
        <f t="shared" ref="BA127" si="1383">IF(AND(AZ$35&gt;$E124,BA$35&lt;$E126,MONTH(AZ$35)=MONTH($E124)),$E127,0)</f>
        <v>0</v>
      </c>
      <c r="BB127" s="140">
        <f t="shared" ref="BB127" si="1384">IF(AND(BA$35&gt;$E124,BB$35&lt;$E126,MONTH(BA$35)=MONTH($E124)),$E127,0)</f>
        <v>0</v>
      </c>
      <c r="BC127" s="140">
        <f t="shared" ref="BC127" si="1385">IF(AND(BB$35&gt;$E124,BC$35&lt;$E126,MONTH(BB$35)=MONTH($E124)),$E127,0)</f>
        <v>0</v>
      </c>
      <c r="BD127" s="140">
        <f t="shared" ref="BD127" si="1386">IF(AND(BC$35&gt;$E124,BD$35&lt;$E126,MONTH(BC$35)=MONTH($E124)),$E127,0)</f>
        <v>0</v>
      </c>
      <c r="BE127" s="140">
        <f t="shared" ref="BE127" si="1387">IF(AND(BD$35&gt;$E124,BE$35&lt;$E126,MONTH(BD$35)=MONTH($E124)),$E127,0)</f>
        <v>0</v>
      </c>
      <c r="BF127" s="140">
        <f t="shared" ref="BF127" si="1388">IF(AND(BE$35&gt;$E124,BF$35&lt;$E126,MONTH(BE$35)=MONTH($E124)),$E127,0)</f>
        <v>0</v>
      </c>
      <c r="BG127" s="140">
        <f t="shared" ref="BG127" si="1389">IF(AND(BF$35&gt;$E124,BG$35&lt;$E126,MONTH(BF$35)=MONTH($E124)),$E127,0)</f>
        <v>0</v>
      </c>
      <c r="BH127" s="140">
        <f t="shared" ref="BH127" si="1390">IF(AND(BG$35&gt;$E124,BH$35&lt;$E126,MONTH(BG$35)=MONTH($E124)),$E127,0)</f>
        <v>0</v>
      </c>
      <c r="BI127" s="140">
        <f t="shared" ref="BI127" si="1391">IF(AND(BH$35&gt;$E124,BI$35&lt;$E126,MONTH(BH$35)=MONTH($E124)),$E127,0)</f>
        <v>0</v>
      </c>
      <c r="BJ127" s="140">
        <f t="shared" ref="BJ127" si="1392">IF(AND(BI$35&gt;$E124,BJ$35&lt;$E126,MONTH(BI$35)=MONTH($E124)),$E127,0)</f>
        <v>0</v>
      </c>
      <c r="BK127" s="140">
        <f t="shared" ref="BK127" si="1393">IF(AND(BJ$35&gt;$E124,BK$35&lt;$E126,MONTH(BJ$35)=MONTH($E124)),$E127,0)</f>
        <v>0</v>
      </c>
      <c r="BL127" s="140">
        <f t="shared" ref="BL127" si="1394">IF(AND(BK$35&gt;$E124,BL$35&lt;$E126,MONTH(BK$35)=MONTH($E124)),$E127,0)</f>
        <v>0</v>
      </c>
      <c r="BM127" s="140">
        <f t="shared" ref="BM127" si="1395">IF(AND(BL$35&gt;$E124,BM$35&lt;$E126,MONTH(BL$35)=MONTH($E124)),$E127,0)</f>
        <v>0</v>
      </c>
      <c r="BN127" s="140">
        <f t="shared" ref="BN127" si="1396">IF(AND(BM$35&gt;$E124,BN$35&lt;$E126,MONTH(BM$35)=MONTH($E124)),$E127,0)</f>
        <v>0</v>
      </c>
      <c r="BO127" s="140">
        <f t="shared" ref="BO127" si="1397">IF(AND(BN$35&gt;$E124,BO$35&lt;$E126,MONTH(BN$35)=MONTH($E124)),$E127,0)</f>
        <v>0</v>
      </c>
      <c r="BP127" s="140">
        <f t="shared" ref="BP127" si="1398">IF(AND(BO$35&gt;$E124,BP$35&lt;$E126,MONTH(BO$35)=MONTH($E124)),$E127,0)</f>
        <v>0</v>
      </c>
      <c r="BQ127" s="140">
        <f t="shared" ref="BQ127" si="1399">IF(AND(BP$35&gt;$E124,BQ$35&lt;$E126,MONTH(BP$35)=MONTH($E124)),$E127,0)</f>
        <v>0</v>
      </c>
      <c r="BR127" s="140">
        <f t="shared" ref="BR127" si="1400">IF(AND(BQ$35&gt;$E124,BR$35&lt;$E126,MONTH(BQ$35)=MONTH($E124)),$E127,0)</f>
        <v>0</v>
      </c>
      <c r="BS127" s="140">
        <f t="shared" ref="BS127" si="1401">IF(AND(BR$35&gt;$E124,BS$35&lt;$E126,MONTH(BR$35)=MONTH($E124)),$E127,0)</f>
        <v>0</v>
      </c>
      <c r="BT127" s="140">
        <f t="shared" ref="BT127" si="1402">IF(AND(BS$35&gt;$E124,BT$35&lt;$E126,MONTH(BS$35)=MONTH($E124)),$E127,0)</f>
        <v>0</v>
      </c>
      <c r="BU127" s="140">
        <f t="shared" ref="BU127" si="1403">IF(AND(BT$35&gt;$E124,BU$35&lt;$E126,MONTH(BT$35)=MONTH($E124)),$E127,0)</f>
        <v>0</v>
      </c>
      <c r="BV127" s="140">
        <f t="shared" ref="BV127" si="1404">IF(AND(BU$35&gt;$E124,BV$35&lt;$E126,MONTH(BU$35)=MONTH($E124)),$E127,0)</f>
        <v>0</v>
      </c>
      <c r="BW127" s="140">
        <f t="shared" ref="BW127" si="1405">IF(AND(BV$35&gt;$E124,BW$35&lt;$E126,MONTH(BV$35)=MONTH($E124)),$E127,0)</f>
        <v>0</v>
      </c>
      <c r="BX127" s="140">
        <f t="shared" ref="BX127" si="1406">IF(AND(BW$35&gt;$E124,BX$35&lt;$E126,MONTH(BW$35)=MONTH($E124)),$E127,0)</f>
        <v>0</v>
      </c>
      <c r="BY127" s="140">
        <f t="shared" ref="BY127" si="1407">IF(AND(BX$35&gt;$E124,BY$35&lt;$E126,MONTH(BX$35)=MONTH($E124)),$E127,0)</f>
        <v>0</v>
      </c>
      <c r="BZ127" s="140">
        <f t="shared" ref="BZ127" si="1408">IF(AND(BY$35&gt;$E124,BZ$35&lt;$E126,MONTH(BY$35)=MONTH($E124)),$E127,0)</f>
        <v>0</v>
      </c>
      <c r="CA127" s="140">
        <f t="shared" ref="CA127" si="1409">IF(AND(BZ$35&gt;$E124,CA$35&lt;$E126,MONTH(BZ$35)=MONTH($E124)),$E127,0)</f>
        <v>0</v>
      </c>
      <c r="CB127" s="140">
        <f t="shared" ref="CB127" si="1410">IF(AND(CA$35&gt;$E124,CB$35&lt;$E126,MONTH(CA$35)=MONTH($E124)),$E127,0)</f>
        <v>0</v>
      </c>
      <c r="CC127" s="140">
        <f t="shared" ref="CC127" si="1411">IF(AND(CB$35&gt;$E124,CC$35&lt;$E126,MONTH(CB$35)=MONTH($E124)),$E127,0)</f>
        <v>0</v>
      </c>
      <c r="CD127" s="140">
        <f t="shared" ref="CD127" si="1412">IF(AND(CC$35&gt;$E124,CD$35&lt;$E126,MONTH(CC$35)=MONTH($E124)),$E127,0)</f>
        <v>0</v>
      </c>
      <c r="CE127" s="140">
        <f t="shared" ref="CE127" si="1413">IF(AND(CD$35&gt;$E124,CE$35&lt;$E126,MONTH(CD$35)=MONTH($E124)),$E127,0)</f>
        <v>0</v>
      </c>
      <c r="CF127" s="140">
        <f t="shared" ref="CF127" si="1414">IF(AND(CE$35&gt;$E124,CF$35&lt;$E126,MONTH(CE$35)=MONTH($E124)),$E127,0)</f>
        <v>0</v>
      </c>
      <c r="CG127" s="140">
        <f t="shared" ref="CG127" si="1415">IF(AND(CF$35&gt;$E124,CG$35&lt;$E126,MONTH(CF$35)=MONTH($E124)),$E127,0)</f>
        <v>0</v>
      </c>
      <c r="CH127" s="140">
        <f t="shared" ref="CH127" si="1416">IF(AND(CG$35&gt;$E124,CH$35&lt;$E126,MONTH(CG$35)=MONTH($E124)),$E127,0)</f>
        <v>0</v>
      </c>
      <c r="CI127" s="140">
        <f t="shared" ref="CI127" si="1417">IF(AND(CH$35&gt;$E124,CI$35&lt;$E126,MONTH(CH$35)=MONTH($E124)),$E127,0)</f>
        <v>0</v>
      </c>
      <c r="CJ127" s="140">
        <f t="shared" ref="CJ127" si="1418">IF(AND(CI$35&gt;$E124,CJ$35&lt;$E126,MONTH(CI$35)=MONTH($E124)),$E127,0)</f>
        <v>0</v>
      </c>
      <c r="CK127" s="140">
        <f t="shared" ref="CK127" si="1419">IF(AND(CJ$35&gt;$E124,CK$35&lt;$E126,MONTH(CJ$35)=MONTH($E124)),$E127,0)</f>
        <v>0</v>
      </c>
      <c r="CL127" s="140">
        <f t="shared" ref="CL127" si="1420">IF(AND(CK$35&gt;$E124,CL$35&lt;$E126,MONTH(CK$35)=MONTH($E124)),$E127,0)</f>
        <v>0</v>
      </c>
      <c r="CM127" s="140">
        <f t="shared" ref="CM127" si="1421">IF(AND(CL$35&gt;$E124,CM$35&lt;$E126,MONTH(CL$35)=MONTH($E124)),$E127,0)</f>
        <v>0</v>
      </c>
      <c r="CN127" s="140">
        <f t="shared" ref="CN127" si="1422">IF(AND(CM$35&gt;$E124,CN$35&lt;$E126,MONTH(CM$35)=MONTH($E124)),$E127,0)</f>
        <v>0</v>
      </c>
      <c r="CO127" s="140">
        <f t="shared" ref="CO127" si="1423">IF(AND(CN$35&gt;$E124,CO$35&lt;$E126,MONTH(CN$35)=MONTH($E124)),$E127,0)</f>
        <v>0</v>
      </c>
      <c r="CP127" s="140">
        <f t="shared" ref="CP127" si="1424">IF(AND(CO$35&gt;$E124,CP$35&lt;$E126,MONTH(CO$35)=MONTH($E124)),$E127,0)</f>
        <v>0</v>
      </c>
      <c r="CQ127" s="140">
        <f t="shared" ref="CQ127" si="1425">IF(AND(CP$35&gt;$E124,CQ$35&lt;$E126,MONTH(CP$35)=MONTH($E124)),$E127,0)</f>
        <v>0</v>
      </c>
      <c r="CR127" s="140">
        <f t="shared" ref="CR127" si="1426">IF(AND(CQ$35&gt;$E124,CR$35&lt;$E126,MONTH(CQ$35)=MONTH($E124)),$E127,0)</f>
        <v>0</v>
      </c>
      <c r="CS127" s="140">
        <f t="shared" ref="CS127" si="1427">IF(AND(CR$35&gt;$E124,CS$35&lt;$E126,MONTH(CR$35)=MONTH($E124)),$E127,0)</f>
        <v>0</v>
      </c>
      <c r="CT127" s="140">
        <f t="shared" ref="CT127" si="1428">IF(AND(CS$35&gt;$E124,CT$35&lt;$E126,MONTH(CS$35)=MONTH($E124)),$E127,0)</f>
        <v>0</v>
      </c>
      <c r="CU127" s="140">
        <f t="shared" ref="CU127" si="1429">IF(AND(CT$35&gt;$E124,CU$35&lt;$E126,MONTH(CT$35)=MONTH($E124)),$E127,0)</f>
        <v>0</v>
      </c>
      <c r="CV127" s="140">
        <f t="shared" ref="CV127" si="1430">IF(AND(CU$35&gt;$E124,CV$35&lt;$E126,MONTH(CU$35)=MONTH($E124)),$E127,0)</f>
        <v>0</v>
      </c>
      <c r="CW127" s="140">
        <f t="shared" ref="CW127" si="1431">IF(AND(CV$35&gt;$E124,CW$35&lt;$E126,MONTH(CV$35)=MONTH($E124)),$E127,0)</f>
        <v>0</v>
      </c>
      <c r="CX127" s="140">
        <f t="shared" ref="CX127" si="1432">IF(AND(CW$35&gt;$E124,CX$35&lt;$E126,MONTH(CW$35)=MONTH($E124)),$E127,0)</f>
        <v>0</v>
      </c>
      <c r="CY127" s="140">
        <f t="shared" ref="CY127" si="1433">IF(AND(CX$35&gt;$E124,CY$35&lt;$E126,MONTH(CX$35)=MONTH($E124)),$E127,0)</f>
        <v>0</v>
      </c>
      <c r="CZ127" s="140">
        <f t="shared" ref="CZ127" si="1434">IF(AND(CY$35&gt;$E124,CZ$35&lt;$E126,MONTH(CY$35)=MONTH($E124)),$E127,0)</f>
        <v>0</v>
      </c>
      <c r="DA127" s="140">
        <f t="shared" ref="DA127" si="1435">IF(AND(CZ$35&gt;$E124,DA$35&lt;$E126,MONTH(CZ$35)=MONTH($E124)),$E127,0)</f>
        <v>0</v>
      </c>
      <c r="DB127" s="140">
        <f t="shared" ref="DB127" si="1436">IF(AND(DA$35&gt;$E124,DB$35&lt;$E126,MONTH(DA$35)=MONTH($E124)),$E127,0)</f>
        <v>0</v>
      </c>
      <c r="DC127" s="140">
        <f t="shared" ref="DC127" si="1437">IF(AND(DB$35&gt;$E124,DC$35&lt;$E126,MONTH(DB$35)=MONTH($E124)),$E127,0)</f>
        <v>0</v>
      </c>
      <c r="DD127" s="140">
        <f t="shared" ref="DD127" si="1438">IF(AND(DC$35&gt;$E124,DD$35&lt;$E126,MONTH(DC$35)=MONTH($E124)),$E127,0)</f>
        <v>0</v>
      </c>
      <c r="DE127" s="140">
        <f t="shared" ref="DE127" si="1439">IF(AND(DD$35&gt;$E124,DE$35&lt;$E126,MONTH(DD$35)=MONTH($E124)),$E127,0)</f>
        <v>0</v>
      </c>
      <c r="DF127" s="140">
        <f t="shared" ref="DF127" si="1440">IF(AND(DE$35&gt;$E124,DF$35&lt;$E126,MONTH(DE$35)=MONTH($E124)),$E127,0)</f>
        <v>0</v>
      </c>
      <c r="DG127" s="140">
        <f t="shared" ref="DG127" si="1441">IF(AND(DF$35&gt;$E124,DG$35&lt;$E126,MONTH(DF$35)=MONTH($E124)),$E127,0)</f>
        <v>0</v>
      </c>
      <c r="DH127" s="140">
        <f t="shared" ref="DH127" si="1442">IF(AND(DG$35&gt;$E124,DH$35&lt;$E126,MONTH(DG$35)=MONTH($E124)),$E127,0)</f>
        <v>0</v>
      </c>
      <c r="DI127" s="140">
        <f t="shared" ref="DI127" si="1443">IF(AND(DH$35&gt;$E124,DI$35&lt;$E126,MONTH(DH$35)=MONTH($E124)),$E127,0)</f>
        <v>0</v>
      </c>
    </row>
    <row r="128" spans="2:113" customFormat="1" outlineLevel="1" x14ac:dyDescent="0.25">
      <c r="B128" s="1"/>
      <c r="C128" s="54"/>
      <c r="D128" s="66"/>
      <c r="E128" s="1"/>
      <c r="F128" s="141"/>
      <c r="G128" s="141"/>
      <c r="H128" s="141"/>
      <c r="I128" s="141"/>
      <c r="J128" s="141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124"/>
      <c r="V128" s="124"/>
      <c r="AP128" s="137"/>
    </row>
    <row r="129" spans="2:113" customFormat="1" outlineLevel="1" x14ac:dyDescent="0.25">
      <c r="B129" s="1"/>
      <c r="C129" s="60" t="s">
        <v>131</v>
      </c>
      <c r="D129" s="46" t="s">
        <v>125</v>
      </c>
      <c r="E129" s="136">
        <v>1400</v>
      </c>
      <c r="F129" s="137">
        <f>+E129*(1+F$37)</f>
        <v>1411.1637966004653</v>
      </c>
      <c r="G129" s="137">
        <f t="shared" ref="G129" si="1444">+F129*(1+G$37)</f>
        <v>1422.4166148827424</v>
      </c>
      <c r="H129" s="137">
        <f t="shared" ref="H129" si="1445">+G129*(1+H$37)</f>
        <v>1433.7591647182232</v>
      </c>
      <c r="I129" s="137">
        <f t="shared" ref="I129" si="1446">+H129*(1+I$37)</f>
        <v>1445.1921616389141</v>
      </c>
      <c r="J129" s="137">
        <f t="shared" ref="J129" si="1447">+I129*(1+J$37)</f>
        <v>1456.7163268825736</v>
      </c>
      <c r="K129" s="137">
        <f t="shared" ref="K129" si="1448">+J129*(1+K$37)</f>
        <v>1468.3323874382122</v>
      </c>
      <c r="L129" s="137">
        <f t="shared" ref="L129" si="1449">+K129*(1+L$37)</f>
        <v>1480.0410760919519</v>
      </c>
      <c r="M129" s="137">
        <f t="shared" ref="M129" si="1450">+L129*(1+M$37)</f>
        <v>1491.843131473255</v>
      </c>
      <c r="N129" s="137">
        <f t="shared" ref="N129" si="1451">+M129*(1+N$37)</f>
        <v>1503.7392981015182</v>
      </c>
      <c r="O129" s="137">
        <f t="shared" ref="O129" si="1452">+N129*(1+O$37)</f>
        <v>1515.730326433041</v>
      </c>
      <c r="P129" s="137">
        <f t="shared" ref="P129" si="1453">+O129*(1+P$37)</f>
        <v>1527.8169729083663</v>
      </c>
      <c r="Q129" s="137">
        <f t="shared" ref="Q129" si="1454">+P129*(1+Q$37)</f>
        <v>1540.0000000000002</v>
      </c>
      <c r="R129" s="137">
        <f t="shared" ref="R129" si="1455">+Q129*(1+R$37)</f>
        <v>1540.0000000000002</v>
      </c>
      <c r="S129" s="137">
        <f t="shared" ref="S129" si="1456">+R129*(1+S$37)</f>
        <v>1540.0000000000002</v>
      </c>
      <c r="T129" s="137">
        <f t="shared" ref="T129" si="1457">+S129*(1+T$37)</f>
        <v>1540.0000000000002</v>
      </c>
      <c r="U129" s="137">
        <f t="shared" ref="U129" si="1458">+T129*(1+U$37)</f>
        <v>1540.0000000000002</v>
      </c>
      <c r="V129" s="137">
        <f t="shared" ref="V129" si="1459">+U129*(1+V$37)</f>
        <v>1540.0000000000002</v>
      </c>
      <c r="W129" s="137">
        <f t="shared" ref="W129" si="1460">+V129*(1+W$37)</f>
        <v>1540.0000000000002</v>
      </c>
      <c r="X129" s="137">
        <f t="shared" ref="X129" si="1461">+W129*(1+X$37)</f>
        <v>1540.0000000000002</v>
      </c>
      <c r="Y129" s="137">
        <f t="shared" ref="Y129" si="1462">+X129*(1+Y$37)</f>
        <v>1540.0000000000002</v>
      </c>
      <c r="Z129" s="137">
        <f t="shared" ref="Z129" si="1463">+Y129*(1+Z$37)</f>
        <v>1540.0000000000002</v>
      </c>
      <c r="AA129" s="137">
        <f t="shared" ref="AA129" si="1464">+Z129*(1+AA$37)</f>
        <v>1540.0000000000002</v>
      </c>
      <c r="AB129" s="137">
        <f t="shared" ref="AB129" si="1465">+AA129*(1+AB$37)</f>
        <v>1540.0000000000002</v>
      </c>
      <c r="AC129" s="137">
        <f t="shared" ref="AC129" si="1466">+AB129*(1+AC$37)</f>
        <v>1540.0000000000002</v>
      </c>
      <c r="AD129" s="137">
        <f t="shared" ref="AD129" si="1467">+AC129*(1+AD$37)</f>
        <v>1540.0000000000002</v>
      </c>
      <c r="AE129" s="137">
        <f t="shared" ref="AE129" si="1468">+AD129*(1+AE$37)</f>
        <v>1540.0000000000002</v>
      </c>
      <c r="AF129" s="137">
        <f t="shared" ref="AF129" si="1469">+AE129*(1+AF$37)</f>
        <v>1540.0000000000002</v>
      </c>
      <c r="AG129" s="137">
        <f t="shared" ref="AG129" si="1470">+AF129*(1+AG$37)</f>
        <v>1540.0000000000002</v>
      </c>
      <c r="AH129" s="137">
        <f t="shared" ref="AH129" si="1471">+AG129*(1+AH$37)</f>
        <v>1540.0000000000002</v>
      </c>
      <c r="AI129" s="137">
        <f t="shared" ref="AI129" si="1472">+AH129*(1+AI$37)</f>
        <v>1540.0000000000002</v>
      </c>
      <c r="AJ129" s="137">
        <f t="shared" ref="AJ129" si="1473">+AI129*(1+AJ$37)</f>
        <v>1540.0000000000002</v>
      </c>
      <c r="AK129" s="137">
        <f t="shared" ref="AK129" si="1474">+AJ129*(1+AK$37)</f>
        <v>1540.0000000000002</v>
      </c>
      <c r="AL129" s="137">
        <f t="shared" ref="AL129" si="1475">+AK129*(1+AL$37)</f>
        <v>1540.0000000000002</v>
      </c>
      <c r="AM129" s="137">
        <f t="shared" ref="AM129" si="1476">+AL129*(1+AM$37)</f>
        <v>1540.0000000000002</v>
      </c>
      <c r="AN129" s="137">
        <f t="shared" ref="AN129" si="1477">+AM129*(1+AN$37)</f>
        <v>1540.0000000000002</v>
      </c>
      <c r="AO129" s="137">
        <f t="shared" ref="AO129" si="1478">+AN129*(1+AO$37)</f>
        <v>1540.0000000000002</v>
      </c>
      <c r="AP129" s="137">
        <f t="shared" ref="AP129" si="1479">+AO129*(1+AP$37)</f>
        <v>1544.4211840273783</v>
      </c>
      <c r="AQ129" s="137">
        <f t="shared" ref="AQ129" si="1480">+AP129*(1+AQ$37)</f>
        <v>1548.8550608263174</v>
      </c>
      <c r="AR129" s="137">
        <f t="shared" ref="AR129" si="1481">+AQ129*(1+AR$37)</f>
        <v>1553.3016668364792</v>
      </c>
      <c r="AS129" s="137">
        <f t="shared" ref="AS129" si="1482">+AR129*(1+AS$37)</f>
        <v>1557.7610386021397</v>
      </c>
      <c r="AT129" s="137">
        <f t="shared" ref="AT129" si="1483">+AS129*(1+AT$37)</f>
        <v>1562.2332127724901</v>
      </c>
      <c r="AU129" s="137">
        <f t="shared" ref="AU129" si="1484">+AT129*(1+AU$37)</f>
        <v>1566.7182261019377</v>
      </c>
      <c r="AV129" s="137">
        <f t="shared" ref="AV129" si="1485">+AU129*(1+AV$37)</f>
        <v>1571.2161154504079</v>
      </c>
      <c r="AW129" s="137">
        <f t="shared" ref="AW129" si="1486">+AV129*(1+AW$37)</f>
        <v>1575.726917783647</v>
      </c>
      <c r="AX129" s="137">
        <f t="shared" ref="AX129" si="1487">+AW129*(1+AX$37)</f>
        <v>1580.2506701735267</v>
      </c>
      <c r="AY129" s="137">
        <f t="shared" ref="AY129" si="1488">+AX129*(1+AY$37)</f>
        <v>1584.7874097983479</v>
      </c>
      <c r="AZ129" s="137">
        <f t="shared" ref="AZ129" si="1489">+AY129*(1+AZ$37)</f>
        <v>1589.3371739431468</v>
      </c>
      <c r="BA129" s="137">
        <f t="shared" ref="BA129" si="1490">+AZ129*(1+BA$37)</f>
        <v>1593.900000000001</v>
      </c>
      <c r="BB129" s="137">
        <f t="shared" ref="BB129" si="1491">+BA129*(1+BB$37)</f>
        <v>1598.4759254683372</v>
      </c>
      <c r="BC129" s="137">
        <f t="shared" ref="BC129" si="1492">+BB129*(1+BC$37)</f>
        <v>1603.0649879552391</v>
      </c>
      <c r="BD129" s="137">
        <f t="shared" ref="BD129" si="1493">+BC129*(1+BD$37)</f>
        <v>1607.6672251757564</v>
      </c>
      <c r="BE129" s="137">
        <f t="shared" ref="BE129" si="1494">+BD129*(1+BE$37)</f>
        <v>1612.2826749532148</v>
      </c>
      <c r="BF129" s="137">
        <f t="shared" ref="BF129" si="1495">+BE129*(1+BF$37)</f>
        <v>1616.9113752195274</v>
      </c>
      <c r="BG129" s="137">
        <f t="shared" ref="BG129" si="1496">+BF129*(1+BG$37)</f>
        <v>1621.5533640155056</v>
      </c>
      <c r="BH129" s="137">
        <f t="shared" ref="BH129" si="1497">+BG129*(1+BH$37)</f>
        <v>1626.2086794911722</v>
      </c>
      <c r="BI129" s="137">
        <f t="shared" ref="BI129" si="1498">+BH129*(1+BI$37)</f>
        <v>1630.8773599060748</v>
      </c>
      <c r="BJ129" s="137">
        <f t="shared" ref="BJ129" si="1499">+BI129*(1+BJ$37)</f>
        <v>1635.5594436296003</v>
      </c>
      <c r="BK129" s="137">
        <f t="shared" ref="BK129" si="1500">+BJ129*(1+BK$37)</f>
        <v>1640.2549691412903</v>
      </c>
      <c r="BL129" s="137">
        <f t="shared" ref="BL129" si="1501">+BK129*(1+BL$37)</f>
        <v>1644.9639750311571</v>
      </c>
      <c r="BM129" s="137">
        <f t="shared" ref="BM129" si="1502">+BL129*(1+BM$37)</f>
        <v>1649.6865000000014</v>
      </c>
      <c r="BN129" s="137">
        <f t="shared" ref="BN129" si="1503">+BM129*(1+BN$37)</f>
        <v>1654.4225828597293</v>
      </c>
      <c r="BO129" s="137">
        <f t="shared" ref="BO129" si="1504">+BN129*(1+BO$37)</f>
        <v>1659.1722625336729</v>
      </c>
      <c r="BP129" s="137">
        <f t="shared" ref="BP129" si="1505">+BO129*(1+BP$37)</f>
        <v>1663.9355780569083</v>
      </c>
      <c r="BQ129" s="137">
        <f t="shared" ref="BQ129" si="1506">+BP129*(1+BQ$37)</f>
        <v>1668.712568576578</v>
      </c>
      <c r="BR129" s="137">
        <f t="shared" ref="BR129" si="1507">+BQ129*(1+BR$37)</f>
        <v>1673.5032733522116</v>
      </c>
      <c r="BS129" s="137">
        <f t="shared" ref="BS129" si="1508">+BR129*(1+BS$37)</f>
        <v>1678.3077317560492</v>
      </c>
      <c r="BT129" s="137">
        <f t="shared" ref="BT129" si="1509">+BS129*(1+BT$37)</f>
        <v>1683.125983273364</v>
      </c>
      <c r="BU129" s="137">
        <f t="shared" ref="BU129" si="1510">+BT129*(1+BU$37)</f>
        <v>1687.958067502788</v>
      </c>
      <c r="BV129" s="137">
        <f t="shared" ref="BV129" si="1511">+BU129*(1+BV$37)</f>
        <v>1692.8040241566368</v>
      </c>
      <c r="BW129" s="137">
        <f t="shared" ref="BW129" si="1512">+BV129*(1+BW$37)</f>
        <v>1697.663893061236</v>
      </c>
      <c r="BX129" s="137">
        <f t="shared" ref="BX129" si="1513">+BW129*(1+BX$37)</f>
        <v>1702.537714157248</v>
      </c>
      <c r="BY129" s="137">
        <f t="shared" ref="BY129" si="1514">+BX129*(1+BY$37)</f>
        <v>1707.4255275000019</v>
      </c>
      <c r="BZ129" s="137">
        <f t="shared" ref="BZ129" si="1515">+BY129*(1+BZ$37)</f>
        <v>1711.6364994669348</v>
      </c>
      <c r="CA129" s="137">
        <f t="shared" ref="CA129" si="1516">+BZ129*(1+CA$37)</f>
        <v>1715.8578568267417</v>
      </c>
      <c r="CB129" s="137">
        <f t="shared" ref="CB129" si="1517">+CA129*(1+CB$37)</f>
        <v>1720.0896251926033</v>
      </c>
      <c r="CC129" s="137">
        <f t="shared" ref="CC129" si="1518">+CB129*(1+CC$37)</f>
        <v>1724.3318302408691</v>
      </c>
      <c r="CD129" s="137">
        <f t="shared" ref="CD129" si="1519">+CC129*(1+CD$37)</f>
        <v>1728.5844977112133</v>
      </c>
      <c r="CE129" s="137">
        <f t="shared" ref="CE129" si="1520">+CD129*(1+CE$37)</f>
        <v>1732.8476534067913</v>
      </c>
      <c r="CF129" s="137">
        <f t="shared" ref="CF129" si="1521">+CE129*(1+CF$37)</f>
        <v>1737.1213231943959</v>
      </c>
      <c r="CG129" s="137">
        <f t="shared" ref="CG129" si="1522">+CF129*(1+CG$37)</f>
        <v>1741.4055330046144</v>
      </c>
      <c r="CH129" s="137">
        <f t="shared" ref="CH129" si="1523">+CG129*(1+CH$37)</f>
        <v>1745.7003088319861</v>
      </c>
      <c r="CI129" s="137">
        <f t="shared" ref="CI129" si="1524">+CH129*(1+CI$37)</f>
        <v>1750.0056767351598</v>
      </c>
      <c r="CJ129" s="137">
        <f t="shared" ref="CJ129" si="1525">+CI129*(1+CJ$37)</f>
        <v>1754.3216628370517</v>
      </c>
      <c r="CK129" s="137">
        <f t="shared" ref="CK129" si="1526">+CJ129*(1+CK$37)</f>
        <v>1758.6482933250043</v>
      </c>
      <c r="CL129" s="137">
        <f t="shared" ref="CL129" si="1527">+CK129*(1+CL$37)</f>
        <v>1762.9855944509452</v>
      </c>
      <c r="CM129" s="137">
        <f t="shared" ref="CM129" si="1528">+CL129*(1+CM$37)</f>
        <v>1767.3335925315464</v>
      </c>
      <c r="CN129" s="137">
        <f t="shared" ref="CN129" si="1529">+CM129*(1+CN$37)</f>
        <v>1771.6923139483838</v>
      </c>
      <c r="CO129" s="137">
        <f t="shared" ref="CO129" si="1530">+CN129*(1+CO$37)</f>
        <v>1776.0617851480974</v>
      </c>
      <c r="CP129" s="137">
        <f t="shared" ref="CP129" si="1531">+CO129*(1+CP$37)</f>
        <v>1780.442032642552</v>
      </c>
      <c r="CQ129" s="137">
        <f t="shared" ref="CQ129" si="1532">+CP129*(1+CQ$37)</f>
        <v>1784.8330830089974</v>
      </c>
      <c r="CR129" s="137">
        <f t="shared" ref="CR129" si="1533">+CQ129*(1+CR$37)</f>
        <v>1789.23496289023</v>
      </c>
      <c r="CS129" s="137">
        <f t="shared" ref="CS129" si="1534">+CR129*(1+CS$37)</f>
        <v>1793.647698994755</v>
      </c>
      <c r="CT129" s="137">
        <f t="shared" ref="CT129" si="1535">+CS129*(1+CT$37)</f>
        <v>1798.0713180969478</v>
      </c>
      <c r="CU129" s="137">
        <f t="shared" ref="CU129" si="1536">+CT129*(1+CU$37)</f>
        <v>1802.5058470372167</v>
      </c>
      <c r="CV129" s="137">
        <f t="shared" ref="CV129" si="1537">+CU129*(1+CV$37)</f>
        <v>1806.9513127221651</v>
      </c>
      <c r="CW129" s="137">
        <f t="shared" ref="CW129" si="1538">+CV129*(1+CW$37)</f>
        <v>1811.4077421247562</v>
      </c>
      <c r="CX129" s="137">
        <f t="shared" ref="CX129" si="1539">+CW129*(1+CX$37)</f>
        <v>1815.8751622844754</v>
      </c>
      <c r="CY129" s="137">
        <f t="shared" ref="CY129" si="1540">+CX129*(1+CY$37)</f>
        <v>1820.3536003074946</v>
      </c>
      <c r="CZ129" s="137">
        <f t="shared" ref="CZ129" si="1541">+CY129*(1+CZ$37)</f>
        <v>1824.8430833668372</v>
      </c>
      <c r="DA129" s="137">
        <f t="shared" ref="DA129" si="1542">+CZ129*(1+DA$37)</f>
        <v>1829.3436387025422</v>
      </c>
      <c r="DB129" s="137">
        <f t="shared" ref="DB129" si="1543">+DA129*(1+DB$37)</f>
        <v>1833.8552936218302</v>
      </c>
      <c r="DC129" s="137">
        <f t="shared" ref="DC129" si="1544">+DB129*(1+DC$37)</f>
        <v>1838.3780754992688</v>
      </c>
      <c r="DD129" s="137">
        <f t="shared" ref="DD129" si="1545">+DC129*(1+DD$37)</f>
        <v>1842.9120117769385</v>
      </c>
      <c r="DE129" s="137">
        <f t="shared" ref="DE129" si="1546">+DD129*(1+DE$37)</f>
        <v>1847.4571299645993</v>
      </c>
      <c r="DF129" s="137">
        <f t="shared" ref="DF129" si="1547">+DE129*(1+DF$37)</f>
        <v>1852.013457639858</v>
      </c>
      <c r="DG129" s="137">
        <f t="shared" ref="DG129" si="1548">+DF129*(1+DG$37)</f>
        <v>1856.5810224483348</v>
      </c>
      <c r="DH129" s="137">
        <f t="shared" ref="DH129" si="1549">+DG129*(1+DH$37)</f>
        <v>1861.1598521038318</v>
      </c>
      <c r="DI129" s="137">
        <f t="shared" ref="DI129" si="1550">+DH129*(1+DI$37)</f>
        <v>1865.7499743885007</v>
      </c>
    </row>
    <row r="130" spans="2:113" customFormat="1" outlineLevel="1" x14ac:dyDescent="0.25">
      <c r="B130" s="1"/>
      <c r="C130" s="60" t="s">
        <v>249</v>
      </c>
      <c r="D130" s="46" t="s">
        <v>125</v>
      </c>
      <c r="E130" s="1"/>
      <c r="F130" s="224">
        <f>IF(F$35=EOMONTH($E113,1),F129,IF(AND(F$35&gt;EOMONTH($E113,1),F$35&lt;=$E115),E130*(1+F116),0))</f>
        <v>0</v>
      </c>
      <c r="G130" s="224">
        <f t="shared" ref="G130" si="1551">IF(G$35=EOMONTH($E113,1),G129,IF(AND(G$35&gt;EOMONTH($E113,1),G$35&lt;=$E115),F130*(1+G116),0))</f>
        <v>0</v>
      </c>
      <c r="H130" s="224">
        <f t="shared" ref="H130" si="1552">IF(H$35=EOMONTH($E113,1),H129,IF(AND(H$35&gt;EOMONTH($E113,1),H$35&lt;=$E115),G130*(1+H116),0))</f>
        <v>0</v>
      </c>
      <c r="I130" s="224">
        <f t="shared" ref="I130" si="1553">IF(I$35=EOMONTH($E113,1),I129,IF(AND(I$35&gt;EOMONTH($E113,1),I$35&lt;=$E115),H130*(1+I116),0))</f>
        <v>0</v>
      </c>
      <c r="J130" s="224">
        <f t="shared" ref="J130" si="1554">IF(J$35=EOMONTH($E113,1),J129,IF(AND(J$35&gt;EOMONTH($E113,1),J$35&lt;=$E115),I130*(1+J116),0))</f>
        <v>0</v>
      </c>
      <c r="K130" s="224">
        <f t="shared" ref="K130" si="1555">IF(K$35=EOMONTH($E113,1),K129,IF(AND(K$35&gt;EOMONTH($E113,1),K$35&lt;=$E115),J130*(1+K116),0))</f>
        <v>0</v>
      </c>
      <c r="L130" s="224">
        <f t="shared" ref="L130" si="1556">IF(L$35=EOMONTH($E113,1),L129,IF(AND(L$35&gt;EOMONTH($E113,1),L$35&lt;=$E115),K130*(1+L116),0))</f>
        <v>0</v>
      </c>
      <c r="M130" s="224">
        <f t="shared" ref="M130" si="1557">IF(M$35=EOMONTH($E113,1),M129,IF(AND(M$35&gt;EOMONTH($E113,1),M$35&lt;=$E115),L130*(1+M116),0))</f>
        <v>0</v>
      </c>
      <c r="N130" s="224">
        <f t="shared" ref="N130" si="1558">IF(N$35=EOMONTH($E113,1),N129,IF(AND(N$35&gt;EOMONTH($E113,1),N$35&lt;=$E115),M130*(1+N116),0))</f>
        <v>0</v>
      </c>
      <c r="O130" s="224">
        <f t="shared" ref="O130" si="1559">IF(O$35=EOMONTH($E113,1),O129,IF(AND(O$35&gt;EOMONTH($E113,1),O$35&lt;=$E115),N130*(1+O116),0))</f>
        <v>0</v>
      </c>
      <c r="P130" s="224">
        <f t="shared" ref="P130" si="1560">IF(P$35=EOMONTH($E113,1),P129,IF(AND(P$35&gt;EOMONTH($E113,1),P$35&lt;=$E115),O130*(1+P116),0))</f>
        <v>0</v>
      </c>
      <c r="Q130" s="224">
        <f t="shared" ref="Q130" si="1561">IF(Q$35=EOMONTH($E113,1),Q129,IF(AND(Q$35&gt;EOMONTH($E113,1),Q$35&lt;=$E115),P130*(1+Q116),0))</f>
        <v>0</v>
      </c>
      <c r="R130" s="224">
        <f t="shared" ref="R130" si="1562">IF(R$35=EOMONTH($E113,1),R129,IF(AND(R$35&gt;EOMONTH($E113,1),R$35&lt;=$E115),Q130*(1+R116),0))</f>
        <v>0</v>
      </c>
      <c r="S130" s="224">
        <f t="shared" ref="S130" si="1563">IF(S$35=EOMONTH($E113,1),S129,IF(AND(S$35&gt;EOMONTH($E113,1),S$35&lt;=$E115),R130*(1+S116),0))</f>
        <v>0</v>
      </c>
      <c r="T130" s="224">
        <f t="shared" ref="T130" si="1564">IF(T$35=EOMONTH($E113,1),T129,IF(AND(T$35&gt;EOMONTH($E113,1),T$35&lt;=$E115),S130*(1+T116),0))</f>
        <v>0</v>
      </c>
      <c r="U130" s="224">
        <f t="shared" ref="U130" si="1565">IF(U$35=EOMONTH($E113,1),U129,IF(AND(U$35&gt;EOMONTH($E113,1),U$35&lt;=$E115),T130*(1+U116),0))</f>
        <v>0</v>
      </c>
      <c r="V130" s="224">
        <f t="shared" ref="V130" si="1566">IF(V$35=EOMONTH($E113,1),V129,IF(AND(V$35&gt;EOMONTH($E113,1),V$35&lt;=$E115),U130*(1+V116),0))</f>
        <v>0</v>
      </c>
      <c r="W130" s="224">
        <f t="shared" ref="W130" si="1567">IF(W$35=EOMONTH($E113,1),W129,IF(AND(W$35&gt;EOMONTH($E113,1),W$35&lt;=$E115),V130*(1+W116),0))</f>
        <v>0</v>
      </c>
      <c r="X130" s="224">
        <f t="shared" ref="X130" si="1568">IF(X$35=EOMONTH($E113,1),X129,IF(AND(X$35&gt;EOMONTH($E113,1),X$35&lt;=$E115),W130*(1+X116),0))</f>
        <v>0</v>
      </c>
      <c r="Y130" s="224">
        <f t="shared" ref="Y130" si="1569">IF(Y$35=EOMONTH($E113,1),Y129,IF(AND(Y$35&gt;EOMONTH($E113,1),Y$35&lt;=$E115),X130*(1+Y116),0))</f>
        <v>0</v>
      </c>
      <c r="Z130" s="224">
        <f t="shared" ref="Z130" si="1570">IF(Z$35=EOMONTH($E113,1),Z129,IF(AND(Z$35&gt;EOMONTH($E113,1),Z$35&lt;=$E115),Y130*(1+Z116),0))</f>
        <v>0</v>
      </c>
      <c r="AA130" s="224">
        <f t="shared" ref="AA130" si="1571">IF(AA$35=EOMONTH($E113,1),AA129,IF(AND(AA$35&gt;EOMONTH($E113,1),AA$35&lt;=$E115),Z130*(1+AA116),0))</f>
        <v>0</v>
      </c>
      <c r="AB130" s="224">
        <f t="shared" ref="AB130" si="1572">IF(AB$35=EOMONTH($E113,1),AB129,IF(AND(AB$35&gt;EOMONTH($E113,1),AB$35&lt;=$E115),AA130*(1+AB116),0))</f>
        <v>0</v>
      </c>
      <c r="AC130" s="224">
        <f t="shared" ref="AC130" si="1573">IF(AC$35=EOMONTH($E113,1),AC129,IF(AND(AC$35&gt;EOMONTH($E113,1),AC$35&lt;=$E115),AB130*(1+AC116),0))</f>
        <v>0</v>
      </c>
      <c r="AD130" s="224">
        <f t="shared" ref="AD130" si="1574">IF(AD$35=EOMONTH($E113,1),AD129,IF(AND(AD$35&gt;EOMONTH($E113,1),AD$35&lt;=$E115),AC130*(1+AD116),0))</f>
        <v>0</v>
      </c>
      <c r="AE130" s="224">
        <f t="shared" ref="AE130" si="1575">IF(AE$35=EOMONTH($E113,1),AE129,IF(AND(AE$35&gt;EOMONTH($E113,1),AE$35&lt;=$E115),AD130*(1+AE116),0))</f>
        <v>0</v>
      </c>
      <c r="AF130" s="224">
        <f t="shared" ref="AF130" si="1576">IF(AF$35=EOMONTH($E113,1),AF129,IF(AND(AF$35&gt;EOMONTH($E113,1),AF$35&lt;=$E115),AE130*(1+AF116),0))</f>
        <v>0</v>
      </c>
      <c r="AG130" s="224">
        <f t="shared" ref="AG130" si="1577">IF(AG$35=EOMONTH($E113,1),AG129,IF(AND(AG$35&gt;EOMONTH($E113,1),AG$35&lt;=$E115),AF130*(1+AG116),0))</f>
        <v>0</v>
      </c>
      <c r="AH130" s="224">
        <f t="shared" ref="AH130" si="1578">IF(AH$35=EOMONTH($E113,1),AH129,IF(AND(AH$35&gt;EOMONTH($E113,1),AH$35&lt;=$E115),AG130*(1+AH116),0))</f>
        <v>0</v>
      </c>
      <c r="AI130" s="224">
        <f t="shared" ref="AI130" si="1579">IF(AI$35=EOMONTH($E113,1),AI129,IF(AND(AI$35&gt;EOMONTH($E113,1),AI$35&lt;=$E115),AH130*(1+AI116),0))</f>
        <v>0</v>
      </c>
      <c r="AJ130" s="224">
        <f t="shared" ref="AJ130" si="1580">IF(AJ$35=EOMONTH($E113,1),AJ129,IF(AND(AJ$35&gt;EOMONTH($E113,1),AJ$35&lt;=$E115),AI130*(1+AJ116),0))</f>
        <v>0</v>
      </c>
      <c r="AK130" s="224">
        <f t="shared" ref="AK130" si="1581">IF(AK$35=EOMONTH($E113,1),AK129,IF(AND(AK$35&gt;EOMONTH($E113,1),AK$35&lt;=$E115),AJ130*(1+AK116),0))</f>
        <v>0</v>
      </c>
      <c r="AL130" s="224">
        <f t="shared" ref="AL130" si="1582">IF(AL$35=EOMONTH($E113,1),AL129,IF(AND(AL$35&gt;EOMONTH($E113,1),AL$35&lt;=$E115),AK130*(1+AL116),0))</f>
        <v>0</v>
      </c>
      <c r="AM130" s="224">
        <f t="shared" ref="AM130" si="1583">IF(AM$35=EOMONTH($E113,1),AM129,IF(AND(AM$35&gt;EOMONTH($E113,1),AM$35&lt;=$E115),AL130*(1+AM116),0))</f>
        <v>0</v>
      </c>
      <c r="AN130" s="224">
        <f t="shared" ref="AN130" si="1584">IF(AN$35=EOMONTH($E113,1),AN129,IF(AND(AN$35&gt;EOMONTH($E113,1),AN$35&lt;=$E115),AM130*(1+AN116),0))</f>
        <v>0</v>
      </c>
      <c r="AO130" s="224">
        <f t="shared" ref="AO130" si="1585">IF(AO$35=EOMONTH($E113,1),AO129,IF(AND(AO$35&gt;EOMONTH($E113,1),AO$35&lt;=$E115),AN130*(1+AO116),0))</f>
        <v>0</v>
      </c>
      <c r="AP130" s="224">
        <f t="shared" ref="AP130" si="1586">IF(AP$35=EOMONTH($E113,1),AP129,IF(AND(AP$35&gt;EOMONTH($E113,1),AP$35&lt;=$E115),AO130*(1+AP116),0))</f>
        <v>0</v>
      </c>
      <c r="AQ130" s="224">
        <f t="shared" ref="AQ130" si="1587">IF(AQ$35=EOMONTH($E113,1),AQ129,IF(AND(AQ$35&gt;EOMONTH($E113,1),AQ$35&lt;=$E115),AP130*(1+AQ116),0))</f>
        <v>0</v>
      </c>
      <c r="AR130" s="224">
        <f t="shared" ref="AR130" si="1588">IF(AR$35=EOMONTH($E113,1),AR129,IF(AND(AR$35&gt;EOMONTH($E113,1),AR$35&lt;=$E115),AQ130*(1+AR116),0))</f>
        <v>0</v>
      </c>
      <c r="AS130" s="224">
        <f t="shared" ref="AS130" si="1589">IF(AS$35=EOMONTH($E113,1),AS129,IF(AND(AS$35&gt;EOMONTH($E113,1),AS$35&lt;=$E115),AR130*(1+AS116),0))</f>
        <v>0</v>
      </c>
      <c r="AT130" s="224">
        <f t="shared" ref="AT130" si="1590">IF(AT$35=EOMONTH($E113,1),AT129,IF(AND(AT$35&gt;EOMONTH($E113,1),AT$35&lt;=$E115),AS130*(1+AT116),0))</f>
        <v>0</v>
      </c>
      <c r="AU130" s="224">
        <f t="shared" ref="AU130" si="1591">IF(AU$35=EOMONTH($E113,1),AU129,IF(AND(AU$35&gt;EOMONTH($E113,1),AU$35&lt;=$E115),AT130*(1+AU116),0))</f>
        <v>0</v>
      </c>
      <c r="AV130" s="224">
        <f t="shared" ref="AV130" si="1592">IF(AV$35=EOMONTH($E113,1),AV129,IF(AND(AV$35&gt;EOMONTH($E113,1),AV$35&lt;=$E115),AU130*(1+AV116),0))</f>
        <v>0</v>
      </c>
      <c r="AW130" s="224">
        <f t="shared" ref="AW130" si="1593">IF(AW$35=EOMONTH($E113,1),AW129,IF(AND(AW$35&gt;EOMONTH($E113,1),AW$35&lt;=$E115),AV130*(1+AW116),0))</f>
        <v>0</v>
      </c>
      <c r="AX130" s="224">
        <f t="shared" ref="AX130" si="1594">IF(AX$35=EOMONTH($E113,1),AX129,IF(AND(AX$35&gt;EOMONTH($E113,1),AX$35&lt;=$E115),AW130*(1+AX116),0))</f>
        <v>0</v>
      </c>
      <c r="AY130" s="224">
        <f t="shared" ref="AY130" si="1595">IF(AY$35=EOMONTH($E113,1),AY129,IF(AND(AY$35&gt;EOMONTH($E113,1),AY$35&lt;=$E115),AX130*(1+AY116),0))</f>
        <v>0</v>
      </c>
      <c r="AZ130" s="224">
        <f t="shared" ref="AZ130" si="1596">IF(AZ$35=EOMONTH($E113,1),AZ129,IF(AND(AZ$35&gt;EOMONTH($E113,1),AZ$35&lt;=$E115),AY130*(1+AZ116),0))</f>
        <v>0</v>
      </c>
      <c r="BA130" s="224">
        <f t="shared" ref="BA130" si="1597">IF(BA$35=EOMONTH($E113,1),BA129,IF(AND(BA$35&gt;EOMONTH($E113,1),BA$35&lt;=$E115),AZ130*(1+BA116),0))</f>
        <v>0</v>
      </c>
      <c r="BB130" s="224">
        <f t="shared" ref="BB130" si="1598">IF(BB$35=EOMONTH($E113,1),BB129,IF(AND(BB$35&gt;EOMONTH($E113,1),BB$35&lt;=$E115),BA130*(1+BB116),0))</f>
        <v>0</v>
      </c>
      <c r="BC130" s="224">
        <f t="shared" ref="BC130" si="1599">IF(BC$35=EOMONTH($E113,1),BC129,IF(AND(BC$35&gt;EOMONTH($E113,1),BC$35&lt;=$E115),BB130*(1+BC116),0))</f>
        <v>0</v>
      </c>
      <c r="BD130" s="224">
        <f t="shared" ref="BD130" si="1600">IF(BD$35=EOMONTH($E113,1),BD129,IF(AND(BD$35&gt;EOMONTH($E113,1),BD$35&lt;=$E115),BC130*(1+BD116),0))</f>
        <v>0</v>
      </c>
      <c r="BE130" s="224">
        <f t="shared" ref="BE130" si="1601">IF(BE$35=EOMONTH($E113,1),BE129,IF(AND(BE$35&gt;EOMONTH($E113,1),BE$35&lt;=$E115),BD130*(1+BE116),0))</f>
        <v>0</v>
      </c>
      <c r="BF130" s="224">
        <f t="shared" ref="BF130" si="1602">IF(BF$35=EOMONTH($E113,1),BF129,IF(AND(BF$35&gt;EOMONTH($E113,1),BF$35&lt;=$E115),BE130*(1+BF116),0))</f>
        <v>0</v>
      </c>
      <c r="BG130" s="224">
        <f t="shared" ref="BG130" si="1603">IF(BG$35=EOMONTH($E113,1),BG129,IF(AND(BG$35&gt;EOMONTH($E113,1),BG$35&lt;=$E115),BF130*(1+BG116),0))</f>
        <v>0</v>
      </c>
      <c r="BH130" s="224">
        <f t="shared" ref="BH130" si="1604">IF(BH$35=EOMONTH($E113,1),BH129,IF(AND(BH$35&gt;EOMONTH($E113,1),BH$35&lt;=$E115),BG130*(1+BH116),0))</f>
        <v>0</v>
      </c>
      <c r="BI130" s="224">
        <f t="shared" ref="BI130" si="1605">IF(BI$35=EOMONTH($E113,1),BI129,IF(AND(BI$35&gt;EOMONTH($E113,1),BI$35&lt;=$E115),BH130*(1+BI116),0))</f>
        <v>0</v>
      </c>
      <c r="BJ130" s="224">
        <f t="shared" ref="BJ130" si="1606">IF(BJ$35=EOMONTH($E113,1),BJ129,IF(AND(BJ$35&gt;EOMONTH($E113,1),BJ$35&lt;=$E115),BI130*(1+BJ116),0))</f>
        <v>0</v>
      </c>
      <c r="BK130" s="224">
        <f t="shared" ref="BK130" si="1607">IF(BK$35=EOMONTH($E113,1),BK129,IF(AND(BK$35&gt;EOMONTH($E113,1),BK$35&lt;=$E115),BJ130*(1+BK116),0))</f>
        <v>0</v>
      </c>
      <c r="BL130" s="224">
        <f t="shared" ref="BL130" si="1608">IF(BL$35=EOMONTH($E113,1),BL129,IF(AND(BL$35&gt;EOMONTH($E113,1),BL$35&lt;=$E115),BK130*(1+BL116),0))</f>
        <v>1644.9639750311571</v>
      </c>
      <c r="BM130" s="224">
        <f t="shared" ref="BM130" si="1609">IF(BM$35=EOMONTH($E113,1),BM129,IF(AND(BM$35&gt;EOMONTH($E113,1),BM$35&lt;=$E115),BL130*(1+BM116),0))</f>
        <v>1644.9639750311571</v>
      </c>
      <c r="BN130" s="224">
        <f t="shared" ref="BN130" si="1610">IF(BN$35=EOMONTH($E113,1),BN129,IF(AND(BN$35&gt;EOMONTH($E113,1),BN$35&lt;=$E115),BM130*(1+BN116),0))</f>
        <v>1644.9639750311571</v>
      </c>
      <c r="BO130" s="224">
        <f t="shared" ref="BO130" si="1611">IF(BO$35=EOMONTH($E113,1),BO129,IF(AND(BO$35&gt;EOMONTH($E113,1),BO$35&lt;=$E115),BN130*(1+BO116),0))</f>
        <v>1644.9639750311571</v>
      </c>
      <c r="BP130" s="224">
        <f t="shared" ref="BP130" si="1612">IF(BP$35=EOMONTH($E113,1),BP129,IF(AND(BP$35&gt;EOMONTH($E113,1),BP$35&lt;=$E115),BO130*(1+BP116),0))</f>
        <v>1644.9639750311571</v>
      </c>
      <c r="BQ130" s="224">
        <f t="shared" ref="BQ130" si="1613">IF(BQ$35=EOMONTH($E113,1),BQ129,IF(AND(BQ$35&gt;EOMONTH($E113,1),BQ$35&lt;=$E115),BP130*(1+BQ116),0))</f>
        <v>1644.9639750311571</v>
      </c>
      <c r="BR130" s="224">
        <f t="shared" ref="BR130" si="1614">IF(BR$35=EOMONTH($E113,1),BR129,IF(AND(BR$35&gt;EOMONTH($E113,1),BR$35&lt;=$E115),BQ130*(1+BR116),0))</f>
        <v>1644.9639750311571</v>
      </c>
      <c r="BS130" s="224">
        <f t="shared" ref="BS130" si="1615">IF(BS$35=EOMONTH($E113,1),BS129,IF(AND(BS$35&gt;EOMONTH($E113,1),BS$35&lt;=$E115),BR130*(1+BS116),0))</f>
        <v>1644.9639750311571</v>
      </c>
      <c r="BT130" s="224">
        <f t="shared" ref="BT130" si="1616">IF(BT$35=EOMONTH($E113,1),BT129,IF(AND(BT$35&gt;EOMONTH($E113,1),BT$35&lt;=$E115),BS130*(1+BT116),0))</f>
        <v>1644.9639750311571</v>
      </c>
      <c r="BU130" s="224">
        <f t="shared" ref="BU130" si="1617">IF(BU$35=EOMONTH($E113,1),BU129,IF(AND(BU$35&gt;EOMONTH($E113,1),BU$35&lt;=$E115),BT130*(1+BU116),0))</f>
        <v>1644.9639750311571</v>
      </c>
      <c r="BV130" s="224">
        <f t="shared" ref="BV130" si="1618">IF(BV$35=EOMONTH($E113,1),BV129,IF(AND(BV$35&gt;EOMONTH($E113,1),BV$35&lt;=$E115),BU130*(1+BV116),0))</f>
        <v>1644.9639750311571</v>
      </c>
      <c r="BW130" s="224">
        <f t="shared" ref="BW130" si="1619">IF(BW$35=EOMONTH($E113,1),BW129,IF(AND(BW$35&gt;EOMONTH($E113,1),BW$35&lt;=$E115),BV130*(1+BW116),0))</f>
        <v>1644.9639750311571</v>
      </c>
      <c r="BX130" s="224">
        <f t="shared" ref="BX130" si="1620">IF(BX$35=EOMONTH($E113,1),BX129,IF(AND(BX$35&gt;EOMONTH($E113,1),BX$35&lt;=$E115),BW130*(1+BX116),0))</f>
        <v>1681.9756644693582</v>
      </c>
      <c r="BY130" s="224">
        <f t="shared" ref="BY130" si="1621">IF(BY$35=EOMONTH($E113,1),BY129,IF(AND(BY$35&gt;EOMONTH($E113,1),BY$35&lt;=$E115),BX130*(1+BY116),0))</f>
        <v>1681.9756644693582</v>
      </c>
      <c r="BZ130" s="224">
        <f t="shared" ref="BZ130" si="1622">IF(BZ$35=EOMONTH($E113,1),BZ129,IF(AND(BZ$35&gt;EOMONTH($E113,1),BZ$35&lt;=$E115),BY130*(1+BZ116),0))</f>
        <v>1681.9756644693582</v>
      </c>
      <c r="CA130" s="224">
        <f t="shared" ref="CA130" si="1623">IF(CA$35=EOMONTH($E113,1),CA129,IF(AND(CA$35&gt;EOMONTH($E113,1),CA$35&lt;=$E115),BZ130*(1+CA116),0))</f>
        <v>1681.9756644693582</v>
      </c>
      <c r="CB130" s="224">
        <f t="shared" ref="CB130" si="1624">IF(CB$35=EOMONTH($E113,1),CB129,IF(AND(CB$35&gt;EOMONTH($E113,1),CB$35&lt;=$E115),CA130*(1+CB116),0))</f>
        <v>1681.9756644693582</v>
      </c>
      <c r="CC130" s="224">
        <f t="shared" ref="CC130" si="1625">IF(CC$35=EOMONTH($E113,1),CC129,IF(AND(CC$35&gt;EOMONTH($E113,1),CC$35&lt;=$E115),CB130*(1+CC116),0))</f>
        <v>1681.9756644693582</v>
      </c>
      <c r="CD130" s="224">
        <f t="shared" ref="CD130" si="1626">IF(CD$35=EOMONTH($E113,1),CD129,IF(AND(CD$35&gt;EOMONTH($E113,1),CD$35&lt;=$E115),CC130*(1+CD116),0))</f>
        <v>1681.9756644693582</v>
      </c>
      <c r="CE130" s="224">
        <f t="shared" ref="CE130" si="1627">IF(CE$35=EOMONTH($E113,1),CE129,IF(AND(CE$35&gt;EOMONTH($E113,1),CE$35&lt;=$E115),CD130*(1+CE116),0))</f>
        <v>1681.9756644693582</v>
      </c>
      <c r="CF130" s="224">
        <f t="shared" ref="CF130" si="1628">IF(CF$35=EOMONTH($E113,1),CF129,IF(AND(CF$35&gt;EOMONTH($E113,1),CF$35&lt;=$E115),CE130*(1+CF116),0))</f>
        <v>1681.9756644693582</v>
      </c>
      <c r="CG130" s="224">
        <f t="shared" ref="CG130" si="1629">IF(CG$35=EOMONTH($E113,1),CG129,IF(AND(CG$35&gt;EOMONTH($E113,1),CG$35&lt;=$E115),CF130*(1+CG116),0))</f>
        <v>1681.9756644693582</v>
      </c>
      <c r="CH130" s="224">
        <f t="shared" ref="CH130" si="1630">IF(CH$35=EOMONTH($E113,1),CH129,IF(AND(CH$35&gt;EOMONTH($E113,1),CH$35&lt;=$E115),CG130*(1+CH116),0))</f>
        <v>1681.9756644693582</v>
      </c>
      <c r="CI130" s="224">
        <f t="shared" ref="CI130" si="1631">IF(CI$35=EOMONTH($E113,1),CI129,IF(AND(CI$35&gt;EOMONTH($E113,1),CI$35&lt;=$E115),CH130*(1+CI116),0))</f>
        <v>1681.9756644693582</v>
      </c>
      <c r="CJ130" s="224">
        <f t="shared" ref="CJ130" si="1632">IF(CJ$35=EOMONTH($E113,1),CJ129,IF(AND(CJ$35&gt;EOMONTH($E113,1),CJ$35&lt;=$E115),CI130*(1+CJ116),0))</f>
        <v>1719.8201169199187</v>
      </c>
      <c r="CK130" s="224">
        <f t="shared" ref="CK130" si="1633">IF(CK$35=EOMONTH($E113,1),CK129,IF(AND(CK$35&gt;EOMONTH($E113,1),CK$35&lt;=$E115),CJ130*(1+CK116),0))</f>
        <v>1719.8201169199187</v>
      </c>
      <c r="CL130" s="224">
        <f t="shared" ref="CL130" si="1634">IF(CL$35=EOMONTH($E113,1),CL129,IF(AND(CL$35&gt;EOMONTH($E113,1),CL$35&lt;=$E115),CK130*(1+CL116),0))</f>
        <v>1719.8201169199187</v>
      </c>
      <c r="CM130" s="224">
        <f t="shared" ref="CM130" si="1635">IF(CM$35=EOMONTH($E113,1),CM129,IF(AND(CM$35&gt;EOMONTH($E113,1),CM$35&lt;=$E115),CL130*(1+CM116),0))</f>
        <v>1719.8201169199187</v>
      </c>
      <c r="CN130" s="224">
        <f t="shared" ref="CN130" si="1636">IF(CN$35=EOMONTH($E113,1),CN129,IF(AND(CN$35&gt;EOMONTH($E113,1),CN$35&lt;=$E115),CM130*(1+CN116),0))</f>
        <v>1719.8201169199187</v>
      </c>
      <c r="CO130" s="224">
        <f t="shared" ref="CO130" si="1637">IF(CO$35=EOMONTH($E113,1),CO129,IF(AND(CO$35&gt;EOMONTH($E113,1),CO$35&lt;=$E115),CN130*(1+CO116),0))</f>
        <v>1719.8201169199187</v>
      </c>
      <c r="CP130" s="224">
        <f t="shared" ref="CP130" si="1638">IF(CP$35=EOMONTH($E113,1),CP129,IF(AND(CP$35&gt;EOMONTH($E113,1),CP$35&lt;=$E115),CO130*(1+CP116),0))</f>
        <v>1719.8201169199187</v>
      </c>
      <c r="CQ130" s="224">
        <f t="shared" ref="CQ130" si="1639">IF(CQ$35=EOMONTH($E113,1),CQ129,IF(AND(CQ$35&gt;EOMONTH($E113,1),CQ$35&lt;=$E115),CP130*(1+CQ116),0))</f>
        <v>1719.8201169199187</v>
      </c>
      <c r="CR130" s="224">
        <f t="shared" ref="CR130" si="1640">IF(CR$35=EOMONTH($E113,1),CR129,IF(AND(CR$35&gt;EOMONTH($E113,1),CR$35&lt;=$E115),CQ130*(1+CR116),0))</f>
        <v>1719.8201169199187</v>
      </c>
      <c r="CS130" s="224">
        <f t="shared" ref="CS130" si="1641">IF(CS$35=EOMONTH($E113,1),CS129,IF(AND(CS$35&gt;EOMONTH($E113,1),CS$35&lt;=$E115),CR130*(1+CS116),0))</f>
        <v>1719.8201169199187</v>
      </c>
      <c r="CT130" s="224">
        <f t="shared" ref="CT130" si="1642">IF(CT$35=EOMONTH($E113,1),CT129,IF(AND(CT$35&gt;EOMONTH($E113,1),CT$35&lt;=$E115),CS130*(1+CT116),0))</f>
        <v>1719.8201169199187</v>
      </c>
      <c r="CU130" s="224">
        <f t="shared" ref="CU130" si="1643">IF(CU$35=EOMONTH($E113,1),CU129,IF(AND(CU$35&gt;EOMONTH($E113,1),CU$35&lt;=$E115),CT130*(1+CU116),0))</f>
        <v>1719.8201169199187</v>
      </c>
      <c r="CV130" s="224">
        <f t="shared" ref="CV130" si="1644">IF(CV$35=EOMONTH($E113,1),CV129,IF(AND(CV$35&gt;EOMONTH($E113,1),CV$35&lt;=$E115),CU130*(1+CV116),0))</f>
        <v>1758.5160695506167</v>
      </c>
      <c r="CW130" s="224">
        <f t="shared" ref="CW130" si="1645">IF(CW$35=EOMONTH($E113,1),CW129,IF(AND(CW$35&gt;EOMONTH($E113,1),CW$35&lt;=$E115),CV130*(1+CW116),0))</f>
        <v>1758.5160695506167</v>
      </c>
      <c r="CX130" s="224">
        <f t="shared" ref="CX130" si="1646">IF(CX$35=EOMONTH($E113,1),CX129,IF(AND(CX$35&gt;EOMONTH($E113,1),CX$35&lt;=$E115),CW130*(1+CX116),0))</f>
        <v>1758.5160695506167</v>
      </c>
      <c r="CY130" s="224">
        <f t="shared" ref="CY130" si="1647">IF(CY$35=EOMONTH($E113,1),CY129,IF(AND(CY$35&gt;EOMONTH($E113,1),CY$35&lt;=$E115),CX130*(1+CY116),0))</f>
        <v>1758.5160695506167</v>
      </c>
      <c r="CZ130" s="224">
        <f t="shared" ref="CZ130" si="1648">IF(CZ$35=EOMONTH($E113,1),CZ129,IF(AND(CZ$35&gt;EOMONTH($E113,1),CZ$35&lt;=$E115),CY130*(1+CZ116),0))</f>
        <v>1758.5160695506167</v>
      </c>
      <c r="DA130" s="224">
        <f t="shared" ref="DA130" si="1649">IF(DA$35=EOMONTH($E113,1),DA129,IF(AND(DA$35&gt;EOMONTH($E113,1),DA$35&lt;=$E115),CZ130*(1+DA116),0))</f>
        <v>1758.5160695506167</v>
      </c>
      <c r="DB130" s="224">
        <f t="shared" ref="DB130" si="1650">IF(DB$35=EOMONTH($E113,1),DB129,IF(AND(DB$35&gt;EOMONTH($E113,1),DB$35&lt;=$E115),DA130*(1+DB116),0))</f>
        <v>1758.5160695506167</v>
      </c>
      <c r="DC130" s="224">
        <f t="shared" ref="DC130" si="1651">IF(DC$35=EOMONTH($E113,1),DC129,IF(AND(DC$35&gt;EOMONTH($E113,1),DC$35&lt;=$E115),DB130*(1+DC116),0))</f>
        <v>1758.5160695506167</v>
      </c>
      <c r="DD130" s="224">
        <f t="shared" ref="DD130" si="1652">IF(DD$35=EOMONTH($E113,1),DD129,IF(AND(DD$35&gt;EOMONTH($E113,1),DD$35&lt;=$E115),DC130*(1+DD116),0))</f>
        <v>1758.5160695506167</v>
      </c>
      <c r="DE130" s="224">
        <f t="shared" ref="DE130" si="1653">IF(DE$35=EOMONTH($E113,1),DE129,IF(AND(DE$35&gt;EOMONTH($E113,1),DE$35&lt;=$E115),DD130*(1+DE116),0))</f>
        <v>1758.5160695506167</v>
      </c>
      <c r="DF130" s="224">
        <f t="shared" ref="DF130" si="1654">IF(DF$35=EOMONTH($E113,1),DF129,IF(AND(DF$35&gt;EOMONTH($E113,1),DF$35&lt;=$E115),DE130*(1+DF116),0))</f>
        <v>1758.5160695506167</v>
      </c>
      <c r="DG130" s="224">
        <f t="shared" ref="DG130" si="1655">IF(DG$35=EOMONTH($E113,1),DG129,IF(AND(DG$35&gt;EOMONTH($E113,1),DG$35&lt;=$E115),DF130*(1+DG116),0))</f>
        <v>1758.5160695506167</v>
      </c>
      <c r="DH130" s="224">
        <f t="shared" ref="DH130" si="1656">IF(DH$35=EOMONTH($E113,1),DH129,IF(AND(DH$35&gt;EOMONTH($E113,1),DH$35&lt;=$E115),DG130*(1+DH116),0))</f>
        <v>1798.0826811155055</v>
      </c>
      <c r="DI130" s="224">
        <f t="shared" ref="DI130" si="1657">IF(DI$35=EOMONTH($E113,1),DI129,IF(AND(DI$35&gt;EOMONTH($E113,1),DI$35&lt;=$E115),DH130*(1+DI116),0))</f>
        <v>1798.0826811155055</v>
      </c>
    </row>
    <row r="131" spans="2:113" customFormat="1" outlineLevel="1" x14ac:dyDescent="0.25">
      <c r="B131" s="1"/>
      <c r="C131" s="60" t="s">
        <v>255</v>
      </c>
      <c r="D131" s="46" t="s">
        <v>125</v>
      </c>
      <c r="E131" s="1"/>
      <c r="F131" s="224">
        <f>IF(F$35=EOMONTH($E119,1),F129,IF(AND(F$35&gt;EOMONTH($E119,1),F$35&lt;=$E121),E131*(1+F122),0))</f>
        <v>0</v>
      </c>
      <c r="G131" s="224">
        <f t="shared" ref="G131" si="1658">IF(G$35=EOMONTH($E119,1),G129,IF(AND(G$35&gt;EOMONTH($E119,1),G$35&lt;=$E121),F131*(1+G122),0))</f>
        <v>0</v>
      </c>
      <c r="H131" s="224">
        <f t="shared" ref="H131" si="1659">IF(H$35=EOMONTH($E119,1),H129,IF(AND(H$35&gt;EOMONTH($E119,1),H$35&lt;=$E121),G131*(1+H122),0))</f>
        <v>0</v>
      </c>
      <c r="I131" s="224">
        <f t="shared" ref="I131" si="1660">IF(I$35=EOMONTH($E119,1),I129,IF(AND(I$35&gt;EOMONTH($E119,1),I$35&lt;=$E121),H131*(1+I122),0))</f>
        <v>0</v>
      </c>
      <c r="J131" s="224">
        <f t="shared" ref="J131" si="1661">IF(J$35=EOMONTH($E119,1),J129,IF(AND(J$35&gt;EOMONTH($E119,1),J$35&lt;=$E121),I131*(1+J122),0))</f>
        <v>0</v>
      </c>
      <c r="K131" s="224">
        <f t="shared" ref="K131" si="1662">IF(K$35=EOMONTH($E119,1),K129,IF(AND(K$35&gt;EOMONTH($E119,1),K$35&lt;=$E121),J131*(1+K122),0))</f>
        <v>0</v>
      </c>
      <c r="L131" s="224">
        <f t="shared" ref="L131" si="1663">IF(L$35=EOMONTH($E119,1),L129,IF(AND(L$35&gt;EOMONTH($E119,1),L$35&lt;=$E121),K131*(1+L122),0))</f>
        <v>0</v>
      </c>
      <c r="M131" s="224">
        <f t="shared" ref="M131" si="1664">IF(M$35=EOMONTH($E119,1),M129,IF(AND(M$35&gt;EOMONTH($E119,1),M$35&lt;=$E121),L131*(1+M122),0))</f>
        <v>0</v>
      </c>
      <c r="N131" s="224">
        <f t="shared" ref="N131" si="1665">IF(N$35=EOMONTH($E119,1),N129,IF(AND(N$35&gt;EOMONTH($E119,1),N$35&lt;=$E121),M131*(1+N122),0))</f>
        <v>0</v>
      </c>
      <c r="O131" s="224">
        <f t="shared" ref="O131" si="1666">IF(O$35=EOMONTH($E119,1),O129,IF(AND(O$35&gt;EOMONTH($E119,1),O$35&lt;=$E121),N131*(1+O122),0))</f>
        <v>0</v>
      </c>
      <c r="P131" s="224">
        <f t="shared" ref="P131" si="1667">IF(P$35=EOMONTH($E119,1),P129,IF(AND(P$35&gt;EOMONTH($E119,1),P$35&lt;=$E121),O131*(1+P122),0))</f>
        <v>0</v>
      </c>
      <c r="Q131" s="224">
        <f t="shared" ref="Q131" si="1668">IF(Q$35=EOMONTH($E119,1),Q129,IF(AND(Q$35&gt;EOMONTH($E119,1),Q$35&lt;=$E121),P131*(1+Q122),0))</f>
        <v>0</v>
      </c>
      <c r="R131" s="224">
        <f t="shared" ref="R131" si="1669">IF(R$35=EOMONTH($E119,1),R129,IF(AND(R$35&gt;EOMONTH($E119,1),R$35&lt;=$E121),Q131*(1+R122),0))</f>
        <v>0</v>
      </c>
      <c r="S131" s="224">
        <f t="shared" ref="S131" si="1670">IF(S$35=EOMONTH($E119,1),S129,IF(AND(S$35&gt;EOMONTH($E119,1),S$35&lt;=$E121),R131*(1+S122),0))</f>
        <v>0</v>
      </c>
      <c r="T131" s="224">
        <f t="shared" ref="T131" si="1671">IF(T$35=EOMONTH($E119,1),T129,IF(AND(T$35&gt;EOMONTH($E119,1),T$35&lt;=$E121),S131*(1+T122),0))</f>
        <v>0</v>
      </c>
      <c r="U131" s="224">
        <f t="shared" ref="U131" si="1672">IF(U$35=EOMONTH($E119,1),U129,IF(AND(U$35&gt;EOMONTH($E119,1),U$35&lt;=$E121),T131*(1+U122),0))</f>
        <v>0</v>
      </c>
      <c r="V131" s="224">
        <f t="shared" ref="V131" si="1673">IF(V$35=EOMONTH($E119,1),V129,IF(AND(V$35&gt;EOMONTH($E119,1),V$35&lt;=$E121),U131*(1+V122),0))</f>
        <v>0</v>
      </c>
      <c r="W131" s="224">
        <f t="shared" ref="W131" si="1674">IF(W$35=EOMONTH($E119,1),W129,IF(AND(W$35&gt;EOMONTH($E119,1),W$35&lt;=$E121),V131*(1+W122),0))</f>
        <v>0</v>
      </c>
      <c r="X131" s="224">
        <f t="shared" ref="X131" si="1675">IF(X$35=EOMONTH($E119,1),X129,IF(AND(X$35&gt;EOMONTH($E119,1),X$35&lt;=$E121),W131*(1+X122),0))</f>
        <v>0</v>
      </c>
      <c r="Y131" s="224">
        <f t="shared" ref="Y131" si="1676">IF(Y$35=EOMONTH($E119,1),Y129,IF(AND(Y$35&gt;EOMONTH($E119,1),Y$35&lt;=$E121),X131*(1+Y122),0))</f>
        <v>0</v>
      </c>
      <c r="Z131" s="224">
        <f t="shared" ref="Z131" si="1677">IF(Z$35=EOMONTH($E119,1),Z129,IF(AND(Z$35&gt;EOMONTH($E119,1),Z$35&lt;=$E121),Y131*(1+Z122),0))</f>
        <v>0</v>
      </c>
      <c r="AA131" s="224">
        <f t="shared" ref="AA131" si="1678">IF(AA$35=EOMONTH($E119,1),AA129,IF(AND(AA$35&gt;EOMONTH($E119,1),AA$35&lt;=$E121),Z131*(1+AA122),0))</f>
        <v>0</v>
      </c>
      <c r="AB131" s="224">
        <f t="shared" ref="AB131" si="1679">IF(AB$35=EOMONTH($E119,1),AB129,IF(AND(AB$35&gt;EOMONTH($E119,1),AB$35&lt;=$E121),AA131*(1+AB122),0))</f>
        <v>0</v>
      </c>
      <c r="AC131" s="224">
        <f t="shared" ref="AC131" si="1680">IF(AC$35=EOMONTH($E119,1),AC129,IF(AND(AC$35&gt;EOMONTH($E119,1),AC$35&lt;=$E121),AB131*(1+AC122),0))</f>
        <v>0</v>
      </c>
      <c r="AD131" s="224">
        <f t="shared" ref="AD131" si="1681">IF(AD$35=EOMONTH($E119,1),AD129,IF(AND(AD$35&gt;EOMONTH($E119,1),AD$35&lt;=$E121),AC131*(1+AD122),0))</f>
        <v>0</v>
      </c>
      <c r="AE131" s="224">
        <f t="shared" ref="AE131" si="1682">IF(AE$35=EOMONTH($E119,1),AE129,IF(AND(AE$35&gt;EOMONTH($E119,1),AE$35&lt;=$E121),AD131*(1+AE122),0))</f>
        <v>0</v>
      </c>
      <c r="AF131" s="224">
        <f t="shared" ref="AF131" si="1683">IF(AF$35=EOMONTH($E119,1),AF129,IF(AND(AF$35&gt;EOMONTH($E119,1),AF$35&lt;=$E121),AE131*(1+AF122),0))</f>
        <v>0</v>
      </c>
      <c r="AG131" s="224">
        <f t="shared" ref="AG131" si="1684">IF(AG$35=EOMONTH($E119,1),AG129,IF(AND(AG$35&gt;EOMONTH($E119,1),AG$35&lt;=$E121),AF131*(1+AG122),0))</f>
        <v>0</v>
      </c>
      <c r="AH131" s="224">
        <f t="shared" ref="AH131" si="1685">IF(AH$35=EOMONTH($E119,1),AH129,IF(AND(AH$35&gt;EOMONTH($E119,1),AH$35&lt;=$E121),AG131*(1+AH122),0))</f>
        <v>0</v>
      </c>
      <c r="AI131" s="224">
        <f t="shared" ref="AI131" si="1686">IF(AI$35=EOMONTH($E119,1),AI129,IF(AND(AI$35&gt;EOMONTH($E119,1),AI$35&lt;=$E121),AH131*(1+AI122),0))</f>
        <v>0</v>
      </c>
      <c r="AJ131" s="224">
        <f t="shared" ref="AJ131" si="1687">IF(AJ$35=EOMONTH($E119,1),AJ129,IF(AND(AJ$35&gt;EOMONTH($E119,1),AJ$35&lt;=$E121),AI131*(1+AJ122),0))</f>
        <v>0</v>
      </c>
      <c r="AK131" s="224">
        <f t="shared" ref="AK131" si="1688">IF(AK$35=EOMONTH($E119,1),AK129,IF(AND(AK$35&gt;EOMONTH($E119,1),AK$35&lt;=$E121),AJ131*(1+AK122),0))</f>
        <v>0</v>
      </c>
      <c r="AL131" s="224">
        <f t="shared" ref="AL131" si="1689">IF(AL$35=EOMONTH($E119,1),AL129,IF(AND(AL$35&gt;EOMONTH($E119,1),AL$35&lt;=$E121),AK131*(1+AL122),0))</f>
        <v>0</v>
      </c>
      <c r="AM131" s="224">
        <f t="shared" ref="AM131" si="1690">IF(AM$35=EOMONTH($E119,1),AM129,IF(AND(AM$35&gt;EOMONTH($E119,1),AM$35&lt;=$E121),AL131*(1+AM122),0))</f>
        <v>0</v>
      </c>
      <c r="AN131" s="224">
        <f t="shared" ref="AN131" si="1691">IF(AN$35=EOMONTH($E119,1),AN129,IF(AND(AN$35&gt;EOMONTH($E119,1),AN$35&lt;=$E121),AM131*(1+AN122),0))</f>
        <v>0</v>
      </c>
      <c r="AO131" s="224">
        <f t="shared" ref="AO131" si="1692">IF(AO$35=EOMONTH($E119,1),AO129,IF(AND(AO$35&gt;EOMONTH($E119,1),AO$35&lt;=$E121),AN131*(1+AO122),0))</f>
        <v>0</v>
      </c>
      <c r="AP131" s="224">
        <f t="shared" ref="AP131" si="1693">IF(AP$35=EOMONTH($E119,1),AP129,IF(AND(AP$35&gt;EOMONTH($E119,1),AP$35&lt;=$E121),AO131*(1+AP122),0))</f>
        <v>0</v>
      </c>
      <c r="AQ131" s="224">
        <f t="shared" ref="AQ131" si="1694">IF(AQ$35=EOMONTH($E119,1),AQ129,IF(AND(AQ$35&gt;EOMONTH($E119,1),AQ$35&lt;=$E121),AP131*(1+AQ122),0))</f>
        <v>0</v>
      </c>
      <c r="AR131" s="224">
        <f t="shared" ref="AR131" si="1695">IF(AR$35=EOMONTH($E119,1),AR129,IF(AND(AR$35&gt;EOMONTH($E119,1),AR$35&lt;=$E121),AQ131*(1+AR122),0))</f>
        <v>0</v>
      </c>
      <c r="AS131" s="224">
        <f t="shared" ref="AS131" si="1696">IF(AS$35=EOMONTH($E119,1),AS129,IF(AND(AS$35&gt;EOMONTH($E119,1),AS$35&lt;=$E121),AR131*(1+AS122),0))</f>
        <v>0</v>
      </c>
      <c r="AT131" s="224">
        <f t="shared" ref="AT131" si="1697">IF(AT$35=EOMONTH($E119,1),AT129,IF(AND(AT$35&gt;EOMONTH($E119,1),AT$35&lt;=$E121),AS131*(1+AT122),0))</f>
        <v>0</v>
      </c>
      <c r="AU131" s="224">
        <f t="shared" ref="AU131" si="1698">IF(AU$35=EOMONTH($E119,1),AU129,IF(AND(AU$35&gt;EOMONTH($E119,1),AU$35&lt;=$E121),AT131*(1+AU122),0))</f>
        <v>0</v>
      </c>
      <c r="AV131" s="224">
        <f t="shared" ref="AV131" si="1699">IF(AV$35=EOMONTH($E119,1),AV129,IF(AND(AV$35&gt;EOMONTH($E119,1),AV$35&lt;=$E121),AU131*(1+AV122),0))</f>
        <v>0</v>
      </c>
      <c r="AW131" s="224">
        <f t="shared" ref="AW131" si="1700">IF(AW$35=EOMONTH($E119,1),AW129,IF(AND(AW$35&gt;EOMONTH($E119,1),AW$35&lt;=$E121),AV131*(1+AW122),0))</f>
        <v>0</v>
      </c>
      <c r="AX131" s="224">
        <f t="shared" ref="AX131" si="1701">IF(AX$35=EOMONTH($E119,1),AX129,IF(AND(AX$35&gt;EOMONTH($E119,1),AX$35&lt;=$E121),AW131*(1+AX122),0))</f>
        <v>0</v>
      </c>
      <c r="AY131" s="224">
        <f t="shared" ref="AY131" si="1702">IF(AY$35=EOMONTH($E119,1),AY129,IF(AND(AY$35&gt;EOMONTH($E119,1),AY$35&lt;=$E121),AX131*(1+AY122),0))</f>
        <v>0</v>
      </c>
      <c r="AZ131" s="224">
        <f t="shared" ref="AZ131" si="1703">IF(AZ$35=EOMONTH($E119,1),AZ129,IF(AND(AZ$35&gt;EOMONTH($E119,1),AZ$35&lt;=$E121),AY131*(1+AZ122),0))</f>
        <v>0</v>
      </c>
      <c r="BA131" s="224">
        <f t="shared" ref="BA131" si="1704">IF(BA$35=EOMONTH($E119,1),BA129,IF(AND(BA$35&gt;EOMONTH($E119,1),BA$35&lt;=$E121),AZ131*(1+BA122),0))</f>
        <v>0</v>
      </c>
      <c r="BB131" s="224">
        <f t="shared" ref="BB131" si="1705">IF(BB$35=EOMONTH($E119,1),BB129,IF(AND(BB$35&gt;EOMONTH($E119,1),BB$35&lt;=$E121),BA131*(1+BB122),0))</f>
        <v>0</v>
      </c>
      <c r="BC131" s="224">
        <f t="shared" ref="BC131" si="1706">IF(BC$35=EOMONTH($E119,1),BC129,IF(AND(BC$35&gt;EOMONTH($E119,1),BC$35&lt;=$E121),BB131*(1+BC122),0))</f>
        <v>0</v>
      </c>
      <c r="BD131" s="224">
        <f t="shared" ref="BD131" si="1707">IF(BD$35=EOMONTH($E119,1),BD129,IF(AND(BD$35&gt;EOMONTH($E119,1),BD$35&lt;=$E121),BC131*(1+BD122),0))</f>
        <v>0</v>
      </c>
      <c r="BE131" s="224">
        <f t="shared" ref="BE131" si="1708">IF(BE$35=EOMONTH($E119,1),BE129,IF(AND(BE$35&gt;EOMONTH($E119,1),BE$35&lt;=$E121),BD131*(1+BE122),0))</f>
        <v>0</v>
      </c>
      <c r="BF131" s="224">
        <f t="shared" ref="BF131" si="1709">IF(BF$35=EOMONTH($E119,1),BF129,IF(AND(BF$35&gt;EOMONTH($E119,1),BF$35&lt;=$E121),BE131*(1+BF122),0))</f>
        <v>0</v>
      </c>
      <c r="BG131" s="224">
        <f t="shared" ref="BG131" si="1710">IF(BG$35=EOMONTH($E119,1),BG129,IF(AND(BG$35&gt;EOMONTH($E119,1),BG$35&lt;=$E121),BF131*(1+BG122),0))</f>
        <v>0</v>
      </c>
      <c r="BH131" s="224">
        <f t="shared" ref="BH131" si="1711">IF(BH$35=EOMONTH($E119,1),BH129,IF(AND(BH$35&gt;EOMONTH($E119,1),BH$35&lt;=$E121),BG131*(1+BH122),0))</f>
        <v>0</v>
      </c>
      <c r="BI131" s="224">
        <f t="shared" ref="BI131" si="1712">IF(BI$35=EOMONTH($E119,1),BI129,IF(AND(BI$35&gt;EOMONTH($E119,1),BI$35&lt;=$E121),BH131*(1+BI122),0))</f>
        <v>0</v>
      </c>
      <c r="BJ131" s="224">
        <f t="shared" ref="BJ131" si="1713">IF(BJ$35=EOMONTH($E119,1),BJ129,IF(AND(BJ$35&gt;EOMONTH($E119,1),BJ$35&lt;=$E121),BI131*(1+BJ122),0))</f>
        <v>0</v>
      </c>
      <c r="BK131" s="224">
        <f t="shared" ref="BK131" si="1714">IF(BK$35=EOMONTH($E119,1),BK129,IF(AND(BK$35&gt;EOMONTH($E119,1),BK$35&lt;=$E121),BJ131*(1+BK122),0))</f>
        <v>0</v>
      </c>
      <c r="BL131" s="224">
        <f t="shared" ref="BL131" si="1715">IF(BL$35=EOMONTH($E119,1),BL129,IF(AND(BL$35&gt;EOMONTH($E119,1),BL$35&lt;=$E121),BK131*(1+BL122),0))</f>
        <v>0</v>
      </c>
      <c r="BM131" s="224">
        <f t="shared" ref="BM131" si="1716">IF(BM$35=EOMONTH($E119,1),BM129,IF(AND(BM$35&gt;EOMONTH($E119,1),BM$35&lt;=$E121),BL131*(1+BM122),0))</f>
        <v>0</v>
      </c>
      <c r="BN131" s="224">
        <f t="shared" ref="BN131" si="1717">IF(BN$35=EOMONTH($E119,1),BN129,IF(AND(BN$35&gt;EOMONTH($E119,1),BN$35&lt;=$E121),BM131*(1+BN122),0))</f>
        <v>0</v>
      </c>
      <c r="BO131" s="224">
        <f t="shared" ref="BO131" si="1718">IF(BO$35=EOMONTH($E119,1),BO129,IF(AND(BO$35&gt;EOMONTH($E119,1),BO$35&lt;=$E121),BN131*(1+BO122),0))</f>
        <v>0</v>
      </c>
      <c r="BP131" s="224">
        <f t="shared" ref="BP131" si="1719">IF(BP$35=EOMONTH($E119,1),BP129,IF(AND(BP$35&gt;EOMONTH($E119,1),BP$35&lt;=$E121),BO131*(1+BP122),0))</f>
        <v>0</v>
      </c>
      <c r="BQ131" s="224">
        <f t="shared" ref="BQ131" si="1720">IF(BQ$35=EOMONTH($E119,1),BQ129,IF(AND(BQ$35&gt;EOMONTH($E119,1),BQ$35&lt;=$E121),BP131*(1+BQ122),0))</f>
        <v>0</v>
      </c>
      <c r="BR131" s="224">
        <f t="shared" ref="BR131" si="1721">IF(BR$35=EOMONTH($E119,1),BR129,IF(AND(BR$35&gt;EOMONTH($E119,1),BR$35&lt;=$E121),BQ131*(1+BR122),0))</f>
        <v>0</v>
      </c>
      <c r="BS131" s="224">
        <f t="shared" ref="BS131" si="1722">IF(BS$35=EOMONTH($E119,1),BS129,IF(AND(BS$35&gt;EOMONTH($E119,1),BS$35&lt;=$E121),BR131*(1+BS122),0))</f>
        <v>0</v>
      </c>
      <c r="BT131" s="224">
        <f t="shared" ref="BT131" si="1723">IF(BT$35=EOMONTH($E119,1),BT129,IF(AND(BT$35&gt;EOMONTH($E119,1),BT$35&lt;=$E121),BS131*(1+BT122),0))</f>
        <v>0</v>
      </c>
      <c r="BU131" s="224">
        <f t="shared" ref="BU131" si="1724">IF(BU$35=EOMONTH($E119,1),BU129,IF(AND(BU$35&gt;EOMONTH($E119,1),BU$35&lt;=$E121),BT131*(1+BU122),0))</f>
        <v>0</v>
      </c>
      <c r="BV131" s="224">
        <f t="shared" ref="BV131" si="1725">IF(BV$35=EOMONTH($E119,1),BV129,IF(AND(BV$35&gt;EOMONTH($E119,1),BV$35&lt;=$E121),BU131*(1+BV122),0))</f>
        <v>0</v>
      </c>
      <c r="BW131" s="224">
        <f t="shared" ref="BW131" si="1726">IF(BW$35=EOMONTH($E119,1),BW129,IF(AND(BW$35&gt;EOMONTH($E119,1),BW$35&lt;=$E121),BV131*(1+BW122),0))</f>
        <v>0</v>
      </c>
      <c r="BX131" s="224">
        <f t="shared" ref="BX131" si="1727">IF(BX$35=EOMONTH($E119,1),BX129,IF(AND(BX$35&gt;EOMONTH($E119,1),BX$35&lt;=$E121),BW131*(1+BX122),0))</f>
        <v>0</v>
      </c>
      <c r="BY131" s="224">
        <f t="shared" ref="BY131" si="1728">IF(BY$35=EOMONTH($E119,1),BY129,IF(AND(BY$35&gt;EOMONTH($E119,1),BY$35&lt;=$E121),BX131*(1+BY122),0))</f>
        <v>0</v>
      </c>
      <c r="BZ131" s="224">
        <f t="shared" ref="BZ131" si="1729">IF(BZ$35=EOMONTH($E119,1),BZ129,IF(AND(BZ$35&gt;EOMONTH($E119,1),BZ$35&lt;=$E121),BY131*(1+BZ122),0))</f>
        <v>0</v>
      </c>
      <c r="CA131" s="224">
        <f t="shared" ref="CA131" si="1730">IF(CA$35=EOMONTH($E119,1),CA129,IF(AND(CA$35&gt;EOMONTH($E119,1),CA$35&lt;=$E121),BZ131*(1+CA122),0))</f>
        <v>0</v>
      </c>
      <c r="CB131" s="224">
        <f t="shared" ref="CB131" si="1731">IF(CB$35=EOMONTH($E119,1),CB129,IF(AND(CB$35&gt;EOMONTH($E119,1),CB$35&lt;=$E121),CA131*(1+CB122),0))</f>
        <v>0</v>
      </c>
      <c r="CC131" s="224">
        <f t="shared" ref="CC131" si="1732">IF(CC$35=EOMONTH($E119,1),CC129,IF(AND(CC$35&gt;EOMONTH($E119,1),CC$35&lt;=$E121),CB131*(1+CC122),0))</f>
        <v>0</v>
      </c>
      <c r="CD131" s="224">
        <f t="shared" ref="CD131" si="1733">IF(CD$35=EOMONTH($E119,1),CD129,IF(AND(CD$35&gt;EOMONTH($E119,1),CD$35&lt;=$E121),CC131*(1+CD122),0))</f>
        <v>0</v>
      </c>
      <c r="CE131" s="224">
        <f t="shared" ref="CE131" si="1734">IF(CE$35=EOMONTH($E119,1),CE129,IF(AND(CE$35&gt;EOMONTH($E119,1),CE$35&lt;=$E121),CD131*(1+CE122),0))</f>
        <v>0</v>
      </c>
      <c r="CF131" s="224">
        <f t="shared" ref="CF131" si="1735">IF(CF$35=EOMONTH($E119,1),CF129,IF(AND(CF$35&gt;EOMONTH($E119,1),CF$35&lt;=$E121),CE131*(1+CF122),0))</f>
        <v>0</v>
      </c>
      <c r="CG131" s="224">
        <f t="shared" ref="CG131" si="1736">IF(CG$35=EOMONTH($E119,1),CG129,IF(AND(CG$35&gt;EOMONTH($E119,1),CG$35&lt;=$E121),CF131*(1+CG122),0))</f>
        <v>0</v>
      </c>
      <c r="CH131" s="224">
        <f t="shared" ref="CH131" si="1737">IF(CH$35=EOMONTH($E119,1),CH129,IF(AND(CH$35&gt;EOMONTH($E119,1),CH$35&lt;=$E121),CG131*(1+CH122),0))</f>
        <v>0</v>
      </c>
      <c r="CI131" s="224">
        <f t="shared" ref="CI131" si="1738">IF(CI$35=EOMONTH($E119,1),CI129,IF(AND(CI$35&gt;EOMONTH($E119,1),CI$35&lt;=$E121),CH131*(1+CI122),0))</f>
        <v>0</v>
      </c>
      <c r="CJ131" s="224">
        <f t="shared" ref="CJ131" si="1739">IF(CJ$35=EOMONTH($E119,1),CJ129,IF(AND(CJ$35&gt;EOMONTH($E119,1),CJ$35&lt;=$E121),CI131*(1+CJ122),0))</f>
        <v>0</v>
      </c>
      <c r="CK131" s="224">
        <f t="shared" ref="CK131" si="1740">IF(CK$35=EOMONTH($E119,1),CK129,IF(AND(CK$35&gt;EOMONTH($E119,1),CK$35&lt;=$E121),CJ131*(1+CK122),0))</f>
        <v>0</v>
      </c>
      <c r="CL131" s="224">
        <f t="shared" ref="CL131" si="1741">IF(CL$35=EOMONTH($E119,1),CL129,IF(AND(CL$35&gt;EOMONTH($E119,1),CL$35&lt;=$E121),CK131*(1+CL122),0))</f>
        <v>0</v>
      </c>
      <c r="CM131" s="224">
        <f t="shared" ref="CM131" si="1742">IF(CM$35=EOMONTH($E119,1),CM129,IF(AND(CM$35&gt;EOMONTH($E119,1),CM$35&lt;=$E121),CL131*(1+CM122),0))</f>
        <v>0</v>
      </c>
      <c r="CN131" s="224">
        <f t="shared" ref="CN131" si="1743">IF(CN$35=EOMONTH($E119,1),CN129,IF(AND(CN$35&gt;EOMONTH($E119,1),CN$35&lt;=$E121),CM131*(1+CN122),0))</f>
        <v>0</v>
      </c>
      <c r="CO131" s="224">
        <f t="shared" ref="CO131" si="1744">IF(CO$35=EOMONTH($E119,1),CO129,IF(AND(CO$35&gt;EOMONTH($E119,1),CO$35&lt;=$E121),CN131*(1+CO122),0))</f>
        <v>0</v>
      </c>
      <c r="CP131" s="224">
        <f t="shared" ref="CP131" si="1745">IF(CP$35=EOMONTH($E119,1),CP129,IF(AND(CP$35&gt;EOMONTH($E119,1),CP$35&lt;=$E121),CO131*(1+CP122),0))</f>
        <v>0</v>
      </c>
      <c r="CQ131" s="224">
        <f t="shared" ref="CQ131" si="1746">IF(CQ$35=EOMONTH($E119,1),CQ129,IF(AND(CQ$35&gt;EOMONTH($E119,1),CQ$35&lt;=$E121),CP131*(1+CQ122),0))</f>
        <v>0</v>
      </c>
      <c r="CR131" s="224">
        <f t="shared" ref="CR131" si="1747">IF(CR$35=EOMONTH($E119,1),CR129,IF(AND(CR$35&gt;EOMONTH($E119,1),CR$35&lt;=$E121),CQ131*(1+CR122),0))</f>
        <v>0</v>
      </c>
      <c r="CS131" s="224">
        <f t="shared" ref="CS131" si="1748">IF(CS$35=EOMONTH($E119,1),CS129,IF(AND(CS$35&gt;EOMONTH($E119,1),CS$35&lt;=$E121),CR131*(1+CS122),0))</f>
        <v>0</v>
      </c>
      <c r="CT131" s="224">
        <f t="shared" ref="CT131" si="1749">IF(CT$35=EOMONTH($E119,1),CT129,IF(AND(CT$35&gt;EOMONTH($E119,1),CT$35&lt;=$E121),CS131*(1+CT122),0))</f>
        <v>0</v>
      </c>
      <c r="CU131" s="224">
        <f t="shared" ref="CU131" si="1750">IF(CU$35=EOMONTH($E119,1),CU129,IF(AND(CU$35&gt;EOMONTH($E119,1),CU$35&lt;=$E121),CT131*(1+CU122),0))</f>
        <v>0</v>
      </c>
      <c r="CV131" s="224">
        <f t="shared" ref="CV131" si="1751">IF(CV$35=EOMONTH($E119,1),CV129,IF(AND(CV$35&gt;EOMONTH($E119,1),CV$35&lt;=$E121),CU131*(1+CV122),0))</f>
        <v>0</v>
      </c>
      <c r="CW131" s="224">
        <f t="shared" ref="CW131" si="1752">IF(CW$35=EOMONTH($E119,1),CW129,IF(AND(CW$35&gt;EOMONTH($E119,1),CW$35&lt;=$E121),CV131*(1+CW122),0))</f>
        <v>0</v>
      </c>
      <c r="CX131" s="224">
        <f t="shared" ref="CX131" si="1753">IF(CX$35=EOMONTH($E119,1),CX129,IF(AND(CX$35&gt;EOMONTH($E119,1),CX$35&lt;=$E121),CW131*(1+CX122),0))</f>
        <v>0</v>
      </c>
      <c r="CY131" s="224">
        <f t="shared" ref="CY131" si="1754">IF(CY$35=EOMONTH($E119,1),CY129,IF(AND(CY$35&gt;EOMONTH($E119,1),CY$35&lt;=$E121),CX131*(1+CY122),0))</f>
        <v>0</v>
      </c>
      <c r="CZ131" s="224">
        <f t="shared" ref="CZ131" si="1755">IF(CZ$35=EOMONTH($E119,1),CZ129,IF(AND(CZ$35&gt;EOMONTH($E119,1),CZ$35&lt;=$E121),CY131*(1+CZ122),0))</f>
        <v>0</v>
      </c>
      <c r="DA131" s="224">
        <f t="shared" ref="DA131" si="1756">IF(DA$35=EOMONTH($E119,1),DA129,IF(AND(DA$35&gt;EOMONTH($E119,1),DA$35&lt;=$E121),CZ131*(1+DA122),0))</f>
        <v>0</v>
      </c>
      <c r="DB131" s="224">
        <f t="shared" ref="DB131" si="1757">IF(DB$35=EOMONTH($E119,1),DB129,IF(AND(DB$35&gt;EOMONTH($E119,1),DB$35&lt;=$E121),DA131*(1+DB122),0))</f>
        <v>0</v>
      </c>
      <c r="DC131" s="224">
        <f t="shared" ref="DC131" si="1758">IF(DC$35=EOMONTH($E119,1),DC129,IF(AND(DC$35&gt;EOMONTH($E119,1),DC$35&lt;=$E121),DB131*(1+DC122),0))</f>
        <v>0</v>
      </c>
      <c r="DD131" s="224">
        <f t="shared" ref="DD131" si="1759">IF(DD$35=EOMONTH($E119,1),DD129,IF(AND(DD$35&gt;EOMONTH($E119,1),DD$35&lt;=$E121),DC131*(1+DD122),0))</f>
        <v>0</v>
      </c>
      <c r="DE131" s="224">
        <f t="shared" ref="DE131" si="1760">IF(DE$35=EOMONTH($E119,1),DE129,IF(AND(DE$35&gt;EOMONTH($E119,1),DE$35&lt;=$E121),DD131*(1+DE122),0))</f>
        <v>0</v>
      </c>
      <c r="DF131" s="224">
        <f t="shared" ref="DF131" si="1761">IF(DF$35=EOMONTH($E119,1),DF129,IF(AND(DF$35&gt;EOMONTH($E119,1),DF$35&lt;=$E121),DE131*(1+DF122),0))</f>
        <v>0</v>
      </c>
      <c r="DG131" s="224">
        <f t="shared" ref="DG131" si="1762">IF(DG$35=EOMONTH($E119,1),DG129,IF(AND(DG$35&gt;EOMONTH($E119,1),DG$35&lt;=$E121),DF131*(1+DG122),0))</f>
        <v>0</v>
      </c>
      <c r="DH131" s="224">
        <f t="shared" ref="DH131" si="1763">IF(DH$35=EOMONTH($E119,1),DH129,IF(AND(DH$35&gt;EOMONTH($E119,1),DH$35&lt;=$E121),DG131*(1+DH122),0))</f>
        <v>0</v>
      </c>
      <c r="DI131" s="224">
        <f t="shared" ref="DI131" si="1764">IF(DI$35=EOMONTH($E119,1),DI129,IF(AND(DI$35&gt;EOMONTH($E119,1),DI$35&lt;=$E121),DH131*(1+DI122),0))</f>
        <v>0</v>
      </c>
    </row>
    <row r="132" spans="2:113" customFormat="1" outlineLevel="1" x14ac:dyDescent="0.25">
      <c r="B132" s="1"/>
      <c r="C132" s="60" t="s">
        <v>250</v>
      </c>
      <c r="D132" s="46" t="s">
        <v>125</v>
      </c>
      <c r="E132" s="1"/>
      <c r="F132" s="224">
        <f>IF(F$35=EOMONTH($E124,1),F129,IF(F$35&gt;EOMONTH($E124,1),E132*(1+F127),IF(AND(F$35&gt;$E115,F$35&lt;=$E124),F129,0)))</f>
        <v>0</v>
      </c>
      <c r="G132" s="224">
        <f t="shared" ref="G132" si="1765">IF(G$35=EOMONTH($E124,1),G129,IF(G$35&gt;EOMONTH($E124,1),F132*(1+G127),IF(AND(G$35&gt;$E115,G$35&lt;=$E124),G129,0)))</f>
        <v>0</v>
      </c>
      <c r="H132" s="224">
        <f t="shared" ref="H132" si="1766">IF(H$35=EOMONTH($E124,1),H129,IF(H$35&gt;EOMONTH($E124,1),G132*(1+H127),IF(AND(H$35&gt;$E115,H$35&lt;=$E124),H129,0)))</f>
        <v>0</v>
      </c>
      <c r="I132" s="224">
        <f t="shared" ref="I132" si="1767">IF(I$35=EOMONTH($E124,1),I129,IF(I$35&gt;EOMONTH($E124,1),H132*(1+I127),IF(AND(I$35&gt;$E115,I$35&lt;=$E124),I129,0)))</f>
        <v>0</v>
      </c>
      <c r="J132" s="224">
        <f t="shared" ref="J132" si="1768">IF(J$35=EOMONTH($E124,1),J129,IF(J$35&gt;EOMONTH($E124,1),I132*(1+J127),IF(AND(J$35&gt;$E115,J$35&lt;=$E124),J129,0)))</f>
        <v>0</v>
      </c>
      <c r="K132" s="224">
        <f t="shared" ref="K132" si="1769">IF(K$35=EOMONTH($E124,1),K129,IF(K$35&gt;EOMONTH($E124,1),J132*(1+K127),IF(AND(K$35&gt;$E115,K$35&lt;=$E124),K129,0)))</f>
        <v>0</v>
      </c>
      <c r="L132" s="224">
        <f t="shared" ref="L132" si="1770">IF(L$35=EOMONTH($E124,1),L129,IF(L$35&gt;EOMONTH($E124,1),K132*(1+L127),IF(AND(L$35&gt;$E115,L$35&lt;=$E124),L129,0)))</f>
        <v>0</v>
      </c>
      <c r="M132" s="224">
        <f t="shared" ref="M132" si="1771">IF(M$35=EOMONTH($E124,1),M129,IF(M$35&gt;EOMONTH($E124,1),L132*(1+M127),IF(AND(M$35&gt;$E115,M$35&lt;=$E124),M129,0)))</f>
        <v>0</v>
      </c>
      <c r="N132" s="224">
        <f t="shared" ref="N132" si="1772">IF(N$35=EOMONTH($E124,1),N129,IF(N$35&gt;EOMONTH($E124,1),M132*(1+N127),IF(AND(N$35&gt;$E115,N$35&lt;=$E124),N129,0)))</f>
        <v>0</v>
      </c>
      <c r="O132" s="224">
        <f t="shared" ref="O132" si="1773">IF(O$35=EOMONTH($E124,1),O129,IF(O$35&gt;EOMONTH($E124,1),N132*(1+O127),IF(AND(O$35&gt;$E115,O$35&lt;=$E124),O129,0)))</f>
        <v>0</v>
      </c>
      <c r="P132" s="224">
        <f t="shared" ref="P132" si="1774">IF(P$35=EOMONTH($E124,1),P129,IF(P$35&gt;EOMONTH($E124,1),O132*(1+P127),IF(AND(P$35&gt;$E115,P$35&lt;=$E124),P129,0)))</f>
        <v>0</v>
      </c>
      <c r="Q132" s="224">
        <f t="shared" ref="Q132" si="1775">IF(Q$35=EOMONTH($E124,1),Q129,IF(Q$35&gt;EOMONTH($E124,1),P132*(1+Q127),IF(AND(Q$35&gt;$E115,Q$35&lt;=$E124),Q129,0)))</f>
        <v>0</v>
      </c>
      <c r="R132" s="224">
        <f t="shared" ref="R132" si="1776">IF(R$35=EOMONTH($E124,1),R129,IF(R$35&gt;EOMONTH($E124,1),Q132*(1+R127),IF(AND(R$35&gt;$E115,R$35&lt;=$E124),R129,0)))</f>
        <v>0</v>
      </c>
      <c r="S132" s="224">
        <f t="shared" ref="S132" si="1777">IF(S$35=EOMONTH($E124,1),S129,IF(S$35&gt;EOMONTH($E124,1),R132*(1+S127),IF(AND(S$35&gt;$E115,S$35&lt;=$E124),S129,0)))</f>
        <v>0</v>
      </c>
      <c r="T132" s="224">
        <f t="shared" ref="T132" si="1778">IF(T$35=EOMONTH($E124,1),T129,IF(T$35&gt;EOMONTH($E124,1),S132*(1+T127),IF(AND(T$35&gt;$E115,T$35&lt;=$E124),T129,0)))</f>
        <v>0</v>
      </c>
      <c r="U132" s="224">
        <f t="shared" ref="U132" si="1779">IF(U$35=EOMONTH($E124,1),U129,IF(U$35&gt;EOMONTH($E124,1),T132*(1+U127),IF(AND(U$35&gt;$E115,U$35&lt;=$E124),U129,0)))</f>
        <v>0</v>
      </c>
      <c r="V132" s="224">
        <f t="shared" ref="V132" si="1780">IF(V$35=EOMONTH($E124,1),V129,IF(V$35&gt;EOMONTH($E124,1),U132*(1+V127),IF(AND(V$35&gt;$E115,V$35&lt;=$E124),V129,0)))</f>
        <v>0</v>
      </c>
      <c r="W132" s="224">
        <f t="shared" ref="W132" si="1781">IF(W$35=EOMONTH($E124,1),W129,IF(W$35&gt;EOMONTH($E124,1),V132*(1+W127),IF(AND(W$35&gt;$E115,W$35&lt;=$E124),W129,0)))</f>
        <v>0</v>
      </c>
      <c r="X132" s="224">
        <f t="shared" ref="X132" si="1782">IF(X$35=EOMONTH($E124,1),X129,IF(X$35&gt;EOMONTH($E124,1),W132*(1+X127),IF(AND(X$35&gt;$E115,X$35&lt;=$E124),X129,0)))</f>
        <v>0</v>
      </c>
      <c r="Y132" s="224">
        <f t="shared" ref="Y132" si="1783">IF(Y$35=EOMONTH($E124,1),Y129,IF(Y$35&gt;EOMONTH($E124,1),X132*(1+Y127),IF(AND(Y$35&gt;$E115,Y$35&lt;=$E124),Y129,0)))</f>
        <v>0</v>
      </c>
      <c r="Z132" s="224">
        <f t="shared" ref="Z132" si="1784">IF(Z$35=EOMONTH($E124,1),Z129,IF(Z$35&gt;EOMONTH($E124,1),Y132*(1+Z127),IF(AND(Z$35&gt;$E115,Z$35&lt;=$E124),Z129,0)))</f>
        <v>0</v>
      </c>
      <c r="AA132" s="224">
        <f t="shared" ref="AA132" si="1785">IF(AA$35=EOMONTH($E124,1),AA129,IF(AA$35&gt;EOMONTH($E124,1),Z132*(1+AA127),IF(AND(AA$35&gt;$E115,AA$35&lt;=$E124),AA129,0)))</f>
        <v>0</v>
      </c>
      <c r="AB132" s="224">
        <f t="shared" ref="AB132" si="1786">IF(AB$35=EOMONTH($E124,1),AB129,IF(AB$35&gt;EOMONTH($E124,1),AA132*(1+AB127),IF(AND(AB$35&gt;$E115,AB$35&lt;=$E124),AB129,0)))</f>
        <v>0</v>
      </c>
      <c r="AC132" s="224">
        <f t="shared" ref="AC132" si="1787">IF(AC$35=EOMONTH($E124,1),AC129,IF(AC$35&gt;EOMONTH($E124,1),AB132*(1+AC127),IF(AND(AC$35&gt;$E115,AC$35&lt;=$E124),AC129,0)))</f>
        <v>0</v>
      </c>
      <c r="AD132" s="224">
        <f t="shared" ref="AD132" si="1788">IF(AD$35=EOMONTH($E124,1),AD129,IF(AD$35&gt;EOMONTH($E124,1),AC132*(1+AD127),IF(AND(AD$35&gt;$E115,AD$35&lt;=$E124),AD129,0)))</f>
        <v>0</v>
      </c>
      <c r="AE132" s="224">
        <f t="shared" ref="AE132" si="1789">IF(AE$35=EOMONTH($E124,1),AE129,IF(AE$35&gt;EOMONTH($E124,1),AD132*(1+AE127),IF(AND(AE$35&gt;$E115,AE$35&lt;=$E124),AE129,0)))</f>
        <v>0</v>
      </c>
      <c r="AF132" s="224">
        <f t="shared" ref="AF132" si="1790">IF(AF$35=EOMONTH($E124,1),AF129,IF(AF$35&gt;EOMONTH($E124,1),AE132*(1+AF127),IF(AND(AF$35&gt;$E115,AF$35&lt;=$E124),AF129,0)))</f>
        <v>0</v>
      </c>
      <c r="AG132" s="224">
        <f t="shared" ref="AG132" si="1791">IF(AG$35=EOMONTH($E124,1),AG129,IF(AG$35&gt;EOMONTH($E124,1),AF132*(1+AG127),IF(AND(AG$35&gt;$E115,AG$35&lt;=$E124),AG129,0)))</f>
        <v>0</v>
      </c>
      <c r="AH132" s="224">
        <f t="shared" ref="AH132" si="1792">IF(AH$35=EOMONTH($E124,1),AH129,IF(AH$35&gt;EOMONTH($E124,1),AG132*(1+AH127),IF(AND(AH$35&gt;$E115,AH$35&lt;=$E124),AH129,0)))</f>
        <v>0</v>
      </c>
      <c r="AI132" s="224">
        <f t="shared" ref="AI132" si="1793">IF(AI$35=EOMONTH($E124,1),AI129,IF(AI$35&gt;EOMONTH($E124,1),AH132*(1+AI127),IF(AND(AI$35&gt;$E115,AI$35&lt;=$E124),AI129,0)))</f>
        <v>0</v>
      </c>
      <c r="AJ132" s="224">
        <f t="shared" ref="AJ132" si="1794">IF(AJ$35=EOMONTH($E124,1),AJ129,IF(AJ$35&gt;EOMONTH($E124,1),AI132*(1+AJ127),IF(AND(AJ$35&gt;$E115,AJ$35&lt;=$E124),AJ129,0)))</f>
        <v>0</v>
      </c>
      <c r="AK132" s="224">
        <f t="shared" ref="AK132" si="1795">IF(AK$35=EOMONTH($E124,1),AK129,IF(AK$35&gt;EOMONTH($E124,1),AJ132*(1+AK127),IF(AND(AK$35&gt;$E115,AK$35&lt;=$E124),AK129,0)))</f>
        <v>0</v>
      </c>
      <c r="AL132" s="224">
        <f t="shared" ref="AL132" si="1796">IF(AL$35=EOMONTH($E124,1),AL129,IF(AL$35&gt;EOMONTH($E124,1),AK132*(1+AL127),IF(AND(AL$35&gt;$E115,AL$35&lt;=$E124),AL129,0)))</f>
        <v>0</v>
      </c>
      <c r="AM132" s="224">
        <f t="shared" ref="AM132" si="1797">IF(AM$35=EOMONTH($E124,1),AM129,IF(AM$35&gt;EOMONTH($E124,1),AL132*(1+AM127),IF(AND(AM$35&gt;$E115,AM$35&lt;=$E124),AM129,0)))</f>
        <v>0</v>
      </c>
      <c r="AN132" s="224">
        <f t="shared" ref="AN132" si="1798">IF(AN$35=EOMONTH($E124,1),AN129,IF(AN$35&gt;EOMONTH($E124,1),AM132*(1+AN127),IF(AND(AN$35&gt;$E115,AN$35&lt;=$E124),AN129,0)))</f>
        <v>0</v>
      </c>
      <c r="AO132" s="224">
        <f t="shared" ref="AO132" si="1799">IF(AO$35=EOMONTH($E124,1),AO129,IF(AO$35&gt;EOMONTH($E124,1),AN132*(1+AO127),IF(AND(AO$35&gt;$E115,AO$35&lt;=$E124),AO129,0)))</f>
        <v>0</v>
      </c>
      <c r="AP132" s="224">
        <f t="shared" ref="AP132" si="1800">IF(AP$35=EOMONTH($E124,1),AP129,IF(AP$35&gt;EOMONTH($E124,1),AO132*(1+AP127),IF(AND(AP$35&gt;$E115,AP$35&lt;=$E124),AP129,0)))</f>
        <v>0</v>
      </c>
      <c r="AQ132" s="224">
        <f t="shared" ref="AQ132" si="1801">IF(AQ$35=EOMONTH($E124,1),AQ129,IF(AQ$35&gt;EOMONTH($E124,1),AP132*(1+AQ127),IF(AND(AQ$35&gt;$E115,AQ$35&lt;=$E124),AQ129,0)))</f>
        <v>0</v>
      </c>
      <c r="AR132" s="224">
        <f t="shared" ref="AR132" si="1802">IF(AR$35=EOMONTH($E124,1),AR129,IF(AR$35&gt;EOMONTH($E124,1),AQ132*(1+AR127),IF(AND(AR$35&gt;$E115,AR$35&lt;=$E124),AR129,0)))</f>
        <v>0</v>
      </c>
      <c r="AS132" s="224">
        <f t="shared" ref="AS132" si="1803">IF(AS$35=EOMONTH($E124,1),AS129,IF(AS$35&gt;EOMONTH($E124,1),AR132*(1+AS127),IF(AND(AS$35&gt;$E115,AS$35&lt;=$E124),AS129,0)))</f>
        <v>0</v>
      </c>
      <c r="AT132" s="224">
        <f t="shared" ref="AT132" si="1804">IF(AT$35=EOMONTH($E124,1),AT129,IF(AT$35&gt;EOMONTH($E124,1),AS132*(1+AT127),IF(AND(AT$35&gt;$E115,AT$35&lt;=$E124),AT129,0)))</f>
        <v>0</v>
      </c>
      <c r="AU132" s="224">
        <f t="shared" ref="AU132" si="1805">IF(AU$35=EOMONTH($E124,1),AU129,IF(AU$35&gt;EOMONTH($E124,1),AT132*(1+AU127),IF(AND(AU$35&gt;$E115,AU$35&lt;=$E124),AU129,0)))</f>
        <v>0</v>
      </c>
      <c r="AV132" s="224">
        <f t="shared" ref="AV132" si="1806">IF(AV$35=EOMONTH($E124,1),AV129,IF(AV$35&gt;EOMONTH($E124,1),AU132*(1+AV127),IF(AND(AV$35&gt;$E115,AV$35&lt;=$E124),AV129,0)))</f>
        <v>0</v>
      </c>
      <c r="AW132" s="224">
        <f t="shared" ref="AW132" si="1807">IF(AW$35=EOMONTH($E124,1),AW129,IF(AW$35&gt;EOMONTH($E124,1),AV132*(1+AW127),IF(AND(AW$35&gt;$E115,AW$35&lt;=$E124),AW129,0)))</f>
        <v>0</v>
      </c>
      <c r="AX132" s="224">
        <f t="shared" ref="AX132" si="1808">IF(AX$35=EOMONTH($E124,1),AX129,IF(AX$35&gt;EOMONTH($E124,1),AW132*(1+AX127),IF(AND(AX$35&gt;$E115,AX$35&lt;=$E124),AX129,0)))</f>
        <v>0</v>
      </c>
      <c r="AY132" s="224">
        <f t="shared" ref="AY132" si="1809">IF(AY$35=EOMONTH($E124,1),AY129,IF(AY$35&gt;EOMONTH($E124,1),AX132*(1+AY127),IF(AND(AY$35&gt;$E115,AY$35&lt;=$E124),AY129,0)))</f>
        <v>0</v>
      </c>
      <c r="AZ132" s="224">
        <f t="shared" ref="AZ132" si="1810">IF(AZ$35=EOMONTH($E124,1),AZ129,IF(AZ$35&gt;EOMONTH($E124,1),AY132*(1+AZ127),IF(AND(AZ$35&gt;$E115,AZ$35&lt;=$E124),AZ129,0)))</f>
        <v>0</v>
      </c>
      <c r="BA132" s="224">
        <f t="shared" ref="BA132" si="1811">IF(BA$35=EOMONTH($E124,1),BA129,IF(BA$35&gt;EOMONTH($E124,1),AZ132*(1+BA127),IF(AND(BA$35&gt;$E115,BA$35&lt;=$E124),BA129,0)))</f>
        <v>0</v>
      </c>
      <c r="BB132" s="224">
        <f t="shared" ref="BB132" si="1812">IF(BB$35=EOMONTH($E124,1),BB129,IF(BB$35&gt;EOMONTH($E124,1),BA132*(1+BB127),IF(AND(BB$35&gt;$E115,BB$35&lt;=$E124),BB129,0)))</f>
        <v>0</v>
      </c>
      <c r="BC132" s="224">
        <f t="shared" ref="BC132" si="1813">IF(BC$35=EOMONTH($E124,1),BC129,IF(BC$35&gt;EOMONTH($E124,1),BB132*(1+BC127),IF(AND(BC$35&gt;$E115,BC$35&lt;=$E124),BC129,0)))</f>
        <v>0</v>
      </c>
      <c r="BD132" s="224">
        <f t="shared" ref="BD132" si="1814">IF(BD$35=EOMONTH($E124,1),BD129,IF(BD$35&gt;EOMONTH($E124,1),BC132*(1+BD127),IF(AND(BD$35&gt;$E115,BD$35&lt;=$E124),BD129,0)))</f>
        <v>0</v>
      </c>
      <c r="BE132" s="224">
        <f t="shared" ref="BE132" si="1815">IF(BE$35=EOMONTH($E124,1),BE129,IF(BE$35&gt;EOMONTH($E124,1),BD132*(1+BE127),IF(AND(BE$35&gt;$E115,BE$35&lt;=$E124),BE129,0)))</f>
        <v>0</v>
      </c>
      <c r="BF132" s="224">
        <f t="shared" ref="BF132" si="1816">IF(BF$35=EOMONTH($E124,1),BF129,IF(BF$35&gt;EOMONTH($E124,1),BE132*(1+BF127),IF(AND(BF$35&gt;$E115,BF$35&lt;=$E124),BF129,0)))</f>
        <v>0</v>
      </c>
      <c r="BG132" s="224">
        <f t="shared" ref="BG132" si="1817">IF(BG$35=EOMONTH($E124,1),BG129,IF(BG$35&gt;EOMONTH($E124,1),BF132*(1+BG127),IF(AND(BG$35&gt;$E115,BG$35&lt;=$E124),BG129,0)))</f>
        <v>0</v>
      </c>
      <c r="BH132" s="224">
        <f t="shared" ref="BH132" si="1818">IF(BH$35=EOMONTH($E124,1),BH129,IF(BH$35&gt;EOMONTH($E124,1),BG132*(1+BH127),IF(AND(BH$35&gt;$E115,BH$35&lt;=$E124),BH129,0)))</f>
        <v>0</v>
      </c>
      <c r="BI132" s="224">
        <f t="shared" ref="BI132" si="1819">IF(BI$35=EOMONTH($E124,1),BI129,IF(BI$35&gt;EOMONTH($E124,1),BH132*(1+BI127),IF(AND(BI$35&gt;$E115,BI$35&lt;=$E124),BI129,0)))</f>
        <v>0</v>
      </c>
      <c r="BJ132" s="224">
        <f t="shared" ref="BJ132" si="1820">IF(BJ$35=EOMONTH($E124,1),BJ129,IF(BJ$35&gt;EOMONTH($E124,1),BI132*(1+BJ127),IF(AND(BJ$35&gt;$E115,BJ$35&lt;=$E124),BJ129,0)))</f>
        <v>0</v>
      </c>
      <c r="BK132" s="224">
        <f t="shared" ref="BK132" si="1821">IF(BK$35=EOMONTH($E124,1),BK129,IF(BK$35&gt;EOMONTH($E124,1),BJ132*(1+BK127),IF(AND(BK$35&gt;$E115,BK$35&lt;=$E124),BK129,0)))</f>
        <v>0</v>
      </c>
      <c r="BL132" s="224">
        <f t="shared" ref="BL132" si="1822">IF(BL$35=EOMONTH($E124,1),BL129,IF(BL$35&gt;EOMONTH($E124,1),BK132*(1+BL127),IF(AND(BL$35&gt;$E115,BL$35&lt;=$E124),BL129,0)))</f>
        <v>0</v>
      </c>
      <c r="BM132" s="224">
        <f t="shared" ref="BM132" si="1823">IF(BM$35=EOMONTH($E124,1),BM129,IF(BM$35&gt;EOMONTH($E124,1),BL132*(1+BM127),IF(AND(BM$35&gt;$E115,BM$35&lt;=$E124),BM129,0)))</f>
        <v>0</v>
      </c>
      <c r="BN132" s="224">
        <f t="shared" ref="BN132" si="1824">IF(BN$35=EOMONTH($E124,1),BN129,IF(BN$35&gt;EOMONTH($E124,1),BM132*(1+BN127),IF(AND(BN$35&gt;$E115,BN$35&lt;=$E124),BN129,0)))</f>
        <v>0</v>
      </c>
      <c r="BO132" s="224">
        <f t="shared" ref="BO132" si="1825">IF(BO$35=EOMONTH($E124,1),BO129,IF(BO$35&gt;EOMONTH($E124,1),BN132*(1+BO127),IF(AND(BO$35&gt;$E115,BO$35&lt;=$E124),BO129,0)))</f>
        <v>0</v>
      </c>
      <c r="BP132" s="224">
        <f t="shared" ref="BP132" si="1826">IF(BP$35=EOMONTH($E124,1),BP129,IF(BP$35&gt;EOMONTH($E124,1),BO132*(1+BP127),IF(AND(BP$35&gt;$E115,BP$35&lt;=$E124),BP129,0)))</f>
        <v>0</v>
      </c>
      <c r="BQ132" s="224">
        <f t="shared" ref="BQ132" si="1827">IF(BQ$35=EOMONTH($E124,1),BQ129,IF(BQ$35&gt;EOMONTH($E124,1),BP132*(1+BQ127),IF(AND(BQ$35&gt;$E115,BQ$35&lt;=$E124),BQ129,0)))</f>
        <v>0</v>
      </c>
      <c r="BR132" s="224">
        <f t="shared" ref="BR132" si="1828">IF(BR$35=EOMONTH($E124,1),BR129,IF(BR$35&gt;EOMONTH($E124,1),BQ132*(1+BR127),IF(AND(BR$35&gt;$E115,BR$35&lt;=$E124),BR129,0)))</f>
        <v>0</v>
      </c>
      <c r="BS132" s="224">
        <f t="shared" ref="BS132" si="1829">IF(BS$35=EOMONTH($E124,1),BS129,IF(BS$35&gt;EOMONTH($E124,1),BR132*(1+BS127),IF(AND(BS$35&gt;$E115,BS$35&lt;=$E124),BS129,0)))</f>
        <v>0</v>
      </c>
      <c r="BT132" s="224">
        <f t="shared" ref="BT132" si="1830">IF(BT$35=EOMONTH($E124,1),BT129,IF(BT$35&gt;EOMONTH($E124,1),BS132*(1+BT127),IF(AND(BT$35&gt;$E115,BT$35&lt;=$E124),BT129,0)))</f>
        <v>0</v>
      </c>
      <c r="BU132" s="224">
        <f t="shared" ref="BU132" si="1831">IF(BU$35=EOMONTH($E124,1),BU129,IF(BU$35&gt;EOMONTH($E124,1),BT132*(1+BU127),IF(AND(BU$35&gt;$E115,BU$35&lt;=$E124),BU129,0)))</f>
        <v>0</v>
      </c>
      <c r="BV132" s="224">
        <f t="shared" ref="BV132" si="1832">IF(BV$35=EOMONTH($E124,1),BV129,IF(BV$35&gt;EOMONTH($E124,1),BU132*(1+BV127),IF(AND(BV$35&gt;$E115,BV$35&lt;=$E124),BV129,0)))</f>
        <v>0</v>
      </c>
      <c r="BW132" s="224">
        <f t="shared" ref="BW132" si="1833">IF(BW$35=EOMONTH($E124,1),BW129,IF(BW$35&gt;EOMONTH($E124,1),BV132*(1+BW127),IF(AND(BW$35&gt;$E115,BW$35&lt;=$E124),BW129,0)))</f>
        <v>0</v>
      </c>
      <c r="BX132" s="224">
        <f t="shared" ref="BX132" si="1834">IF(BX$35=EOMONTH($E124,1),BX129,IF(BX$35&gt;EOMONTH($E124,1),BW132*(1+BX127),IF(AND(BX$35&gt;$E115,BX$35&lt;=$E124),BX129,0)))</f>
        <v>0</v>
      </c>
      <c r="BY132" s="224">
        <f t="shared" ref="BY132" si="1835">IF(BY$35=EOMONTH($E124,1),BY129,IF(BY$35&gt;EOMONTH($E124,1),BX132*(1+BY127),IF(AND(BY$35&gt;$E115,BY$35&lt;=$E124),BY129,0)))</f>
        <v>0</v>
      </c>
      <c r="BZ132" s="224">
        <f t="shared" ref="BZ132" si="1836">IF(BZ$35=EOMONTH($E124,1),BZ129,IF(BZ$35&gt;EOMONTH($E124,1),BY132*(1+BZ127),IF(AND(BZ$35&gt;$E115,BZ$35&lt;=$E124),BZ129,0)))</f>
        <v>0</v>
      </c>
      <c r="CA132" s="224">
        <f t="shared" ref="CA132" si="1837">IF(CA$35=EOMONTH($E124,1),CA129,IF(CA$35&gt;EOMONTH($E124,1),BZ132*(1+CA127),IF(AND(CA$35&gt;$E115,CA$35&lt;=$E124),CA129,0)))</f>
        <v>0</v>
      </c>
      <c r="CB132" s="224">
        <f t="shared" ref="CB132" si="1838">IF(CB$35=EOMONTH($E124,1),CB129,IF(CB$35&gt;EOMONTH($E124,1),CA132*(1+CB127),IF(AND(CB$35&gt;$E115,CB$35&lt;=$E124),CB129,0)))</f>
        <v>0</v>
      </c>
      <c r="CC132" s="224">
        <f t="shared" ref="CC132" si="1839">IF(CC$35=EOMONTH($E124,1),CC129,IF(CC$35&gt;EOMONTH($E124,1),CB132*(1+CC127),IF(AND(CC$35&gt;$E115,CC$35&lt;=$E124),CC129,0)))</f>
        <v>0</v>
      </c>
      <c r="CD132" s="224">
        <f t="shared" ref="CD132" si="1840">IF(CD$35=EOMONTH($E124,1),CD129,IF(CD$35&gt;EOMONTH($E124,1),CC132*(1+CD127),IF(AND(CD$35&gt;$E115,CD$35&lt;=$E124),CD129,0)))</f>
        <v>0</v>
      </c>
      <c r="CE132" s="224">
        <f t="shared" ref="CE132" si="1841">IF(CE$35=EOMONTH($E124,1),CE129,IF(CE$35&gt;EOMONTH($E124,1),CD132*(1+CE127),IF(AND(CE$35&gt;$E115,CE$35&lt;=$E124),CE129,0)))</f>
        <v>0</v>
      </c>
      <c r="CF132" s="224">
        <f t="shared" ref="CF132" si="1842">IF(CF$35=EOMONTH($E124,1),CF129,IF(CF$35&gt;EOMONTH($E124,1),CE132*(1+CF127),IF(AND(CF$35&gt;$E115,CF$35&lt;=$E124),CF129,0)))</f>
        <v>0</v>
      </c>
      <c r="CG132" s="224">
        <f t="shared" ref="CG132" si="1843">IF(CG$35=EOMONTH($E124,1),CG129,IF(CG$35&gt;EOMONTH($E124,1),CF132*(1+CG127),IF(AND(CG$35&gt;$E115,CG$35&lt;=$E124),CG129,0)))</f>
        <v>0</v>
      </c>
      <c r="CH132" s="224">
        <f t="shared" ref="CH132" si="1844">IF(CH$35=EOMONTH($E124,1),CH129,IF(CH$35&gt;EOMONTH($E124,1),CG132*(1+CH127),IF(AND(CH$35&gt;$E115,CH$35&lt;=$E124),CH129,0)))</f>
        <v>0</v>
      </c>
      <c r="CI132" s="224">
        <f t="shared" ref="CI132" si="1845">IF(CI$35=EOMONTH($E124,1),CI129,IF(CI$35&gt;EOMONTH($E124,1),CH132*(1+CI127),IF(AND(CI$35&gt;$E115,CI$35&lt;=$E124),CI129,0)))</f>
        <v>0</v>
      </c>
      <c r="CJ132" s="224">
        <f t="shared" ref="CJ132" si="1846">IF(CJ$35=EOMONTH($E124,1),CJ129,IF(CJ$35&gt;EOMONTH($E124,1),CI132*(1+CJ127),IF(AND(CJ$35&gt;$E115,CJ$35&lt;=$E124),CJ129,0)))</f>
        <v>0</v>
      </c>
      <c r="CK132" s="224">
        <f t="shared" ref="CK132" si="1847">IF(CK$35=EOMONTH($E124,1),CK129,IF(CK$35&gt;EOMONTH($E124,1),CJ132*(1+CK127),IF(AND(CK$35&gt;$E115,CK$35&lt;=$E124),CK129,0)))</f>
        <v>0</v>
      </c>
      <c r="CL132" s="224">
        <f t="shared" ref="CL132" si="1848">IF(CL$35=EOMONTH($E124,1),CL129,IF(CL$35&gt;EOMONTH($E124,1),CK132*(1+CL127),IF(AND(CL$35&gt;$E115,CL$35&lt;=$E124),CL129,0)))</f>
        <v>0</v>
      </c>
      <c r="CM132" s="224">
        <f t="shared" ref="CM132" si="1849">IF(CM$35=EOMONTH($E124,1),CM129,IF(CM$35&gt;EOMONTH($E124,1),CL132*(1+CM127),IF(AND(CM$35&gt;$E115,CM$35&lt;=$E124),CM129,0)))</f>
        <v>0</v>
      </c>
      <c r="CN132" s="224">
        <f t="shared" ref="CN132" si="1850">IF(CN$35=EOMONTH($E124,1),CN129,IF(CN$35&gt;EOMONTH($E124,1),CM132*(1+CN127),IF(AND(CN$35&gt;$E115,CN$35&lt;=$E124),CN129,0)))</f>
        <v>0</v>
      </c>
      <c r="CO132" s="224">
        <f t="shared" ref="CO132" si="1851">IF(CO$35=EOMONTH($E124,1),CO129,IF(CO$35&gt;EOMONTH($E124,1),CN132*(1+CO127),IF(AND(CO$35&gt;$E115,CO$35&lt;=$E124),CO129,0)))</f>
        <v>0</v>
      </c>
      <c r="CP132" s="224">
        <f t="shared" ref="CP132" si="1852">IF(CP$35=EOMONTH($E124,1),CP129,IF(CP$35&gt;EOMONTH($E124,1),CO132*(1+CP127),IF(AND(CP$35&gt;$E115,CP$35&lt;=$E124),CP129,0)))</f>
        <v>0</v>
      </c>
      <c r="CQ132" s="224">
        <f t="shared" ref="CQ132" si="1853">IF(CQ$35=EOMONTH($E124,1),CQ129,IF(CQ$35&gt;EOMONTH($E124,1),CP132*(1+CQ127),IF(AND(CQ$35&gt;$E115,CQ$35&lt;=$E124),CQ129,0)))</f>
        <v>0</v>
      </c>
      <c r="CR132" s="224">
        <f t="shared" ref="CR132" si="1854">IF(CR$35=EOMONTH($E124,1),CR129,IF(CR$35&gt;EOMONTH($E124,1),CQ132*(1+CR127),IF(AND(CR$35&gt;$E115,CR$35&lt;=$E124),CR129,0)))</f>
        <v>0</v>
      </c>
      <c r="CS132" s="224">
        <f t="shared" ref="CS132" si="1855">IF(CS$35=EOMONTH($E124,1),CS129,IF(CS$35&gt;EOMONTH($E124,1),CR132*(1+CS127),IF(AND(CS$35&gt;$E115,CS$35&lt;=$E124),CS129,0)))</f>
        <v>0</v>
      </c>
      <c r="CT132" s="224">
        <f t="shared" ref="CT132" si="1856">IF(CT$35=EOMONTH($E124,1),CT129,IF(CT$35&gt;EOMONTH($E124,1),CS132*(1+CT127),IF(AND(CT$35&gt;$E115,CT$35&lt;=$E124),CT129,0)))</f>
        <v>0</v>
      </c>
      <c r="CU132" s="224">
        <f t="shared" ref="CU132" si="1857">IF(CU$35=EOMONTH($E124,1),CU129,IF(CU$35&gt;EOMONTH($E124,1),CT132*(1+CU127),IF(AND(CU$35&gt;$E115,CU$35&lt;=$E124),CU129,0)))</f>
        <v>0</v>
      </c>
      <c r="CV132" s="224">
        <f t="shared" ref="CV132" si="1858">IF(CV$35=EOMONTH($E124,1),CV129,IF(CV$35&gt;EOMONTH($E124,1),CU132*(1+CV127),IF(AND(CV$35&gt;$E115,CV$35&lt;=$E124),CV129,0)))</f>
        <v>0</v>
      </c>
      <c r="CW132" s="224">
        <f t="shared" ref="CW132" si="1859">IF(CW$35=EOMONTH($E124,1),CW129,IF(CW$35&gt;EOMONTH($E124,1),CV132*(1+CW127),IF(AND(CW$35&gt;$E115,CW$35&lt;=$E124),CW129,0)))</f>
        <v>0</v>
      </c>
      <c r="CX132" s="224">
        <f t="shared" ref="CX132" si="1860">IF(CX$35=EOMONTH($E124,1),CX129,IF(CX$35&gt;EOMONTH($E124,1),CW132*(1+CX127),IF(AND(CX$35&gt;$E115,CX$35&lt;=$E124),CX129,0)))</f>
        <v>0</v>
      </c>
      <c r="CY132" s="224">
        <f t="shared" ref="CY132" si="1861">IF(CY$35=EOMONTH($E124,1),CY129,IF(CY$35&gt;EOMONTH($E124,1),CX132*(1+CY127),IF(AND(CY$35&gt;$E115,CY$35&lt;=$E124),CY129,0)))</f>
        <v>0</v>
      </c>
      <c r="CZ132" s="224">
        <f t="shared" ref="CZ132" si="1862">IF(CZ$35=EOMONTH($E124,1),CZ129,IF(CZ$35&gt;EOMONTH($E124,1),CY132*(1+CZ127),IF(AND(CZ$35&gt;$E115,CZ$35&lt;=$E124),CZ129,0)))</f>
        <v>0</v>
      </c>
      <c r="DA132" s="224">
        <f t="shared" ref="DA132" si="1863">IF(DA$35=EOMONTH($E124,1),DA129,IF(DA$35&gt;EOMONTH($E124,1),CZ132*(1+DA127),IF(AND(DA$35&gt;$E115,DA$35&lt;=$E124),DA129,0)))</f>
        <v>0</v>
      </c>
      <c r="DB132" s="224">
        <f t="shared" ref="DB132" si="1864">IF(DB$35=EOMONTH($E124,1),DB129,IF(DB$35&gt;EOMONTH($E124,1),DA132*(1+DB127),IF(AND(DB$35&gt;$E115,DB$35&lt;=$E124),DB129,0)))</f>
        <v>0</v>
      </c>
      <c r="DC132" s="224">
        <f t="shared" ref="DC132" si="1865">IF(DC$35=EOMONTH($E124,1),DC129,IF(DC$35&gt;EOMONTH($E124,1),DB132*(1+DC127),IF(AND(DC$35&gt;$E115,DC$35&lt;=$E124),DC129,0)))</f>
        <v>0</v>
      </c>
      <c r="DD132" s="224">
        <f t="shared" ref="DD132" si="1866">IF(DD$35=EOMONTH($E124,1),DD129,IF(DD$35&gt;EOMONTH($E124,1),DC132*(1+DD127),IF(AND(DD$35&gt;$E115,DD$35&lt;=$E124),DD129,0)))</f>
        <v>0</v>
      </c>
      <c r="DE132" s="224">
        <f t="shared" ref="DE132" si="1867">IF(DE$35=EOMONTH($E124,1),DE129,IF(DE$35&gt;EOMONTH($E124,1),DD132*(1+DE127),IF(AND(DE$35&gt;$E115,DE$35&lt;=$E124),DE129,0)))</f>
        <v>0</v>
      </c>
      <c r="DF132" s="224">
        <f t="shared" ref="DF132" si="1868">IF(DF$35=EOMONTH($E124,1),DF129,IF(DF$35&gt;EOMONTH($E124,1),DE132*(1+DF127),IF(AND(DF$35&gt;$E115,DF$35&lt;=$E124),DF129,0)))</f>
        <v>0</v>
      </c>
      <c r="DG132" s="224">
        <f t="shared" ref="DG132" si="1869">IF(DG$35=EOMONTH($E124,1),DG129,IF(DG$35&gt;EOMONTH($E124,1),DF132*(1+DG127),IF(AND(DG$35&gt;$E115,DG$35&lt;=$E124),DG129,0)))</f>
        <v>0</v>
      </c>
      <c r="DH132" s="224">
        <f t="shared" ref="DH132" si="1870">IF(DH$35=EOMONTH($E124,1),DH129,IF(DH$35&gt;EOMONTH($E124,1),DG132*(1+DH127),IF(AND(DH$35&gt;$E115,DH$35&lt;=$E124),DH129,0)))</f>
        <v>0</v>
      </c>
      <c r="DI132" s="224">
        <f t="shared" ref="DI132" si="1871">IF(DI$35=EOMONTH($E124,1),DI129,IF(DI$35&gt;EOMONTH($E124,1),DH132*(1+DI127),IF(AND(DI$35&gt;$E115,DI$35&lt;=$E124),DI129,0)))</f>
        <v>0</v>
      </c>
    </row>
    <row r="133" spans="2:113" customFormat="1" outlineLevel="1" x14ac:dyDescent="0.25">
      <c r="B133" s="1"/>
      <c r="C133" s="54"/>
      <c r="D133" s="66"/>
      <c r="E133" s="1"/>
      <c r="F133" s="227"/>
      <c r="G133" s="1"/>
      <c r="H133" s="1"/>
      <c r="I133" s="1"/>
      <c r="J133" s="1"/>
      <c r="AP133" s="228"/>
      <c r="AQ133" s="228"/>
      <c r="AR133" s="146"/>
      <c r="AS133" s="146"/>
      <c r="AT133" s="146"/>
      <c r="CL133" s="222"/>
      <c r="CM133" s="222"/>
      <c r="CN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</row>
    <row r="134" spans="2:113" customFormat="1" outlineLevel="1" x14ac:dyDescent="0.25">
      <c r="B134" s="1"/>
      <c r="C134" s="60" t="s">
        <v>252</v>
      </c>
      <c r="D134" s="47" t="s">
        <v>107</v>
      </c>
      <c r="E134" s="1"/>
      <c r="F134" s="126">
        <f t="shared" ref="F134:BQ134" si="1872">+F130*$E112/Months</f>
        <v>0</v>
      </c>
      <c r="G134" s="126">
        <f t="shared" si="1872"/>
        <v>0</v>
      </c>
      <c r="H134" s="126">
        <f t="shared" si="1872"/>
        <v>0</v>
      </c>
      <c r="I134" s="126">
        <f t="shared" si="1872"/>
        <v>0</v>
      </c>
      <c r="J134" s="126">
        <f t="shared" si="1872"/>
        <v>0</v>
      </c>
      <c r="K134" s="126">
        <f t="shared" si="1872"/>
        <v>0</v>
      </c>
      <c r="L134" s="126">
        <f t="shared" si="1872"/>
        <v>0</v>
      </c>
      <c r="M134" s="126">
        <f t="shared" si="1872"/>
        <v>0</v>
      </c>
      <c r="N134" s="126">
        <f t="shared" si="1872"/>
        <v>0</v>
      </c>
      <c r="O134" s="126">
        <f t="shared" si="1872"/>
        <v>0</v>
      </c>
      <c r="P134" s="126">
        <f t="shared" si="1872"/>
        <v>0</v>
      </c>
      <c r="Q134" s="126">
        <f t="shared" si="1872"/>
        <v>0</v>
      </c>
      <c r="R134" s="126">
        <f t="shared" si="1872"/>
        <v>0</v>
      </c>
      <c r="S134" s="126">
        <f t="shared" si="1872"/>
        <v>0</v>
      </c>
      <c r="T134" s="126">
        <f t="shared" si="1872"/>
        <v>0</v>
      </c>
      <c r="U134" s="126">
        <f t="shared" si="1872"/>
        <v>0</v>
      </c>
      <c r="V134" s="126">
        <f t="shared" si="1872"/>
        <v>0</v>
      </c>
      <c r="W134" s="126">
        <f t="shared" si="1872"/>
        <v>0</v>
      </c>
      <c r="X134" s="126">
        <f t="shared" si="1872"/>
        <v>0</v>
      </c>
      <c r="Y134" s="126">
        <f t="shared" si="1872"/>
        <v>0</v>
      </c>
      <c r="Z134" s="126">
        <f t="shared" si="1872"/>
        <v>0</v>
      </c>
      <c r="AA134" s="126">
        <f t="shared" si="1872"/>
        <v>0</v>
      </c>
      <c r="AB134" s="126">
        <f t="shared" si="1872"/>
        <v>0</v>
      </c>
      <c r="AC134" s="126">
        <f t="shared" si="1872"/>
        <v>0</v>
      </c>
      <c r="AD134" s="126">
        <f t="shared" si="1872"/>
        <v>0</v>
      </c>
      <c r="AE134" s="126">
        <f t="shared" si="1872"/>
        <v>0</v>
      </c>
      <c r="AF134" s="126">
        <f t="shared" si="1872"/>
        <v>0</v>
      </c>
      <c r="AG134" s="126">
        <f t="shared" si="1872"/>
        <v>0</v>
      </c>
      <c r="AH134" s="126">
        <f t="shared" si="1872"/>
        <v>0</v>
      </c>
      <c r="AI134" s="126">
        <f t="shared" si="1872"/>
        <v>0</v>
      </c>
      <c r="AJ134" s="126">
        <f t="shared" si="1872"/>
        <v>0</v>
      </c>
      <c r="AK134" s="126">
        <f t="shared" si="1872"/>
        <v>0</v>
      </c>
      <c r="AL134" s="126">
        <f t="shared" si="1872"/>
        <v>0</v>
      </c>
      <c r="AM134" s="126">
        <f t="shared" si="1872"/>
        <v>0</v>
      </c>
      <c r="AN134" s="126">
        <f t="shared" si="1872"/>
        <v>0</v>
      </c>
      <c r="AO134" s="126">
        <f t="shared" si="1872"/>
        <v>0</v>
      </c>
      <c r="AP134" s="126">
        <f t="shared" si="1872"/>
        <v>0</v>
      </c>
      <c r="AQ134" s="126">
        <f t="shared" si="1872"/>
        <v>0</v>
      </c>
      <c r="AR134" s="126">
        <f t="shared" si="1872"/>
        <v>0</v>
      </c>
      <c r="AS134" s="126">
        <f t="shared" si="1872"/>
        <v>0</v>
      </c>
      <c r="AT134" s="126">
        <f t="shared" si="1872"/>
        <v>0</v>
      </c>
      <c r="AU134" s="126">
        <f t="shared" si="1872"/>
        <v>0</v>
      </c>
      <c r="AV134" s="126">
        <f t="shared" si="1872"/>
        <v>0</v>
      </c>
      <c r="AW134" s="126">
        <f t="shared" si="1872"/>
        <v>0</v>
      </c>
      <c r="AX134" s="126">
        <f t="shared" si="1872"/>
        <v>0</v>
      </c>
      <c r="AY134" s="126">
        <f t="shared" si="1872"/>
        <v>0</v>
      </c>
      <c r="AZ134" s="126">
        <f t="shared" si="1872"/>
        <v>0</v>
      </c>
      <c r="BA134" s="126">
        <f t="shared" si="1872"/>
        <v>0</v>
      </c>
      <c r="BB134" s="126">
        <f t="shared" si="1872"/>
        <v>0</v>
      </c>
      <c r="BC134" s="126">
        <f t="shared" si="1872"/>
        <v>0</v>
      </c>
      <c r="BD134" s="126">
        <f t="shared" si="1872"/>
        <v>0</v>
      </c>
      <c r="BE134" s="126">
        <f t="shared" si="1872"/>
        <v>0</v>
      </c>
      <c r="BF134" s="126">
        <f t="shared" si="1872"/>
        <v>0</v>
      </c>
      <c r="BG134" s="126">
        <f t="shared" si="1872"/>
        <v>0</v>
      </c>
      <c r="BH134" s="126">
        <f t="shared" si="1872"/>
        <v>0</v>
      </c>
      <c r="BI134" s="126">
        <f t="shared" si="1872"/>
        <v>0</v>
      </c>
      <c r="BJ134" s="126">
        <f t="shared" si="1872"/>
        <v>0</v>
      </c>
      <c r="BK134" s="126">
        <f t="shared" si="1872"/>
        <v>0</v>
      </c>
      <c r="BL134" s="126">
        <f t="shared" si="1872"/>
        <v>2868405.9314605803</v>
      </c>
      <c r="BM134" s="126">
        <f t="shared" si="1872"/>
        <v>2868405.9314605803</v>
      </c>
      <c r="BN134" s="126">
        <f t="shared" si="1872"/>
        <v>2868405.9314605803</v>
      </c>
      <c r="BO134" s="126">
        <f t="shared" si="1872"/>
        <v>2868405.9314605803</v>
      </c>
      <c r="BP134" s="126">
        <f t="shared" si="1872"/>
        <v>2868405.9314605803</v>
      </c>
      <c r="BQ134" s="126">
        <f t="shared" si="1872"/>
        <v>2868405.9314605803</v>
      </c>
      <c r="BR134" s="126">
        <f t="shared" ref="BR134:DI134" si="1873">+BR130*$E112/Months</f>
        <v>2868405.9314605803</v>
      </c>
      <c r="BS134" s="126">
        <f t="shared" si="1873"/>
        <v>2868405.9314605803</v>
      </c>
      <c r="BT134" s="126">
        <f t="shared" si="1873"/>
        <v>2868405.9314605803</v>
      </c>
      <c r="BU134" s="126">
        <f t="shared" si="1873"/>
        <v>2868405.9314605803</v>
      </c>
      <c r="BV134" s="126">
        <f t="shared" si="1873"/>
        <v>2868405.9314605803</v>
      </c>
      <c r="BW134" s="126">
        <f t="shared" si="1873"/>
        <v>2868405.9314605803</v>
      </c>
      <c r="BX134" s="126">
        <f t="shared" si="1873"/>
        <v>2932945.0649184436</v>
      </c>
      <c r="BY134" s="126">
        <f t="shared" si="1873"/>
        <v>2932945.0649184436</v>
      </c>
      <c r="BZ134" s="126">
        <f t="shared" si="1873"/>
        <v>2932945.0649184436</v>
      </c>
      <c r="CA134" s="126">
        <f t="shared" si="1873"/>
        <v>2932945.0649184436</v>
      </c>
      <c r="CB134" s="126">
        <f t="shared" si="1873"/>
        <v>2932945.0649184436</v>
      </c>
      <c r="CC134" s="126">
        <f t="shared" si="1873"/>
        <v>2932945.0649184436</v>
      </c>
      <c r="CD134" s="126">
        <f t="shared" si="1873"/>
        <v>2932945.0649184436</v>
      </c>
      <c r="CE134" s="126">
        <f t="shared" si="1873"/>
        <v>2932945.0649184436</v>
      </c>
      <c r="CF134" s="126">
        <f t="shared" si="1873"/>
        <v>2932945.0649184436</v>
      </c>
      <c r="CG134" s="126">
        <f t="shared" si="1873"/>
        <v>2932945.0649184436</v>
      </c>
      <c r="CH134" s="126">
        <f t="shared" si="1873"/>
        <v>2932945.0649184436</v>
      </c>
      <c r="CI134" s="126">
        <f t="shared" si="1873"/>
        <v>2932945.0649184436</v>
      </c>
      <c r="CJ134" s="126">
        <f t="shared" si="1873"/>
        <v>2998936.3288791082</v>
      </c>
      <c r="CK134" s="126">
        <f t="shared" si="1873"/>
        <v>2998936.3288791082</v>
      </c>
      <c r="CL134" s="126">
        <f t="shared" si="1873"/>
        <v>2998936.3288791082</v>
      </c>
      <c r="CM134" s="126">
        <f t="shared" si="1873"/>
        <v>2998936.3288791082</v>
      </c>
      <c r="CN134" s="126">
        <f t="shared" si="1873"/>
        <v>2998936.3288791082</v>
      </c>
      <c r="CO134" s="126">
        <f t="shared" si="1873"/>
        <v>2998936.3288791082</v>
      </c>
      <c r="CP134" s="126">
        <f t="shared" si="1873"/>
        <v>2998936.3288791082</v>
      </c>
      <c r="CQ134" s="126">
        <f t="shared" si="1873"/>
        <v>2998936.3288791082</v>
      </c>
      <c r="CR134" s="126">
        <f t="shared" si="1873"/>
        <v>2998936.3288791082</v>
      </c>
      <c r="CS134" s="126">
        <f t="shared" si="1873"/>
        <v>2998936.3288791082</v>
      </c>
      <c r="CT134" s="126">
        <f t="shared" si="1873"/>
        <v>2998936.3288791082</v>
      </c>
      <c r="CU134" s="126">
        <f t="shared" si="1873"/>
        <v>2998936.3288791082</v>
      </c>
      <c r="CV134" s="126">
        <f t="shared" si="1873"/>
        <v>3066412.396278888</v>
      </c>
      <c r="CW134" s="126">
        <f t="shared" si="1873"/>
        <v>3066412.396278888</v>
      </c>
      <c r="CX134" s="126">
        <f t="shared" si="1873"/>
        <v>3066412.396278888</v>
      </c>
      <c r="CY134" s="126">
        <f t="shared" si="1873"/>
        <v>3066412.396278888</v>
      </c>
      <c r="CZ134" s="126">
        <f t="shared" si="1873"/>
        <v>3066412.396278888</v>
      </c>
      <c r="DA134" s="126">
        <f t="shared" si="1873"/>
        <v>3066412.396278888</v>
      </c>
      <c r="DB134" s="126">
        <f t="shared" si="1873"/>
        <v>3066412.396278888</v>
      </c>
      <c r="DC134" s="126">
        <f t="shared" si="1873"/>
        <v>3066412.396278888</v>
      </c>
      <c r="DD134" s="126">
        <f t="shared" si="1873"/>
        <v>3066412.396278888</v>
      </c>
      <c r="DE134" s="126">
        <f t="shared" si="1873"/>
        <v>3066412.396278888</v>
      </c>
      <c r="DF134" s="126">
        <f t="shared" si="1873"/>
        <v>3066412.396278888</v>
      </c>
      <c r="DG134" s="126">
        <f t="shared" si="1873"/>
        <v>3066412.396278888</v>
      </c>
      <c r="DH134" s="126">
        <f t="shared" si="1873"/>
        <v>3135406.6751951627</v>
      </c>
      <c r="DI134" s="126">
        <f t="shared" si="1873"/>
        <v>3135406.6751951627</v>
      </c>
    </row>
    <row r="135" spans="2:113" customFormat="1" outlineLevel="1" x14ac:dyDescent="0.25">
      <c r="B135" s="1"/>
      <c r="C135" s="60" t="s">
        <v>253</v>
      </c>
      <c r="D135" s="47" t="s">
        <v>107</v>
      </c>
      <c r="E135" s="1"/>
      <c r="F135" s="72">
        <f t="shared" ref="F135:BQ135" si="1874">+F131*$E112/Months*Renewal_Probability</f>
        <v>0</v>
      </c>
      <c r="G135" s="72">
        <f t="shared" si="1874"/>
        <v>0</v>
      </c>
      <c r="H135" s="72">
        <f t="shared" si="1874"/>
        <v>0</v>
      </c>
      <c r="I135" s="72">
        <f t="shared" si="1874"/>
        <v>0</v>
      </c>
      <c r="J135" s="72">
        <f t="shared" si="1874"/>
        <v>0</v>
      </c>
      <c r="K135" s="72">
        <f t="shared" si="1874"/>
        <v>0</v>
      </c>
      <c r="L135" s="72">
        <f t="shared" si="1874"/>
        <v>0</v>
      </c>
      <c r="M135" s="72">
        <f t="shared" si="1874"/>
        <v>0</v>
      </c>
      <c r="N135" s="72">
        <f t="shared" si="1874"/>
        <v>0</v>
      </c>
      <c r="O135" s="72">
        <f t="shared" si="1874"/>
        <v>0</v>
      </c>
      <c r="P135" s="72">
        <f t="shared" si="1874"/>
        <v>0</v>
      </c>
      <c r="Q135" s="72">
        <f t="shared" si="1874"/>
        <v>0</v>
      </c>
      <c r="R135" s="72">
        <f t="shared" si="1874"/>
        <v>0</v>
      </c>
      <c r="S135" s="72">
        <f t="shared" si="1874"/>
        <v>0</v>
      </c>
      <c r="T135" s="72">
        <f t="shared" si="1874"/>
        <v>0</v>
      </c>
      <c r="U135" s="72">
        <f t="shared" si="1874"/>
        <v>0</v>
      </c>
      <c r="V135" s="72">
        <f t="shared" si="1874"/>
        <v>0</v>
      </c>
      <c r="W135" s="72">
        <f t="shared" si="1874"/>
        <v>0</v>
      </c>
      <c r="X135" s="72">
        <f t="shared" si="1874"/>
        <v>0</v>
      </c>
      <c r="Y135" s="72">
        <f t="shared" si="1874"/>
        <v>0</v>
      </c>
      <c r="Z135" s="72">
        <f t="shared" si="1874"/>
        <v>0</v>
      </c>
      <c r="AA135" s="72">
        <f t="shared" si="1874"/>
        <v>0</v>
      </c>
      <c r="AB135" s="72">
        <f t="shared" si="1874"/>
        <v>0</v>
      </c>
      <c r="AC135" s="72">
        <f t="shared" si="1874"/>
        <v>0</v>
      </c>
      <c r="AD135" s="72">
        <f t="shared" si="1874"/>
        <v>0</v>
      </c>
      <c r="AE135" s="72">
        <f t="shared" si="1874"/>
        <v>0</v>
      </c>
      <c r="AF135" s="72">
        <f t="shared" si="1874"/>
        <v>0</v>
      </c>
      <c r="AG135" s="72">
        <f t="shared" si="1874"/>
        <v>0</v>
      </c>
      <c r="AH135" s="72">
        <f t="shared" si="1874"/>
        <v>0</v>
      </c>
      <c r="AI135" s="72">
        <f t="shared" si="1874"/>
        <v>0</v>
      </c>
      <c r="AJ135" s="72">
        <f t="shared" si="1874"/>
        <v>0</v>
      </c>
      <c r="AK135" s="72">
        <f t="shared" si="1874"/>
        <v>0</v>
      </c>
      <c r="AL135" s="72">
        <f t="shared" si="1874"/>
        <v>0</v>
      </c>
      <c r="AM135" s="72">
        <f t="shared" si="1874"/>
        <v>0</v>
      </c>
      <c r="AN135" s="72">
        <f t="shared" si="1874"/>
        <v>0</v>
      </c>
      <c r="AO135" s="72">
        <f t="shared" si="1874"/>
        <v>0</v>
      </c>
      <c r="AP135" s="72">
        <f t="shared" si="1874"/>
        <v>0</v>
      </c>
      <c r="AQ135" s="72">
        <f t="shared" si="1874"/>
        <v>0</v>
      </c>
      <c r="AR135" s="72">
        <f t="shared" si="1874"/>
        <v>0</v>
      </c>
      <c r="AS135" s="72">
        <f t="shared" si="1874"/>
        <v>0</v>
      </c>
      <c r="AT135" s="72">
        <f t="shared" si="1874"/>
        <v>0</v>
      </c>
      <c r="AU135" s="72">
        <f t="shared" si="1874"/>
        <v>0</v>
      </c>
      <c r="AV135" s="72">
        <f t="shared" si="1874"/>
        <v>0</v>
      </c>
      <c r="AW135" s="72">
        <f t="shared" si="1874"/>
        <v>0</v>
      </c>
      <c r="AX135" s="72">
        <f t="shared" si="1874"/>
        <v>0</v>
      </c>
      <c r="AY135" s="72">
        <f t="shared" si="1874"/>
        <v>0</v>
      </c>
      <c r="AZ135" s="72">
        <f t="shared" si="1874"/>
        <v>0</v>
      </c>
      <c r="BA135" s="72">
        <f t="shared" si="1874"/>
        <v>0</v>
      </c>
      <c r="BB135" s="72">
        <f t="shared" si="1874"/>
        <v>0</v>
      </c>
      <c r="BC135" s="72">
        <f t="shared" si="1874"/>
        <v>0</v>
      </c>
      <c r="BD135" s="72">
        <f t="shared" si="1874"/>
        <v>0</v>
      </c>
      <c r="BE135" s="72">
        <f t="shared" si="1874"/>
        <v>0</v>
      </c>
      <c r="BF135" s="72">
        <f t="shared" si="1874"/>
        <v>0</v>
      </c>
      <c r="BG135" s="72">
        <f t="shared" si="1874"/>
        <v>0</v>
      </c>
      <c r="BH135" s="72">
        <f t="shared" si="1874"/>
        <v>0</v>
      </c>
      <c r="BI135" s="72">
        <f t="shared" si="1874"/>
        <v>0</v>
      </c>
      <c r="BJ135" s="72">
        <f t="shared" si="1874"/>
        <v>0</v>
      </c>
      <c r="BK135" s="72">
        <f t="shared" si="1874"/>
        <v>0</v>
      </c>
      <c r="BL135" s="72">
        <f t="shared" si="1874"/>
        <v>0</v>
      </c>
      <c r="BM135" s="72">
        <f t="shared" si="1874"/>
        <v>0</v>
      </c>
      <c r="BN135" s="72">
        <f t="shared" si="1874"/>
        <v>0</v>
      </c>
      <c r="BO135" s="72">
        <f t="shared" si="1874"/>
        <v>0</v>
      </c>
      <c r="BP135" s="72">
        <f t="shared" si="1874"/>
        <v>0</v>
      </c>
      <c r="BQ135" s="72">
        <f t="shared" si="1874"/>
        <v>0</v>
      </c>
      <c r="BR135" s="72">
        <f t="shared" ref="BR135:DI135" si="1875">+BR131*$E112/Months*Renewal_Probability</f>
        <v>0</v>
      </c>
      <c r="BS135" s="72">
        <f t="shared" si="1875"/>
        <v>0</v>
      </c>
      <c r="BT135" s="72">
        <f t="shared" si="1875"/>
        <v>0</v>
      </c>
      <c r="BU135" s="72">
        <f t="shared" si="1875"/>
        <v>0</v>
      </c>
      <c r="BV135" s="72">
        <f t="shared" si="1875"/>
        <v>0</v>
      </c>
      <c r="BW135" s="72">
        <f t="shared" si="1875"/>
        <v>0</v>
      </c>
      <c r="BX135" s="72">
        <f t="shared" si="1875"/>
        <v>0</v>
      </c>
      <c r="BY135" s="72">
        <f t="shared" si="1875"/>
        <v>0</v>
      </c>
      <c r="BZ135" s="72">
        <f t="shared" si="1875"/>
        <v>0</v>
      </c>
      <c r="CA135" s="72">
        <f t="shared" si="1875"/>
        <v>0</v>
      </c>
      <c r="CB135" s="72">
        <f t="shared" si="1875"/>
        <v>0</v>
      </c>
      <c r="CC135" s="72">
        <f t="shared" si="1875"/>
        <v>0</v>
      </c>
      <c r="CD135" s="72">
        <f t="shared" si="1875"/>
        <v>0</v>
      </c>
      <c r="CE135" s="72">
        <f t="shared" si="1875"/>
        <v>0</v>
      </c>
      <c r="CF135" s="72">
        <f t="shared" si="1875"/>
        <v>0</v>
      </c>
      <c r="CG135" s="72">
        <f t="shared" si="1875"/>
        <v>0</v>
      </c>
      <c r="CH135" s="72">
        <f t="shared" si="1875"/>
        <v>0</v>
      </c>
      <c r="CI135" s="72">
        <f t="shared" si="1875"/>
        <v>0</v>
      </c>
      <c r="CJ135" s="72">
        <f t="shared" si="1875"/>
        <v>0</v>
      </c>
      <c r="CK135" s="72">
        <f t="shared" si="1875"/>
        <v>0</v>
      </c>
      <c r="CL135" s="72">
        <f t="shared" si="1875"/>
        <v>0</v>
      </c>
      <c r="CM135" s="72">
        <f t="shared" si="1875"/>
        <v>0</v>
      </c>
      <c r="CN135" s="72">
        <f t="shared" si="1875"/>
        <v>0</v>
      </c>
      <c r="CO135" s="72">
        <f t="shared" si="1875"/>
        <v>0</v>
      </c>
      <c r="CP135" s="72">
        <f t="shared" si="1875"/>
        <v>0</v>
      </c>
      <c r="CQ135" s="72">
        <f t="shared" si="1875"/>
        <v>0</v>
      </c>
      <c r="CR135" s="72">
        <f t="shared" si="1875"/>
        <v>0</v>
      </c>
      <c r="CS135" s="72">
        <f t="shared" si="1875"/>
        <v>0</v>
      </c>
      <c r="CT135" s="72">
        <f t="shared" si="1875"/>
        <v>0</v>
      </c>
      <c r="CU135" s="72">
        <f t="shared" si="1875"/>
        <v>0</v>
      </c>
      <c r="CV135" s="72">
        <f t="shared" si="1875"/>
        <v>0</v>
      </c>
      <c r="CW135" s="72">
        <f t="shared" si="1875"/>
        <v>0</v>
      </c>
      <c r="CX135" s="72">
        <f t="shared" si="1875"/>
        <v>0</v>
      </c>
      <c r="CY135" s="72">
        <f t="shared" si="1875"/>
        <v>0</v>
      </c>
      <c r="CZ135" s="72">
        <f t="shared" si="1875"/>
        <v>0</v>
      </c>
      <c r="DA135" s="72">
        <f t="shared" si="1875"/>
        <v>0</v>
      </c>
      <c r="DB135" s="72">
        <f t="shared" si="1875"/>
        <v>0</v>
      </c>
      <c r="DC135" s="72">
        <f t="shared" si="1875"/>
        <v>0</v>
      </c>
      <c r="DD135" s="72">
        <f t="shared" si="1875"/>
        <v>0</v>
      </c>
      <c r="DE135" s="72">
        <f t="shared" si="1875"/>
        <v>0</v>
      </c>
      <c r="DF135" s="72">
        <f t="shared" si="1875"/>
        <v>0</v>
      </c>
      <c r="DG135" s="72">
        <f t="shared" si="1875"/>
        <v>0</v>
      </c>
      <c r="DH135" s="72">
        <f t="shared" si="1875"/>
        <v>0</v>
      </c>
      <c r="DI135" s="72">
        <f t="shared" si="1875"/>
        <v>0</v>
      </c>
    </row>
    <row r="136" spans="2:113" customFormat="1" outlineLevel="1" x14ac:dyDescent="0.25">
      <c r="B136" s="1"/>
      <c r="C136" s="60" t="s">
        <v>254</v>
      </c>
      <c r="D136" s="47" t="s">
        <v>107</v>
      </c>
      <c r="E136" s="1"/>
      <c r="F136" s="72">
        <f t="shared" ref="F136:BQ136" si="1876">+F132*$E112/Months*(1-Renewal_Probability)</f>
        <v>0</v>
      </c>
      <c r="G136" s="72">
        <f t="shared" si="1876"/>
        <v>0</v>
      </c>
      <c r="H136" s="72">
        <f t="shared" si="1876"/>
        <v>0</v>
      </c>
      <c r="I136" s="72">
        <f t="shared" si="1876"/>
        <v>0</v>
      </c>
      <c r="J136" s="72">
        <f t="shared" si="1876"/>
        <v>0</v>
      </c>
      <c r="K136" s="72">
        <f t="shared" si="1876"/>
        <v>0</v>
      </c>
      <c r="L136" s="72">
        <f t="shared" si="1876"/>
        <v>0</v>
      </c>
      <c r="M136" s="72">
        <f t="shared" si="1876"/>
        <v>0</v>
      </c>
      <c r="N136" s="72">
        <f t="shared" si="1876"/>
        <v>0</v>
      </c>
      <c r="O136" s="72">
        <f t="shared" si="1876"/>
        <v>0</v>
      </c>
      <c r="P136" s="72">
        <f t="shared" si="1876"/>
        <v>0</v>
      </c>
      <c r="Q136" s="72">
        <f t="shared" si="1876"/>
        <v>0</v>
      </c>
      <c r="R136" s="72">
        <f t="shared" si="1876"/>
        <v>0</v>
      </c>
      <c r="S136" s="72">
        <f t="shared" si="1876"/>
        <v>0</v>
      </c>
      <c r="T136" s="72">
        <f t="shared" si="1876"/>
        <v>0</v>
      </c>
      <c r="U136" s="72">
        <f t="shared" si="1876"/>
        <v>0</v>
      </c>
      <c r="V136" s="72">
        <f t="shared" si="1876"/>
        <v>0</v>
      </c>
      <c r="W136" s="72">
        <f t="shared" si="1876"/>
        <v>0</v>
      </c>
      <c r="X136" s="72">
        <f t="shared" si="1876"/>
        <v>0</v>
      </c>
      <c r="Y136" s="72">
        <f t="shared" si="1876"/>
        <v>0</v>
      </c>
      <c r="Z136" s="72">
        <f t="shared" si="1876"/>
        <v>0</v>
      </c>
      <c r="AA136" s="72">
        <f t="shared" si="1876"/>
        <v>0</v>
      </c>
      <c r="AB136" s="72">
        <f t="shared" si="1876"/>
        <v>0</v>
      </c>
      <c r="AC136" s="72">
        <f t="shared" si="1876"/>
        <v>0</v>
      </c>
      <c r="AD136" s="72">
        <f t="shared" si="1876"/>
        <v>0</v>
      </c>
      <c r="AE136" s="72">
        <f t="shared" si="1876"/>
        <v>0</v>
      </c>
      <c r="AF136" s="72">
        <f t="shared" si="1876"/>
        <v>0</v>
      </c>
      <c r="AG136" s="72">
        <f t="shared" si="1876"/>
        <v>0</v>
      </c>
      <c r="AH136" s="72">
        <f t="shared" si="1876"/>
        <v>0</v>
      </c>
      <c r="AI136" s="72">
        <f t="shared" si="1876"/>
        <v>0</v>
      </c>
      <c r="AJ136" s="72">
        <f t="shared" si="1876"/>
        <v>0</v>
      </c>
      <c r="AK136" s="72">
        <f t="shared" si="1876"/>
        <v>0</v>
      </c>
      <c r="AL136" s="72">
        <f t="shared" si="1876"/>
        <v>0</v>
      </c>
      <c r="AM136" s="72">
        <f t="shared" si="1876"/>
        <v>0</v>
      </c>
      <c r="AN136" s="72">
        <f t="shared" si="1876"/>
        <v>0</v>
      </c>
      <c r="AO136" s="72">
        <f t="shared" si="1876"/>
        <v>0</v>
      </c>
      <c r="AP136" s="72">
        <f t="shared" si="1876"/>
        <v>0</v>
      </c>
      <c r="AQ136" s="72">
        <f t="shared" si="1876"/>
        <v>0</v>
      </c>
      <c r="AR136" s="72">
        <f t="shared" si="1876"/>
        <v>0</v>
      </c>
      <c r="AS136" s="72">
        <f t="shared" si="1876"/>
        <v>0</v>
      </c>
      <c r="AT136" s="72">
        <f t="shared" si="1876"/>
        <v>0</v>
      </c>
      <c r="AU136" s="72">
        <f t="shared" si="1876"/>
        <v>0</v>
      </c>
      <c r="AV136" s="72">
        <f t="shared" si="1876"/>
        <v>0</v>
      </c>
      <c r="AW136" s="72">
        <f t="shared" si="1876"/>
        <v>0</v>
      </c>
      <c r="AX136" s="72">
        <f t="shared" si="1876"/>
        <v>0</v>
      </c>
      <c r="AY136" s="72">
        <f t="shared" si="1876"/>
        <v>0</v>
      </c>
      <c r="AZ136" s="72">
        <f t="shared" si="1876"/>
        <v>0</v>
      </c>
      <c r="BA136" s="72">
        <f t="shared" si="1876"/>
        <v>0</v>
      </c>
      <c r="BB136" s="72">
        <f t="shared" si="1876"/>
        <v>0</v>
      </c>
      <c r="BC136" s="72">
        <f t="shared" si="1876"/>
        <v>0</v>
      </c>
      <c r="BD136" s="72">
        <f t="shared" si="1876"/>
        <v>0</v>
      </c>
      <c r="BE136" s="72">
        <f t="shared" si="1876"/>
        <v>0</v>
      </c>
      <c r="BF136" s="72">
        <f t="shared" si="1876"/>
        <v>0</v>
      </c>
      <c r="BG136" s="72">
        <f t="shared" si="1876"/>
        <v>0</v>
      </c>
      <c r="BH136" s="72">
        <f t="shared" si="1876"/>
        <v>0</v>
      </c>
      <c r="BI136" s="72">
        <f t="shared" si="1876"/>
        <v>0</v>
      </c>
      <c r="BJ136" s="72">
        <f t="shared" si="1876"/>
        <v>0</v>
      </c>
      <c r="BK136" s="72">
        <f t="shared" si="1876"/>
        <v>0</v>
      </c>
      <c r="BL136" s="72">
        <f t="shared" si="1876"/>
        <v>0</v>
      </c>
      <c r="BM136" s="72">
        <f t="shared" si="1876"/>
        <v>0</v>
      </c>
      <c r="BN136" s="72">
        <f t="shared" si="1876"/>
        <v>0</v>
      </c>
      <c r="BO136" s="72">
        <f t="shared" si="1876"/>
        <v>0</v>
      </c>
      <c r="BP136" s="72">
        <f t="shared" si="1876"/>
        <v>0</v>
      </c>
      <c r="BQ136" s="72">
        <f t="shared" si="1876"/>
        <v>0</v>
      </c>
      <c r="BR136" s="72">
        <f t="shared" ref="BR136:DI136" si="1877">+BR132*$E112/Months*(1-Renewal_Probability)</f>
        <v>0</v>
      </c>
      <c r="BS136" s="72">
        <f t="shared" si="1877"/>
        <v>0</v>
      </c>
      <c r="BT136" s="72">
        <f t="shared" si="1877"/>
        <v>0</v>
      </c>
      <c r="BU136" s="72">
        <f t="shared" si="1877"/>
        <v>0</v>
      </c>
      <c r="BV136" s="72">
        <f t="shared" si="1877"/>
        <v>0</v>
      </c>
      <c r="BW136" s="72">
        <f t="shared" si="1877"/>
        <v>0</v>
      </c>
      <c r="BX136" s="72">
        <f t="shared" si="1877"/>
        <v>0</v>
      </c>
      <c r="BY136" s="72">
        <f t="shared" si="1877"/>
        <v>0</v>
      </c>
      <c r="BZ136" s="72">
        <f t="shared" si="1877"/>
        <v>0</v>
      </c>
      <c r="CA136" s="72">
        <f t="shared" si="1877"/>
        <v>0</v>
      </c>
      <c r="CB136" s="72">
        <f t="shared" si="1877"/>
        <v>0</v>
      </c>
      <c r="CC136" s="72">
        <f t="shared" si="1877"/>
        <v>0</v>
      </c>
      <c r="CD136" s="72">
        <f t="shared" si="1877"/>
        <v>0</v>
      </c>
      <c r="CE136" s="72">
        <f t="shared" si="1877"/>
        <v>0</v>
      </c>
      <c r="CF136" s="72">
        <f t="shared" si="1877"/>
        <v>0</v>
      </c>
      <c r="CG136" s="72">
        <f t="shared" si="1877"/>
        <v>0</v>
      </c>
      <c r="CH136" s="72">
        <f t="shared" si="1877"/>
        <v>0</v>
      </c>
      <c r="CI136" s="72">
        <f t="shared" si="1877"/>
        <v>0</v>
      </c>
      <c r="CJ136" s="72">
        <f t="shared" si="1877"/>
        <v>0</v>
      </c>
      <c r="CK136" s="72">
        <f t="shared" si="1877"/>
        <v>0</v>
      </c>
      <c r="CL136" s="72">
        <f t="shared" si="1877"/>
        <v>0</v>
      </c>
      <c r="CM136" s="72">
        <f t="shared" si="1877"/>
        <v>0</v>
      </c>
      <c r="CN136" s="72">
        <f t="shared" si="1877"/>
        <v>0</v>
      </c>
      <c r="CO136" s="72">
        <f t="shared" si="1877"/>
        <v>0</v>
      </c>
      <c r="CP136" s="72">
        <f t="shared" si="1877"/>
        <v>0</v>
      </c>
      <c r="CQ136" s="72">
        <f t="shared" si="1877"/>
        <v>0</v>
      </c>
      <c r="CR136" s="72">
        <f t="shared" si="1877"/>
        <v>0</v>
      </c>
      <c r="CS136" s="72">
        <f t="shared" si="1877"/>
        <v>0</v>
      </c>
      <c r="CT136" s="72">
        <f t="shared" si="1877"/>
        <v>0</v>
      </c>
      <c r="CU136" s="72">
        <f t="shared" si="1877"/>
        <v>0</v>
      </c>
      <c r="CV136" s="72">
        <f t="shared" si="1877"/>
        <v>0</v>
      </c>
      <c r="CW136" s="72">
        <f t="shared" si="1877"/>
        <v>0</v>
      </c>
      <c r="CX136" s="72">
        <f t="shared" si="1877"/>
        <v>0</v>
      </c>
      <c r="CY136" s="72">
        <f t="shared" si="1877"/>
        <v>0</v>
      </c>
      <c r="CZ136" s="72">
        <f t="shared" si="1877"/>
        <v>0</v>
      </c>
      <c r="DA136" s="72">
        <f t="shared" si="1877"/>
        <v>0</v>
      </c>
      <c r="DB136" s="72">
        <f t="shared" si="1877"/>
        <v>0</v>
      </c>
      <c r="DC136" s="72">
        <f t="shared" si="1877"/>
        <v>0</v>
      </c>
      <c r="DD136" s="72">
        <f t="shared" si="1877"/>
        <v>0</v>
      </c>
      <c r="DE136" s="72">
        <f t="shared" si="1877"/>
        <v>0</v>
      </c>
      <c r="DF136" s="72">
        <f t="shared" si="1877"/>
        <v>0</v>
      </c>
      <c r="DG136" s="72">
        <f t="shared" si="1877"/>
        <v>0</v>
      </c>
      <c r="DH136" s="72">
        <f t="shared" si="1877"/>
        <v>0</v>
      </c>
      <c r="DI136" s="72">
        <f t="shared" si="1877"/>
        <v>0</v>
      </c>
    </row>
    <row r="137" spans="2:113" customFormat="1" outlineLevel="1" x14ac:dyDescent="0.25">
      <c r="B137" s="1"/>
      <c r="C137" s="60" t="s">
        <v>50</v>
      </c>
      <c r="D137" s="47" t="s">
        <v>107</v>
      </c>
      <c r="E137" s="1"/>
      <c r="F137" s="72">
        <f>IF(AND(F$35&gt;$E115,F$35&lt;=$E124),-F136,0)</f>
        <v>0</v>
      </c>
      <c r="G137" s="72">
        <f t="shared" ref="G137:BR137" si="1878">IF(AND(G$35&gt;$E115,G$35&lt;=$E124),-G136,0)</f>
        <v>0</v>
      </c>
      <c r="H137" s="72">
        <f t="shared" si="1878"/>
        <v>0</v>
      </c>
      <c r="I137" s="72">
        <f t="shared" si="1878"/>
        <v>0</v>
      </c>
      <c r="J137" s="72">
        <f t="shared" si="1878"/>
        <v>0</v>
      </c>
      <c r="K137" s="72">
        <f t="shared" si="1878"/>
        <v>0</v>
      </c>
      <c r="L137" s="72">
        <f t="shared" si="1878"/>
        <v>0</v>
      </c>
      <c r="M137" s="72">
        <f t="shared" si="1878"/>
        <v>0</v>
      </c>
      <c r="N137" s="72">
        <f t="shared" si="1878"/>
        <v>0</v>
      </c>
      <c r="O137" s="72">
        <f t="shared" si="1878"/>
        <v>0</v>
      </c>
      <c r="P137" s="72">
        <f t="shared" si="1878"/>
        <v>0</v>
      </c>
      <c r="Q137" s="72">
        <f t="shared" si="1878"/>
        <v>0</v>
      </c>
      <c r="R137" s="72">
        <f t="shared" si="1878"/>
        <v>0</v>
      </c>
      <c r="S137" s="72">
        <f t="shared" si="1878"/>
        <v>0</v>
      </c>
      <c r="T137" s="72">
        <f t="shared" si="1878"/>
        <v>0</v>
      </c>
      <c r="U137" s="72">
        <f t="shared" si="1878"/>
        <v>0</v>
      </c>
      <c r="V137" s="72">
        <f t="shared" si="1878"/>
        <v>0</v>
      </c>
      <c r="W137" s="72">
        <f t="shared" si="1878"/>
        <v>0</v>
      </c>
      <c r="X137" s="72">
        <f t="shared" si="1878"/>
        <v>0</v>
      </c>
      <c r="Y137" s="72">
        <f t="shared" si="1878"/>
        <v>0</v>
      </c>
      <c r="Z137" s="72">
        <f t="shared" si="1878"/>
        <v>0</v>
      </c>
      <c r="AA137" s="72">
        <f t="shared" si="1878"/>
        <v>0</v>
      </c>
      <c r="AB137" s="72">
        <f t="shared" si="1878"/>
        <v>0</v>
      </c>
      <c r="AC137" s="72">
        <f t="shared" si="1878"/>
        <v>0</v>
      </c>
      <c r="AD137" s="72">
        <f t="shared" si="1878"/>
        <v>0</v>
      </c>
      <c r="AE137" s="72">
        <f t="shared" si="1878"/>
        <v>0</v>
      </c>
      <c r="AF137" s="72">
        <f t="shared" si="1878"/>
        <v>0</v>
      </c>
      <c r="AG137" s="72">
        <f t="shared" si="1878"/>
        <v>0</v>
      </c>
      <c r="AH137" s="72">
        <f t="shared" si="1878"/>
        <v>0</v>
      </c>
      <c r="AI137" s="72">
        <f t="shared" si="1878"/>
        <v>0</v>
      </c>
      <c r="AJ137" s="72">
        <f t="shared" si="1878"/>
        <v>0</v>
      </c>
      <c r="AK137" s="72">
        <f t="shared" si="1878"/>
        <v>0</v>
      </c>
      <c r="AL137" s="72">
        <f t="shared" si="1878"/>
        <v>0</v>
      </c>
      <c r="AM137" s="72">
        <f t="shared" si="1878"/>
        <v>0</v>
      </c>
      <c r="AN137" s="72">
        <f t="shared" si="1878"/>
        <v>0</v>
      </c>
      <c r="AO137" s="72">
        <f t="shared" si="1878"/>
        <v>0</v>
      </c>
      <c r="AP137" s="72">
        <f t="shared" si="1878"/>
        <v>0</v>
      </c>
      <c r="AQ137" s="72">
        <f t="shared" si="1878"/>
        <v>0</v>
      </c>
      <c r="AR137" s="72">
        <f t="shared" si="1878"/>
        <v>0</v>
      </c>
      <c r="AS137" s="72">
        <f t="shared" si="1878"/>
        <v>0</v>
      </c>
      <c r="AT137" s="72">
        <f t="shared" si="1878"/>
        <v>0</v>
      </c>
      <c r="AU137" s="72">
        <f t="shared" si="1878"/>
        <v>0</v>
      </c>
      <c r="AV137" s="72">
        <f t="shared" si="1878"/>
        <v>0</v>
      </c>
      <c r="AW137" s="72">
        <f t="shared" si="1878"/>
        <v>0</v>
      </c>
      <c r="AX137" s="72">
        <f t="shared" si="1878"/>
        <v>0</v>
      </c>
      <c r="AY137" s="72">
        <f t="shared" si="1878"/>
        <v>0</v>
      </c>
      <c r="AZ137" s="72">
        <f t="shared" si="1878"/>
        <v>0</v>
      </c>
      <c r="BA137" s="72">
        <f t="shared" si="1878"/>
        <v>0</v>
      </c>
      <c r="BB137" s="72">
        <f t="shared" si="1878"/>
        <v>0</v>
      </c>
      <c r="BC137" s="72">
        <f t="shared" si="1878"/>
        <v>0</v>
      </c>
      <c r="BD137" s="72">
        <f t="shared" si="1878"/>
        <v>0</v>
      </c>
      <c r="BE137" s="72">
        <f t="shared" si="1878"/>
        <v>0</v>
      </c>
      <c r="BF137" s="72">
        <f t="shared" si="1878"/>
        <v>0</v>
      </c>
      <c r="BG137" s="72">
        <f t="shared" si="1878"/>
        <v>0</v>
      </c>
      <c r="BH137" s="72">
        <f t="shared" si="1878"/>
        <v>0</v>
      </c>
      <c r="BI137" s="72">
        <f t="shared" si="1878"/>
        <v>0</v>
      </c>
      <c r="BJ137" s="72">
        <f t="shared" si="1878"/>
        <v>0</v>
      </c>
      <c r="BK137" s="72">
        <f t="shared" si="1878"/>
        <v>0</v>
      </c>
      <c r="BL137" s="72">
        <f t="shared" si="1878"/>
        <v>0</v>
      </c>
      <c r="BM137" s="72">
        <f t="shared" si="1878"/>
        <v>0</v>
      </c>
      <c r="BN137" s="72">
        <f t="shared" si="1878"/>
        <v>0</v>
      </c>
      <c r="BO137" s="72">
        <f t="shared" si="1878"/>
        <v>0</v>
      </c>
      <c r="BP137" s="72">
        <f t="shared" si="1878"/>
        <v>0</v>
      </c>
      <c r="BQ137" s="72">
        <f t="shared" si="1878"/>
        <v>0</v>
      </c>
      <c r="BR137" s="72">
        <f t="shared" si="1878"/>
        <v>0</v>
      </c>
      <c r="BS137" s="72">
        <f t="shared" ref="BS137:DI137" si="1879">IF(AND(BS$35&gt;$E115,BS$35&lt;=$E124),-BS136,0)</f>
        <v>0</v>
      </c>
      <c r="BT137" s="72">
        <f t="shared" si="1879"/>
        <v>0</v>
      </c>
      <c r="BU137" s="72">
        <f t="shared" si="1879"/>
        <v>0</v>
      </c>
      <c r="BV137" s="72">
        <f t="shared" si="1879"/>
        <v>0</v>
      </c>
      <c r="BW137" s="72">
        <f t="shared" si="1879"/>
        <v>0</v>
      </c>
      <c r="BX137" s="72">
        <f t="shared" si="1879"/>
        <v>0</v>
      </c>
      <c r="BY137" s="72">
        <f t="shared" si="1879"/>
        <v>0</v>
      </c>
      <c r="BZ137" s="72">
        <f t="shared" si="1879"/>
        <v>0</v>
      </c>
      <c r="CA137" s="72">
        <f t="shared" si="1879"/>
        <v>0</v>
      </c>
      <c r="CB137" s="72">
        <f t="shared" si="1879"/>
        <v>0</v>
      </c>
      <c r="CC137" s="72">
        <f t="shared" si="1879"/>
        <v>0</v>
      </c>
      <c r="CD137" s="72">
        <f t="shared" si="1879"/>
        <v>0</v>
      </c>
      <c r="CE137" s="72">
        <f t="shared" si="1879"/>
        <v>0</v>
      </c>
      <c r="CF137" s="72">
        <f t="shared" si="1879"/>
        <v>0</v>
      </c>
      <c r="CG137" s="72">
        <f t="shared" si="1879"/>
        <v>0</v>
      </c>
      <c r="CH137" s="72">
        <f t="shared" si="1879"/>
        <v>0</v>
      </c>
      <c r="CI137" s="72">
        <f t="shared" si="1879"/>
        <v>0</v>
      </c>
      <c r="CJ137" s="72">
        <f t="shared" si="1879"/>
        <v>0</v>
      </c>
      <c r="CK137" s="72">
        <f t="shared" si="1879"/>
        <v>0</v>
      </c>
      <c r="CL137" s="72">
        <f t="shared" si="1879"/>
        <v>0</v>
      </c>
      <c r="CM137" s="72">
        <f t="shared" si="1879"/>
        <v>0</v>
      </c>
      <c r="CN137" s="72">
        <f t="shared" si="1879"/>
        <v>0</v>
      </c>
      <c r="CO137" s="72">
        <f t="shared" si="1879"/>
        <v>0</v>
      </c>
      <c r="CP137" s="72">
        <f t="shared" si="1879"/>
        <v>0</v>
      </c>
      <c r="CQ137" s="72">
        <f t="shared" si="1879"/>
        <v>0</v>
      </c>
      <c r="CR137" s="72">
        <f t="shared" si="1879"/>
        <v>0</v>
      </c>
      <c r="CS137" s="72">
        <f t="shared" si="1879"/>
        <v>0</v>
      </c>
      <c r="CT137" s="72">
        <f t="shared" si="1879"/>
        <v>0</v>
      </c>
      <c r="CU137" s="72">
        <f t="shared" si="1879"/>
        <v>0</v>
      </c>
      <c r="CV137" s="72">
        <f t="shared" si="1879"/>
        <v>0</v>
      </c>
      <c r="CW137" s="72">
        <f t="shared" si="1879"/>
        <v>0</v>
      </c>
      <c r="CX137" s="72">
        <f t="shared" si="1879"/>
        <v>0</v>
      </c>
      <c r="CY137" s="72">
        <f t="shared" si="1879"/>
        <v>0</v>
      </c>
      <c r="CZ137" s="72">
        <f t="shared" si="1879"/>
        <v>0</v>
      </c>
      <c r="DA137" s="72">
        <f t="shared" si="1879"/>
        <v>0</v>
      </c>
      <c r="DB137" s="72">
        <f t="shared" si="1879"/>
        <v>0</v>
      </c>
      <c r="DC137" s="72">
        <f t="shared" si="1879"/>
        <v>0</v>
      </c>
      <c r="DD137" s="72">
        <f t="shared" si="1879"/>
        <v>0</v>
      </c>
      <c r="DE137" s="72">
        <f t="shared" si="1879"/>
        <v>0</v>
      </c>
      <c r="DF137" s="72">
        <f t="shared" si="1879"/>
        <v>0</v>
      </c>
      <c r="DG137" s="72">
        <f t="shared" si="1879"/>
        <v>0</v>
      </c>
      <c r="DH137" s="72">
        <f t="shared" si="1879"/>
        <v>0</v>
      </c>
      <c r="DI137" s="72">
        <f t="shared" si="1879"/>
        <v>0</v>
      </c>
    </row>
    <row r="138" spans="2:113" customFormat="1" outlineLevel="1" x14ac:dyDescent="0.25">
      <c r="B138" s="1"/>
      <c r="C138" s="60" t="s">
        <v>51</v>
      </c>
      <c r="D138" s="47" t="s">
        <v>107</v>
      </c>
      <c r="E138" s="1"/>
      <c r="F138" s="72">
        <f t="shared" ref="F138:BQ138" si="1880">IF(AND(F$35&gt;$E113,F$35&lt;=EOMONTH($E113,$E117)),-F134,0)+IF(AND(F$35&gt;$E115,F$35&lt;=EOMONTH($E115,Renewal_Free_Rent_Months)),-F135,0)+IF(AND(F$35&gt;EOMONTH($E115,Down_Months),F$35&lt;=EOMONTH($E115,Down_Months+New_Free_Rent_Months)),-F136,0)</f>
        <v>0</v>
      </c>
      <c r="G138" s="72">
        <f t="shared" si="1880"/>
        <v>0</v>
      </c>
      <c r="H138" s="72">
        <f t="shared" si="1880"/>
        <v>0</v>
      </c>
      <c r="I138" s="72">
        <f t="shared" si="1880"/>
        <v>0</v>
      </c>
      <c r="J138" s="72">
        <f t="shared" si="1880"/>
        <v>0</v>
      </c>
      <c r="K138" s="72">
        <f t="shared" si="1880"/>
        <v>0</v>
      </c>
      <c r="L138" s="72">
        <f t="shared" si="1880"/>
        <v>0</v>
      </c>
      <c r="M138" s="72">
        <f t="shared" si="1880"/>
        <v>0</v>
      </c>
      <c r="N138" s="72">
        <f t="shared" si="1880"/>
        <v>0</v>
      </c>
      <c r="O138" s="72">
        <f t="shared" si="1880"/>
        <v>0</v>
      </c>
      <c r="P138" s="72">
        <f t="shared" si="1880"/>
        <v>0</v>
      </c>
      <c r="Q138" s="72">
        <f t="shared" si="1880"/>
        <v>0</v>
      </c>
      <c r="R138" s="72">
        <f t="shared" si="1880"/>
        <v>0</v>
      </c>
      <c r="S138" s="72">
        <f t="shared" si="1880"/>
        <v>0</v>
      </c>
      <c r="T138" s="72">
        <f t="shared" si="1880"/>
        <v>0</v>
      </c>
      <c r="U138" s="72">
        <f t="shared" si="1880"/>
        <v>0</v>
      </c>
      <c r="V138" s="72">
        <f t="shared" si="1880"/>
        <v>0</v>
      </c>
      <c r="W138" s="72">
        <f t="shared" si="1880"/>
        <v>0</v>
      </c>
      <c r="X138" s="72">
        <f t="shared" si="1880"/>
        <v>0</v>
      </c>
      <c r="Y138" s="72">
        <f t="shared" si="1880"/>
        <v>0</v>
      </c>
      <c r="Z138" s="72">
        <f t="shared" si="1880"/>
        <v>0</v>
      </c>
      <c r="AA138" s="72">
        <f t="shared" si="1880"/>
        <v>0</v>
      </c>
      <c r="AB138" s="72">
        <f t="shared" si="1880"/>
        <v>0</v>
      </c>
      <c r="AC138" s="72">
        <f t="shared" si="1880"/>
        <v>0</v>
      </c>
      <c r="AD138" s="72">
        <f t="shared" si="1880"/>
        <v>0</v>
      </c>
      <c r="AE138" s="72">
        <f t="shared" si="1880"/>
        <v>0</v>
      </c>
      <c r="AF138" s="72">
        <f t="shared" si="1880"/>
        <v>0</v>
      </c>
      <c r="AG138" s="72">
        <f t="shared" si="1880"/>
        <v>0</v>
      </c>
      <c r="AH138" s="72">
        <f t="shared" si="1880"/>
        <v>0</v>
      </c>
      <c r="AI138" s="72">
        <f t="shared" si="1880"/>
        <v>0</v>
      </c>
      <c r="AJ138" s="72">
        <f t="shared" si="1880"/>
        <v>0</v>
      </c>
      <c r="AK138" s="72">
        <f t="shared" si="1880"/>
        <v>0</v>
      </c>
      <c r="AL138" s="72">
        <f t="shared" si="1880"/>
        <v>0</v>
      </c>
      <c r="AM138" s="72">
        <f t="shared" si="1880"/>
        <v>0</v>
      </c>
      <c r="AN138" s="72">
        <f t="shared" si="1880"/>
        <v>0</v>
      </c>
      <c r="AO138" s="72">
        <f t="shared" si="1880"/>
        <v>0</v>
      </c>
      <c r="AP138" s="72">
        <f t="shared" si="1880"/>
        <v>0</v>
      </c>
      <c r="AQ138" s="72">
        <f t="shared" si="1880"/>
        <v>0</v>
      </c>
      <c r="AR138" s="72">
        <f t="shared" si="1880"/>
        <v>0</v>
      </c>
      <c r="AS138" s="72">
        <f t="shared" si="1880"/>
        <v>0</v>
      </c>
      <c r="AT138" s="72">
        <f t="shared" si="1880"/>
        <v>0</v>
      </c>
      <c r="AU138" s="72">
        <f t="shared" si="1880"/>
        <v>0</v>
      </c>
      <c r="AV138" s="72">
        <f t="shared" si="1880"/>
        <v>0</v>
      </c>
      <c r="AW138" s="72">
        <f t="shared" si="1880"/>
        <v>0</v>
      </c>
      <c r="AX138" s="72">
        <f t="shared" si="1880"/>
        <v>0</v>
      </c>
      <c r="AY138" s="72">
        <f t="shared" si="1880"/>
        <v>0</v>
      </c>
      <c r="AZ138" s="72">
        <f t="shared" si="1880"/>
        <v>0</v>
      </c>
      <c r="BA138" s="72">
        <f t="shared" si="1880"/>
        <v>0</v>
      </c>
      <c r="BB138" s="72">
        <f t="shared" si="1880"/>
        <v>0</v>
      </c>
      <c r="BC138" s="72">
        <f t="shared" si="1880"/>
        <v>0</v>
      </c>
      <c r="BD138" s="72">
        <f t="shared" si="1880"/>
        <v>0</v>
      </c>
      <c r="BE138" s="72">
        <f t="shared" si="1880"/>
        <v>0</v>
      </c>
      <c r="BF138" s="72">
        <f t="shared" si="1880"/>
        <v>0</v>
      </c>
      <c r="BG138" s="72">
        <f t="shared" si="1880"/>
        <v>0</v>
      </c>
      <c r="BH138" s="72">
        <f t="shared" si="1880"/>
        <v>0</v>
      </c>
      <c r="BI138" s="72">
        <f t="shared" si="1880"/>
        <v>0</v>
      </c>
      <c r="BJ138" s="72">
        <f t="shared" si="1880"/>
        <v>0</v>
      </c>
      <c r="BK138" s="72">
        <f t="shared" si="1880"/>
        <v>0</v>
      </c>
      <c r="BL138" s="72">
        <f t="shared" si="1880"/>
        <v>-2868405.9314605803</v>
      </c>
      <c r="BM138" s="72">
        <f t="shared" si="1880"/>
        <v>-2868405.9314605803</v>
      </c>
      <c r="BN138" s="72">
        <f t="shared" si="1880"/>
        <v>-2868405.9314605803</v>
      </c>
      <c r="BO138" s="72">
        <f t="shared" si="1880"/>
        <v>-2868405.9314605803</v>
      </c>
      <c r="BP138" s="72">
        <f t="shared" si="1880"/>
        <v>-2868405.9314605803</v>
      </c>
      <c r="BQ138" s="72">
        <f t="shared" si="1880"/>
        <v>-2868405.9314605803</v>
      </c>
      <c r="BR138" s="72">
        <f t="shared" ref="BR138:DI138" si="1881">IF(AND(BR$35&gt;$E113,BR$35&lt;=EOMONTH($E113,$E117)),-BR134,0)+IF(AND(BR$35&gt;$E115,BR$35&lt;=EOMONTH($E115,Renewal_Free_Rent_Months)),-BR135,0)+IF(AND(BR$35&gt;EOMONTH($E115,Down_Months),BR$35&lt;=EOMONTH($E115,Down_Months+New_Free_Rent_Months)),-BR136,0)</f>
        <v>-2868405.9314605803</v>
      </c>
      <c r="BS138" s="72">
        <f t="shared" si="1881"/>
        <v>-2868405.9314605803</v>
      </c>
      <c r="BT138" s="72">
        <f t="shared" si="1881"/>
        <v>-2868405.9314605803</v>
      </c>
      <c r="BU138" s="72">
        <f t="shared" si="1881"/>
        <v>-2868405.9314605803</v>
      </c>
      <c r="BV138" s="72">
        <f t="shared" si="1881"/>
        <v>-2868405.9314605803</v>
      </c>
      <c r="BW138" s="72">
        <f t="shared" si="1881"/>
        <v>-2868405.9314605803</v>
      </c>
      <c r="BX138" s="72">
        <f t="shared" si="1881"/>
        <v>-2932945.0649184436</v>
      </c>
      <c r="BY138" s="72">
        <f t="shared" si="1881"/>
        <v>-2932945.0649184436</v>
      </c>
      <c r="BZ138" s="72">
        <f t="shared" si="1881"/>
        <v>-2932945.0649184436</v>
      </c>
      <c r="CA138" s="72">
        <f t="shared" si="1881"/>
        <v>0</v>
      </c>
      <c r="CB138" s="72">
        <f t="shared" si="1881"/>
        <v>0</v>
      </c>
      <c r="CC138" s="72">
        <f t="shared" si="1881"/>
        <v>0</v>
      </c>
      <c r="CD138" s="72">
        <f t="shared" si="1881"/>
        <v>0</v>
      </c>
      <c r="CE138" s="72">
        <f t="shared" si="1881"/>
        <v>0</v>
      </c>
      <c r="CF138" s="72">
        <f t="shared" si="1881"/>
        <v>0</v>
      </c>
      <c r="CG138" s="72">
        <f t="shared" si="1881"/>
        <v>0</v>
      </c>
      <c r="CH138" s="72">
        <f t="shared" si="1881"/>
        <v>0</v>
      </c>
      <c r="CI138" s="72">
        <f t="shared" si="1881"/>
        <v>0</v>
      </c>
      <c r="CJ138" s="72">
        <f t="shared" si="1881"/>
        <v>0</v>
      </c>
      <c r="CK138" s="72">
        <f t="shared" si="1881"/>
        <v>0</v>
      </c>
      <c r="CL138" s="72">
        <f t="shared" si="1881"/>
        <v>0</v>
      </c>
      <c r="CM138" s="72">
        <f t="shared" si="1881"/>
        <v>0</v>
      </c>
      <c r="CN138" s="72">
        <f t="shared" si="1881"/>
        <v>0</v>
      </c>
      <c r="CO138" s="72">
        <f t="shared" si="1881"/>
        <v>0</v>
      </c>
      <c r="CP138" s="72">
        <f t="shared" si="1881"/>
        <v>0</v>
      </c>
      <c r="CQ138" s="72">
        <f t="shared" si="1881"/>
        <v>0</v>
      </c>
      <c r="CR138" s="72">
        <f t="shared" si="1881"/>
        <v>0</v>
      </c>
      <c r="CS138" s="72">
        <f t="shared" si="1881"/>
        <v>0</v>
      </c>
      <c r="CT138" s="72">
        <f t="shared" si="1881"/>
        <v>0</v>
      </c>
      <c r="CU138" s="72">
        <f t="shared" si="1881"/>
        <v>0</v>
      </c>
      <c r="CV138" s="72">
        <f t="shared" si="1881"/>
        <v>0</v>
      </c>
      <c r="CW138" s="72">
        <f t="shared" si="1881"/>
        <v>0</v>
      </c>
      <c r="CX138" s="72">
        <f t="shared" si="1881"/>
        <v>0</v>
      </c>
      <c r="CY138" s="72">
        <f t="shared" si="1881"/>
        <v>0</v>
      </c>
      <c r="CZ138" s="72">
        <f t="shared" si="1881"/>
        <v>0</v>
      </c>
      <c r="DA138" s="72">
        <f t="shared" si="1881"/>
        <v>0</v>
      </c>
      <c r="DB138" s="72">
        <f t="shared" si="1881"/>
        <v>0</v>
      </c>
      <c r="DC138" s="72">
        <f t="shared" si="1881"/>
        <v>0</v>
      </c>
      <c r="DD138" s="72">
        <f t="shared" si="1881"/>
        <v>0</v>
      </c>
      <c r="DE138" s="72">
        <f t="shared" si="1881"/>
        <v>0</v>
      </c>
      <c r="DF138" s="72">
        <f t="shared" si="1881"/>
        <v>0</v>
      </c>
      <c r="DG138" s="72">
        <f t="shared" si="1881"/>
        <v>0</v>
      </c>
      <c r="DH138" s="72">
        <f t="shared" si="1881"/>
        <v>0</v>
      </c>
      <c r="DI138" s="72">
        <f t="shared" si="1881"/>
        <v>0</v>
      </c>
    </row>
    <row r="139" spans="2:113" customFormat="1" outlineLevel="1" x14ac:dyDescent="0.25">
      <c r="B139" s="1"/>
      <c r="C139" s="60" t="s">
        <v>52</v>
      </c>
      <c r="D139" s="47" t="s">
        <v>107</v>
      </c>
      <c r="E139" s="1"/>
      <c r="F139" s="72">
        <f t="shared" ref="F139:BQ139" si="1882">IF(F$35=EOMONTH($E113,1),-New_TIs*$E112*F$40,0)+IF(F$35=EOMONTH($E119,1),-Renewal_TIs*$E112*F$40*Renewal_Probability,0)+IF(F$35=EOMONTH($E119,Down_Months+1),-New_TIs*$E112*F$40*(1-Renewal_Probability),0)</f>
        <v>0</v>
      </c>
      <c r="G139" s="72">
        <f t="shared" si="1882"/>
        <v>0</v>
      </c>
      <c r="H139" s="72">
        <f t="shared" si="1882"/>
        <v>0</v>
      </c>
      <c r="I139" s="72">
        <f t="shared" si="1882"/>
        <v>0</v>
      </c>
      <c r="J139" s="72">
        <f t="shared" si="1882"/>
        <v>0</v>
      </c>
      <c r="K139" s="72">
        <f t="shared" si="1882"/>
        <v>0</v>
      </c>
      <c r="L139" s="72">
        <f t="shared" si="1882"/>
        <v>0</v>
      </c>
      <c r="M139" s="72">
        <f t="shared" si="1882"/>
        <v>0</v>
      </c>
      <c r="N139" s="72">
        <f t="shared" si="1882"/>
        <v>0</v>
      </c>
      <c r="O139" s="72">
        <f t="shared" si="1882"/>
        <v>0</v>
      </c>
      <c r="P139" s="72">
        <f t="shared" si="1882"/>
        <v>0</v>
      </c>
      <c r="Q139" s="72">
        <f t="shared" si="1882"/>
        <v>0</v>
      </c>
      <c r="R139" s="72">
        <f t="shared" si="1882"/>
        <v>0</v>
      </c>
      <c r="S139" s="72">
        <f t="shared" si="1882"/>
        <v>0</v>
      </c>
      <c r="T139" s="72">
        <f t="shared" si="1882"/>
        <v>0</v>
      </c>
      <c r="U139" s="72">
        <f t="shared" si="1882"/>
        <v>0</v>
      </c>
      <c r="V139" s="72">
        <f t="shared" si="1882"/>
        <v>0</v>
      </c>
      <c r="W139" s="72">
        <f t="shared" si="1882"/>
        <v>0</v>
      </c>
      <c r="X139" s="72">
        <f t="shared" si="1882"/>
        <v>0</v>
      </c>
      <c r="Y139" s="72">
        <f t="shared" si="1882"/>
        <v>0</v>
      </c>
      <c r="Z139" s="72">
        <f t="shared" si="1882"/>
        <v>0</v>
      </c>
      <c r="AA139" s="72">
        <f t="shared" si="1882"/>
        <v>0</v>
      </c>
      <c r="AB139" s="72">
        <f t="shared" si="1882"/>
        <v>0</v>
      </c>
      <c r="AC139" s="72">
        <f t="shared" si="1882"/>
        <v>0</v>
      </c>
      <c r="AD139" s="72">
        <f t="shared" si="1882"/>
        <v>0</v>
      </c>
      <c r="AE139" s="72">
        <f t="shared" si="1882"/>
        <v>0</v>
      </c>
      <c r="AF139" s="72">
        <f t="shared" si="1882"/>
        <v>0</v>
      </c>
      <c r="AG139" s="72">
        <f t="shared" si="1882"/>
        <v>0</v>
      </c>
      <c r="AH139" s="72">
        <f t="shared" si="1882"/>
        <v>0</v>
      </c>
      <c r="AI139" s="72">
        <f t="shared" si="1882"/>
        <v>0</v>
      </c>
      <c r="AJ139" s="72">
        <f t="shared" si="1882"/>
        <v>0</v>
      </c>
      <c r="AK139" s="72">
        <f t="shared" si="1882"/>
        <v>0</v>
      </c>
      <c r="AL139" s="72">
        <f t="shared" si="1882"/>
        <v>0</v>
      </c>
      <c r="AM139" s="72">
        <f t="shared" si="1882"/>
        <v>0</v>
      </c>
      <c r="AN139" s="72">
        <f t="shared" si="1882"/>
        <v>0</v>
      </c>
      <c r="AO139" s="72">
        <f t="shared" si="1882"/>
        <v>0</v>
      </c>
      <c r="AP139" s="72">
        <f t="shared" si="1882"/>
        <v>0</v>
      </c>
      <c r="AQ139" s="72">
        <f t="shared" si="1882"/>
        <v>0</v>
      </c>
      <c r="AR139" s="72">
        <f t="shared" si="1882"/>
        <v>0</v>
      </c>
      <c r="AS139" s="72">
        <f t="shared" si="1882"/>
        <v>0</v>
      </c>
      <c r="AT139" s="72">
        <f t="shared" si="1882"/>
        <v>0</v>
      </c>
      <c r="AU139" s="72">
        <f t="shared" si="1882"/>
        <v>0</v>
      </c>
      <c r="AV139" s="72">
        <f t="shared" si="1882"/>
        <v>0</v>
      </c>
      <c r="AW139" s="72">
        <f t="shared" si="1882"/>
        <v>0</v>
      </c>
      <c r="AX139" s="72">
        <f t="shared" si="1882"/>
        <v>0</v>
      </c>
      <c r="AY139" s="72">
        <f t="shared" si="1882"/>
        <v>0</v>
      </c>
      <c r="AZ139" s="72">
        <f t="shared" si="1882"/>
        <v>0</v>
      </c>
      <c r="BA139" s="72">
        <f t="shared" si="1882"/>
        <v>0</v>
      </c>
      <c r="BB139" s="72">
        <f t="shared" si="1882"/>
        <v>0</v>
      </c>
      <c r="BC139" s="72">
        <f t="shared" si="1882"/>
        <v>0</v>
      </c>
      <c r="BD139" s="72">
        <f t="shared" si="1882"/>
        <v>0</v>
      </c>
      <c r="BE139" s="72">
        <f t="shared" si="1882"/>
        <v>0</v>
      </c>
      <c r="BF139" s="72">
        <f t="shared" si="1882"/>
        <v>0</v>
      </c>
      <c r="BG139" s="72">
        <f t="shared" si="1882"/>
        <v>0</v>
      </c>
      <c r="BH139" s="72">
        <f t="shared" si="1882"/>
        <v>0</v>
      </c>
      <c r="BI139" s="72">
        <f t="shared" si="1882"/>
        <v>0</v>
      </c>
      <c r="BJ139" s="72">
        <f t="shared" si="1882"/>
        <v>0</v>
      </c>
      <c r="BK139" s="72">
        <f t="shared" si="1882"/>
        <v>0</v>
      </c>
      <c r="BL139" s="72">
        <f t="shared" si="1882"/>
        <v>-347599.06371753162</v>
      </c>
      <c r="BM139" s="72">
        <f t="shared" si="1882"/>
        <v>0</v>
      </c>
      <c r="BN139" s="72">
        <f t="shared" si="1882"/>
        <v>0</v>
      </c>
      <c r="BO139" s="72">
        <f t="shared" si="1882"/>
        <v>0</v>
      </c>
      <c r="BP139" s="72">
        <f t="shared" si="1882"/>
        <v>0</v>
      </c>
      <c r="BQ139" s="72">
        <f t="shared" si="1882"/>
        <v>0</v>
      </c>
      <c r="BR139" s="72">
        <f t="shared" ref="BR139:DI139" si="1883">IF(BR$35=EOMONTH($E113,1),-New_TIs*$E112*BR$40,0)+IF(BR$35=EOMONTH($E119,1),-Renewal_TIs*$E112*BR$40*Renewal_Probability,0)+IF(BR$35=EOMONTH($E119,Down_Months+1),-New_TIs*$E112*BR$40*(1-Renewal_Probability),0)</f>
        <v>0</v>
      </c>
      <c r="BS139" s="72">
        <f t="shared" si="1883"/>
        <v>0</v>
      </c>
      <c r="BT139" s="72">
        <f t="shared" si="1883"/>
        <v>0</v>
      </c>
      <c r="BU139" s="72">
        <f t="shared" si="1883"/>
        <v>0</v>
      </c>
      <c r="BV139" s="72">
        <f t="shared" si="1883"/>
        <v>0</v>
      </c>
      <c r="BW139" s="72">
        <f t="shared" si="1883"/>
        <v>0</v>
      </c>
      <c r="BX139" s="72">
        <f t="shared" si="1883"/>
        <v>0</v>
      </c>
      <c r="BY139" s="72">
        <f t="shared" si="1883"/>
        <v>0</v>
      </c>
      <c r="BZ139" s="72">
        <f t="shared" si="1883"/>
        <v>0</v>
      </c>
      <c r="CA139" s="72">
        <f t="shared" si="1883"/>
        <v>0</v>
      </c>
      <c r="CB139" s="72">
        <f t="shared" si="1883"/>
        <v>0</v>
      </c>
      <c r="CC139" s="72">
        <f t="shared" si="1883"/>
        <v>0</v>
      </c>
      <c r="CD139" s="72">
        <f t="shared" si="1883"/>
        <v>0</v>
      </c>
      <c r="CE139" s="72">
        <f t="shared" si="1883"/>
        <v>0</v>
      </c>
      <c r="CF139" s="72">
        <f t="shared" si="1883"/>
        <v>0</v>
      </c>
      <c r="CG139" s="72">
        <f t="shared" si="1883"/>
        <v>0</v>
      </c>
      <c r="CH139" s="72">
        <f t="shared" si="1883"/>
        <v>0</v>
      </c>
      <c r="CI139" s="72">
        <f t="shared" si="1883"/>
        <v>0</v>
      </c>
      <c r="CJ139" s="72">
        <f t="shared" si="1883"/>
        <v>0</v>
      </c>
      <c r="CK139" s="72">
        <f t="shared" si="1883"/>
        <v>0</v>
      </c>
      <c r="CL139" s="72">
        <f t="shared" si="1883"/>
        <v>0</v>
      </c>
      <c r="CM139" s="72">
        <f t="shared" si="1883"/>
        <v>0</v>
      </c>
      <c r="CN139" s="72">
        <f t="shared" si="1883"/>
        <v>0</v>
      </c>
      <c r="CO139" s="72">
        <f t="shared" si="1883"/>
        <v>0</v>
      </c>
      <c r="CP139" s="72">
        <f t="shared" si="1883"/>
        <v>0</v>
      </c>
      <c r="CQ139" s="72">
        <f t="shared" si="1883"/>
        <v>0</v>
      </c>
      <c r="CR139" s="72">
        <f t="shared" si="1883"/>
        <v>0</v>
      </c>
      <c r="CS139" s="72">
        <f t="shared" si="1883"/>
        <v>0</v>
      </c>
      <c r="CT139" s="72">
        <f t="shared" si="1883"/>
        <v>0</v>
      </c>
      <c r="CU139" s="72">
        <f t="shared" si="1883"/>
        <v>0</v>
      </c>
      <c r="CV139" s="72">
        <f t="shared" si="1883"/>
        <v>0</v>
      </c>
      <c r="CW139" s="72">
        <f t="shared" si="1883"/>
        <v>0</v>
      </c>
      <c r="CX139" s="72">
        <f t="shared" si="1883"/>
        <v>0</v>
      </c>
      <c r="CY139" s="72">
        <f t="shared" si="1883"/>
        <v>0</v>
      </c>
      <c r="CZ139" s="72">
        <f t="shared" si="1883"/>
        <v>0</v>
      </c>
      <c r="DA139" s="72">
        <f t="shared" si="1883"/>
        <v>0</v>
      </c>
      <c r="DB139" s="72">
        <f t="shared" si="1883"/>
        <v>0</v>
      </c>
      <c r="DC139" s="72">
        <f t="shared" si="1883"/>
        <v>0</v>
      </c>
      <c r="DD139" s="72">
        <f t="shared" si="1883"/>
        <v>0</v>
      </c>
      <c r="DE139" s="72">
        <f t="shared" si="1883"/>
        <v>0</v>
      </c>
      <c r="DF139" s="72">
        <f t="shared" si="1883"/>
        <v>0</v>
      </c>
      <c r="DG139" s="72">
        <f t="shared" si="1883"/>
        <v>0</v>
      </c>
      <c r="DH139" s="72">
        <f t="shared" si="1883"/>
        <v>0</v>
      </c>
      <c r="DI139" s="72">
        <f t="shared" si="1883"/>
        <v>0</v>
      </c>
    </row>
    <row r="140" spans="2:113" customFormat="1" outlineLevel="1" x14ac:dyDescent="0.25">
      <c r="B140" s="1"/>
      <c r="C140" s="60" t="s">
        <v>53</v>
      </c>
      <c r="D140" s="47" t="s">
        <v>107</v>
      </c>
      <c r="E140" s="1"/>
      <c r="F140" s="72">
        <f t="shared" ref="F140:BQ140" si="1884">IF(F$35=EOMONTH($E113,1),-New_LC_Pct*FV($E116,$E114,-F130*$E112),0)+IF(F$35=EOMONTH($E119,1),-Renewal_LC_Pct*FV($E122,$E120,-F131*$E112)*Renewal_Probability,0)+IF(F$35=EOMONTH($E124,1),-New_LC_Pct*FV($E127,$E125,-F132*$E112)*(1-Renewal_Probability),0)</f>
        <v>0</v>
      </c>
      <c r="G140" s="72">
        <f t="shared" si="1884"/>
        <v>0</v>
      </c>
      <c r="H140" s="72">
        <f t="shared" si="1884"/>
        <v>0</v>
      </c>
      <c r="I140" s="72">
        <f t="shared" si="1884"/>
        <v>0</v>
      </c>
      <c r="J140" s="72">
        <f t="shared" si="1884"/>
        <v>0</v>
      </c>
      <c r="K140" s="72">
        <f t="shared" si="1884"/>
        <v>0</v>
      </c>
      <c r="L140" s="72">
        <f t="shared" si="1884"/>
        <v>0</v>
      </c>
      <c r="M140" s="72">
        <f t="shared" si="1884"/>
        <v>0</v>
      </c>
      <c r="N140" s="72">
        <f t="shared" si="1884"/>
        <v>0</v>
      </c>
      <c r="O140" s="72">
        <f t="shared" si="1884"/>
        <v>0</v>
      </c>
      <c r="P140" s="72">
        <f t="shared" si="1884"/>
        <v>0</v>
      </c>
      <c r="Q140" s="72">
        <f t="shared" si="1884"/>
        <v>0</v>
      </c>
      <c r="R140" s="72">
        <f t="shared" si="1884"/>
        <v>0</v>
      </c>
      <c r="S140" s="72">
        <f t="shared" si="1884"/>
        <v>0</v>
      </c>
      <c r="T140" s="72">
        <f t="shared" si="1884"/>
        <v>0</v>
      </c>
      <c r="U140" s="72">
        <f t="shared" si="1884"/>
        <v>0</v>
      </c>
      <c r="V140" s="72">
        <f t="shared" si="1884"/>
        <v>0</v>
      </c>
      <c r="W140" s="72">
        <f t="shared" si="1884"/>
        <v>0</v>
      </c>
      <c r="X140" s="72">
        <f t="shared" si="1884"/>
        <v>0</v>
      </c>
      <c r="Y140" s="72">
        <f t="shared" si="1884"/>
        <v>0</v>
      </c>
      <c r="Z140" s="72">
        <f t="shared" si="1884"/>
        <v>0</v>
      </c>
      <c r="AA140" s="72">
        <f t="shared" si="1884"/>
        <v>0</v>
      </c>
      <c r="AB140" s="72">
        <f t="shared" si="1884"/>
        <v>0</v>
      </c>
      <c r="AC140" s="72">
        <f t="shared" si="1884"/>
        <v>0</v>
      </c>
      <c r="AD140" s="72">
        <f t="shared" si="1884"/>
        <v>0</v>
      </c>
      <c r="AE140" s="72">
        <f t="shared" si="1884"/>
        <v>0</v>
      </c>
      <c r="AF140" s="72">
        <f t="shared" si="1884"/>
        <v>0</v>
      </c>
      <c r="AG140" s="72">
        <f t="shared" si="1884"/>
        <v>0</v>
      </c>
      <c r="AH140" s="72">
        <f t="shared" si="1884"/>
        <v>0</v>
      </c>
      <c r="AI140" s="72">
        <f t="shared" si="1884"/>
        <v>0</v>
      </c>
      <c r="AJ140" s="72">
        <f t="shared" si="1884"/>
        <v>0</v>
      </c>
      <c r="AK140" s="72">
        <f t="shared" si="1884"/>
        <v>0</v>
      </c>
      <c r="AL140" s="72">
        <f t="shared" si="1884"/>
        <v>0</v>
      </c>
      <c r="AM140" s="72">
        <f t="shared" si="1884"/>
        <v>0</v>
      </c>
      <c r="AN140" s="72">
        <f t="shared" si="1884"/>
        <v>0</v>
      </c>
      <c r="AO140" s="72">
        <f t="shared" si="1884"/>
        <v>0</v>
      </c>
      <c r="AP140" s="72">
        <f t="shared" si="1884"/>
        <v>0</v>
      </c>
      <c r="AQ140" s="72">
        <f t="shared" si="1884"/>
        <v>0</v>
      </c>
      <c r="AR140" s="72">
        <f t="shared" si="1884"/>
        <v>0</v>
      </c>
      <c r="AS140" s="72">
        <f t="shared" si="1884"/>
        <v>0</v>
      </c>
      <c r="AT140" s="72">
        <f t="shared" si="1884"/>
        <v>0</v>
      </c>
      <c r="AU140" s="72">
        <f t="shared" si="1884"/>
        <v>0</v>
      </c>
      <c r="AV140" s="72">
        <f t="shared" si="1884"/>
        <v>0</v>
      </c>
      <c r="AW140" s="72">
        <f t="shared" si="1884"/>
        <v>0</v>
      </c>
      <c r="AX140" s="72">
        <f t="shared" si="1884"/>
        <v>0</v>
      </c>
      <c r="AY140" s="72">
        <f t="shared" si="1884"/>
        <v>0</v>
      </c>
      <c r="AZ140" s="72">
        <f t="shared" si="1884"/>
        <v>0</v>
      </c>
      <c r="BA140" s="72">
        <f t="shared" si="1884"/>
        <v>0</v>
      </c>
      <c r="BB140" s="72">
        <f t="shared" si="1884"/>
        <v>0</v>
      </c>
      <c r="BC140" s="72">
        <f t="shared" si="1884"/>
        <v>0</v>
      </c>
      <c r="BD140" s="72">
        <f t="shared" si="1884"/>
        <v>0</v>
      </c>
      <c r="BE140" s="72">
        <f t="shared" si="1884"/>
        <v>0</v>
      </c>
      <c r="BF140" s="72">
        <f t="shared" si="1884"/>
        <v>0</v>
      </c>
      <c r="BG140" s="72">
        <f t="shared" si="1884"/>
        <v>0</v>
      </c>
      <c r="BH140" s="72">
        <f t="shared" si="1884"/>
        <v>0</v>
      </c>
      <c r="BI140" s="72">
        <f t="shared" si="1884"/>
        <v>0</v>
      </c>
      <c r="BJ140" s="72">
        <f t="shared" si="1884"/>
        <v>0</v>
      </c>
      <c r="BK140" s="72">
        <f t="shared" si="1884"/>
        <v>0</v>
      </c>
      <c r="BL140" s="72">
        <f t="shared" si="1884"/>
        <v>-5462417.916635762</v>
      </c>
      <c r="BM140" s="72">
        <f t="shared" si="1884"/>
        <v>0</v>
      </c>
      <c r="BN140" s="72">
        <f t="shared" si="1884"/>
        <v>0</v>
      </c>
      <c r="BO140" s="72">
        <f t="shared" si="1884"/>
        <v>0</v>
      </c>
      <c r="BP140" s="72">
        <f t="shared" si="1884"/>
        <v>0</v>
      </c>
      <c r="BQ140" s="72">
        <f t="shared" si="1884"/>
        <v>0</v>
      </c>
      <c r="BR140" s="72">
        <f t="shared" ref="BR140:DI140" si="1885">IF(BR$35=EOMONTH($E113,1),-New_LC_Pct*FV($E116,$E114,-BR130*$E112),0)+IF(BR$35=EOMONTH($E119,1),-Renewal_LC_Pct*FV($E122,$E120,-BR131*$E112)*Renewal_Probability,0)+IF(BR$35=EOMONTH($E124,1),-New_LC_Pct*FV($E127,$E125,-BR132*$E112)*(1-Renewal_Probability),0)</f>
        <v>0</v>
      </c>
      <c r="BS140" s="72">
        <f t="shared" si="1885"/>
        <v>0</v>
      </c>
      <c r="BT140" s="72">
        <f t="shared" si="1885"/>
        <v>0</v>
      </c>
      <c r="BU140" s="72">
        <f t="shared" si="1885"/>
        <v>0</v>
      </c>
      <c r="BV140" s="72">
        <f t="shared" si="1885"/>
        <v>0</v>
      </c>
      <c r="BW140" s="72">
        <f t="shared" si="1885"/>
        <v>0</v>
      </c>
      <c r="BX140" s="72">
        <f t="shared" si="1885"/>
        <v>0</v>
      </c>
      <c r="BY140" s="72">
        <f t="shared" si="1885"/>
        <v>0</v>
      </c>
      <c r="BZ140" s="72">
        <f t="shared" si="1885"/>
        <v>0</v>
      </c>
      <c r="CA140" s="72">
        <f t="shared" si="1885"/>
        <v>0</v>
      </c>
      <c r="CB140" s="72">
        <f t="shared" si="1885"/>
        <v>0</v>
      </c>
      <c r="CC140" s="72">
        <f t="shared" si="1885"/>
        <v>0</v>
      </c>
      <c r="CD140" s="72">
        <f t="shared" si="1885"/>
        <v>0</v>
      </c>
      <c r="CE140" s="72">
        <f t="shared" si="1885"/>
        <v>0</v>
      </c>
      <c r="CF140" s="72">
        <f t="shared" si="1885"/>
        <v>0</v>
      </c>
      <c r="CG140" s="72">
        <f t="shared" si="1885"/>
        <v>0</v>
      </c>
      <c r="CH140" s="72">
        <f t="shared" si="1885"/>
        <v>0</v>
      </c>
      <c r="CI140" s="72">
        <f t="shared" si="1885"/>
        <v>0</v>
      </c>
      <c r="CJ140" s="72">
        <f t="shared" si="1885"/>
        <v>0</v>
      </c>
      <c r="CK140" s="72">
        <f t="shared" si="1885"/>
        <v>0</v>
      </c>
      <c r="CL140" s="72">
        <f t="shared" si="1885"/>
        <v>0</v>
      </c>
      <c r="CM140" s="72">
        <f t="shared" si="1885"/>
        <v>0</v>
      </c>
      <c r="CN140" s="72">
        <f t="shared" si="1885"/>
        <v>0</v>
      </c>
      <c r="CO140" s="72">
        <f t="shared" si="1885"/>
        <v>0</v>
      </c>
      <c r="CP140" s="72">
        <f t="shared" si="1885"/>
        <v>0</v>
      </c>
      <c r="CQ140" s="72">
        <f t="shared" si="1885"/>
        <v>0</v>
      </c>
      <c r="CR140" s="72">
        <f t="shared" si="1885"/>
        <v>0</v>
      </c>
      <c r="CS140" s="72">
        <f t="shared" si="1885"/>
        <v>0</v>
      </c>
      <c r="CT140" s="72">
        <f t="shared" si="1885"/>
        <v>0</v>
      </c>
      <c r="CU140" s="72">
        <f t="shared" si="1885"/>
        <v>0</v>
      </c>
      <c r="CV140" s="72">
        <f t="shared" si="1885"/>
        <v>0</v>
      </c>
      <c r="CW140" s="72">
        <f t="shared" si="1885"/>
        <v>0</v>
      </c>
      <c r="CX140" s="72">
        <f t="shared" si="1885"/>
        <v>0</v>
      </c>
      <c r="CY140" s="72">
        <f t="shared" si="1885"/>
        <v>0</v>
      </c>
      <c r="CZ140" s="72">
        <f t="shared" si="1885"/>
        <v>0</v>
      </c>
      <c r="DA140" s="72">
        <f t="shared" si="1885"/>
        <v>0</v>
      </c>
      <c r="DB140" s="72">
        <f t="shared" si="1885"/>
        <v>0</v>
      </c>
      <c r="DC140" s="72">
        <f t="shared" si="1885"/>
        <v>0</v>
      </c>
      <c r="DD140" s="72">
        <f t="shared" si="1885"/>
        <v>0</v>
      </c>
      <c r="DE140" s="72">
        <f t="shared" si="1885"/>
        <v>0</v>
      </c>
      <c r="DF140" s="72">
        <f t="shared" si="1885"/>
        <v>0</v>
      </c>
      <c r="DG140" s="72">
        <f t="shared" si="1885"/>
        <v>0</v>
      </c>
      <c r="DH140" s="72">
        <f t="shared" si="1885"/>
        <v>0</v>
      </c>
      <c r="DI140" s="72">
        <f t="shared" si="1885"/>
        <v>0</v>
      </c>
    </row>
    <row r="141" spans="2:113" customFormat="1" outlineLevel="1" x14ac:dyDescent="0.25">
      <c r="B141" s="1"/>
      <c r="C141" s="54"/>
      <c r="D141" s="66"/>
      <c r="E141" s="1"/>
      <c r="F141" s="118"/>
      <c r="G141" s="118"/>
      <c r="H141" s="118"/>
      <c r="I141" s="118"/>
      <c r="J141" s="118"/>
      <c r="K141" s="118"/>
      <c r="L141" s="118"/>
      <c r="M141" s="118"/>
      <c r="N141" s="118"/>
      <c r="O141" s="118"/>
      <c r="P141" s="118"/>
      <c r="Q141" s="118"/>
      <c r="R141" s="118"/>
      <c r="S141" s="118"/>
      <c r="T141" s="118"/>
      <c r="U141" s="118"/>
      <c r="V141" s="118"/>
      <c r="W141" s="118"/>
      <c r="X141" s="118"/>
      <c r="Y141" s="118"/>
      <c r="Z141" s="118"/>
      <c r="AA141" s="118"/>
      <c r="AB141" s="118"/>
      <c r="AC141" s="118"/>
      <c r="AD141" s="118"/>
      <c r="AE141" s="118"/>
      <c r="AF141" s="118"/>
      <c r="AG141" s="118"/>
      <c r="AH141" s="118"/>
      <c r="AI141" s="118"/>
      <c r="AJ141" s="118"/>
      <c r="AK141" s="118"/>
      <c r="AL141" s="118"/>
      <c r="AM141" s="118"/>
      <c r="AN141" s="118"/>
      <c r="AO141" s="118"/>
      <c r="AP141" s="118"/>
      <c r="AQ141" s="118"/>
      <c r="AR141" s="118"/>
      <c r="AS141" s="118"/>
      <c r="AT141" s="118"/>
      <c r="AU141" s="118"/>
      <c r="AV141" s="118"/>
      <c r="AW141" s="118"/>
      <c r="AX141" s="118"/>
      <c r="AY141" s="118"/>
      <c r="AZ141" s="118"/>
      <c r="BA141" s="118"/>
      <c r="BB141" s="118"/>
      <c r="BC141" s="118"/>
      <c r="BD141" s="118"/>
      <c r="BE141" s="118"/>
      <c r="BF141" s="118"/>
      <c r="BG141" s="118"/>
      <c r="BH141" s="118"/>
      <c r="BI141" s="118"/>
      <c r="BJ141" s="118"/>
      <c r="BK141" s="118"/>
      <c r="BL141" s="118"/>
      <c r="BM141" s="118"/>
      <c r="BN141" s="118"/>
      <c r="BO141" s="118"/>
      <c r="BP141" s="118"/>
      <c r="BQ141" s="118"/>
      <c r="BR141" s="118"/>
      <c r="BS141" s="118"/>
      <c r="BT141" s="118"/>
      <c r="BU141" s="118"/>
      <c r="BV141" s="118"/>
      <c r="BW141" s="118"/>
      <c r="BX141" s="118"/>
      <c r="BY141" s="118"/>
      <c r="BZ141" s="118"/>
      <c r="CA141" s="118"/>
      <c r="CB141" s="118"/>
      <c r="CC141" s="118"/>
      <c r="CD141" s="118"/>
      <c r="CE141" s="118"/>
      <c r="CF141" s="118"/>
      <c r="CG141" s="118"/>
      <c r="CH141" s="118"/>
      <c r="CI141" s="118"/>
      <c r="CJ141" s="118"/>
      <c r="CK141" s="118"/>
      <c r="CL141" s="118"/>
      <c r="CM141" s="118"/>
      <c r="CN141" s="118"/>
      <c r="CO141" s="118"/>
      <c r="CP141" s="118"/>
      <c r="CQ141" s="118"/>
      <c r="CR141" s="118"/>
      <c r="CS141" s="118"/>
      <c r="CT141" s="118"/>
      <c r="CU141" s="118"/>
      <c r="CV141" s="118"/>
      <c r="CW141" s="118"/>
      <c r="CX141" s="118"/>
      <c r="CY141" s="118"/>
      <c r="CZ141" s="118"/>
      <c r="DA141" s="118"/>
      <c r="DB141" s="118"/>
      <c r="DC141" s="118"/>
      <c r="DD141" s="118"/>
      <c r="DE141" s="118"/>
      <c r="DF141" s="118"/>
      <c r="DG141" s="118"/>
      <c r="DH141" s="118"/>
      <c r="DI141" s="118"/>
    </row>
    <row r="142" spans="2:113" customFormat="1" outlineLevel="1" x14ac:dyDescent="0.25">
      <c r="B142" s="1"/>
      <c r="C142" s="68" t="s">
        <v>203</v>
      </c>
      <c r="D142" s="47" t="s">
        <v>107</v>
      </c>
      <c r="E142" s="1"/>
      <c r="F142" s="67">
        <f t="shared" ref="F142:BQ142" si="1886">+F71+F72+F105+F106+F139+F140</f>
        <v>0</v>
      </c>
      <c r="G142" s="67">
        <f t="shared" si="1886"/>
        <v>0</v>
      </c>
      <c r="H142" s="67">
        <f t="shared" si="1886"/>
        <v>0</v>
      </c>
      <c r="I142" s="67">
        <f t="shared" si="1886"/>
        <v>0</v>
      </c>
      <c r="J142" s="67">
        <f t="shared" si="1886"/>
        <v>0</v>
      </c>
      <c r="K142" s="67">
        <f t="shared" si="1886"/>
        <v>0</v>
      </c>
      <c r="L142" s="67">
        <f t="shared" si="1886"/>
        <v>0</v>
      </c>
      <c r="M142" s="67">
        <f t="shared" si="1886"/>
        <v>0</v>
      </c>
      <c r="N142" s="67">
        <f t="shared" si="1886"/>
        <v>0</v>
      </c>
      <c r="O142" s="67">
        <f t="shared" si="1886"/>
        <v>0</v>
      </c>
      <c r="P142" s="67">
        <f t="shared" si="1886"/>
        <v>0</v>
      </c>
      <c r="Q142" s="67">
        <f t="shared" si="1886"/>
        <v>0</v>
      </c>
      <c r="R142" s="67">
        <f t="shared" si="1886"/>
        <v>0</v>
      </c>
      <c r="S142" s="67">
        <f t="shared" si="1886"/>
        <v>0</v>
      </c>
      <c r="T142" s="67">
        <f t="shared" si="1886"/>
        <v>0</v>
      </c>
      <c r="U142" s="67">
        <f t="shared" si="1886"/>
        <v>0</v>
      </c>
      <c r="V142" s="67">
        <f t="shared" si="1886"/>
        <v>0</v>
      </c>
      <c r="W142" s="67">
        <f t="shared" si="1886"/>
        <v>0</v>
      </c>
      <c r="X142" s="67">
        <f t="shared" si="1886"/>
        <v>0</v>
      </c>
      <c r="Y142" s="67">
        <f t="shared" si="1886"/>
        <v>0</v>
      </c>
      <c r="Z142" s="67">
        <f t="shared" si="1886"/>
        <v>0</v>
      </c>
      <c r="AA142" s="67">
        <f t="shared" si="1886"/>
        <v>0</v>
      </c>
      <c r="AB142" s="67">
        <f t="shared" si="1886"/>
        <v>0</v>
      </c>
      <c r="AC142" s="67">
        <f t="shared" si="1886"/>
        <v>0</v>
      </c>
      <c r="AD142" s="67">
        <f t="shared" si="1886"/>
        <v>0</v>
      </c>
      <c r="AE142" s="67">
        <f t="shared" si="1886"/>
        <v>0</v>
      </c>
      <c r="AF142" s="67">
        <f t="shared" si="1886"/>
        <v>0</v>
      </c>
      <c r="AG142" s="67">
        <f t="shared" si="1886"/>
        <v>0</v>
      </c>
      <c r="AH142" s="67">
        <f t="shared" si="1886"/>
        <v>0</v>
      </c>
      <c r="AI142" s="67">
        <f t="shared" si="1886"/>
        <v>0</v>
      </c>
      <c r="AJ142" s="67">
        <f t="shared" si="1886"/>
        <v>0</v>
      </c>
      <c r="AK142" s="67">
        <f t="shared" si="1886"/>
        <v>0</v>
      </c>
      <c r="AL142" s="67">
        <f t="shared" si="1886"/>
        <v>0</v>
      </c>
      <c r="AM142" s="67">
        <f t="shared" si="1886"/>
        <v>0</v>
      </c>
      <c r="AN142" s="67">
        <f t="shared" si="1886"/>
        <v>0</v>
      </c>
      <c r="AO142" s="67">
        <f t="shared" si="1886"/>
        <v>0</v>
      </c>
      <c r="AP142" s="67">
        <f t="shared" si="1886"/>
        <v>0</v>
      </c>
      <c r="AQ142" s="67">
        <f t="shared" si="1886"/>
        <v>0</v>
      </c>
      <c r="AR142" s="67">
        <f t="shared" si="1886"/>
        <v>0</v>
      </c>
      <c r="AS142" s="67">
        <f t="shared" si="1886"/>
        <v>0</v>
      </c>
      <c r="AT142" s="67">
        <f t="shared" si="1886"/>
        <v>0</v>
      </c>
      <c r="AU142" s="67">
        <f t="shared" si="1886"/>
        <v>0</v>
      </c>
      <c r="AV142" s="67">
        <f t="shared" si="1886"/>
        <v>0</v>
      </c>
      <c r="AW142" s="67">
        <f t="shared" si="1886"/>
        <v>0</v>
      </c>
      <c r="AX142" s="67">
        <f t="shared" si="1886"/>
        <v>0</v>
      </c>
      <c r="AY142" s="67">
        <f t="shared" si="1886"/>
        <v>0</v>
      </c>
      <c r="AZ142" s="67">
        <f t="shared" si="1886"/>
        <v>0</v>
      </c>
      <c r="BA142" s="67">
        <f t="shared" si="1886"/>
        <v>0</v>
      </c>
      <c r="BB142" s="67">
        <f t="shared" si="1886"/>
        <v>-6089602.058578454</v>
      </c>
      <c r="BC142" s="67">
        <f t="shared" si="1886"/>
        <v>0</v>
      </c>
      <c r="BD142" s="67">
        <f t="shared" si="1886"/>
        <v>0</v>
      </c>
      <c r="BE142" s="67">
        <f t="shared" si="1886"/>
        <v>0</v>
      </c>
      <c r="BF142" s="67">
        <f t="shared" si="1886"/>
        <v>0</v>
      </c>
      <c r="BG142" s="67">
        <f t="shared" si="1886"/>
        <v>0</v>
      </c>
      <c r="BH142" s="67">
        <f t="shared" si="1886"/>
        <v>0</v>
      </c>
      <c r="BI142" s="67">
        <f t="shared" si="1886"/>
        <v>0</v>
      </c>
      <c r="BJ142" s="67">
        <f t="shared" si="1886"/>
        <v>0</v>
      </c>
      <c r="BK142" s="67">
        <f t="shared" si="1886"/>
        <v>0</v>
      </c>
      <c r="BL142" s="67">
        <f t="shared" si="1886"/>
        <v>-5810016.9803532939</v>
      </c>
      <c r="BM142" s="67">
        <f t="shared" si="1886"/>
        <v>0</v>
      </c>
      <c r="BN142" s="67">
        <f t="shared" si="1886"/>
        <v>0</v>
      </c>
      <c r="BO142" s="67">
        <f t="shared" si="1886"/>
        <v>0</v>
      </c>
      <c r="BP142" s="67">
        <f t="shared" si="1886"/>
        <v>0</v>
      </c>
      <c r="BQ142" s="67">
        <f t="shared" si="1886"/>
        <v>0</v>
      </c>
      <c r="BR142" s="67">
        <f t="shared" ref="BR142:DI142" si="1887">+BR71+BR72+BR105+BR106+BR139+BR140</f>
        <v>0</v>
      </c>
      <c r="BS142" s="67">
        <f t="shared" si="1887"/>
        <v>0</v>
      </c>
      <c r="BT142" s="67">
        <f t="shared" si="1887"/>
        <v>0</v>
      </c>
      <c r="BU142" s="67">
        <f t="shared" si="1887"/>
        <v>0</v>
      </c>
      <c r="BV142" s="67">
        <f t="shared" si="1887"/>
        <v>0</v>
      </c>
      <c r="BW142" s="67">
        <f t="shared" si="1887"/>
        <v>0</v>
      </c>
      <c r="BX142" s="67">
        <f t="shared" si="1887"/>
        <v>0</v>
      </c>
      <c r="BY142" s="67">
        <f t="shared" si="1887"/>
        <v>0</v>
      </c>
      <c r="BZ142" s="67">
        <f t="shared" si="1887"/>
        <v>0</v>
      </c>
      <c r="CA142" s="67">
        <f t="shared" si="1887"/>
        <v>0</v>
      </c>
      <c r="CB142" s="67">
        <f t="shared" si="1887"/>
        <v>0</v>
      </c>
      <c r="CC142" s="67">
        <f t="shared" si="1887"/>
        <v>0</v>
      </c>
      <c r="CD142" s="67">
        <f t="shared" si="1887"/>
        <v>0</v>
      </c>
      <c r="CE142" s="67">
        <f t="shared" si="1887"/>
        <v>0</v>
      </c>
      <c r="CF142" s="67">
        <f t="shared" si="1887"/>
        <v>0</v>
      </c>
      <c r="CG142" s="67">
        <f t="shared" si="1887"/>
        <v>0</v>
      </c>
      <c r="CH142" s="67">
        <f t="shared" si="1887"/>
        <v>0</v>
      </c>
      <c r="CI142" s="67">
        <f t="shared" si="1887"/>
        <v>0</v>
      </c>
      <c r="CJ142" s="67">
        <f t="shared" si="1887"/>
        <v>0</v>
      </c>
      <c r="CK142" s="67">
        <f t="shared" si="1887"/>
        <v>0</v>
      </c>
      <c r="CL142" s="67">
        <f t="shared" si="1887"/>
        <v>-1588376.7849998253</v>
      </c>
      <c r="CM142" s="67">
        <f t="shared" si="1887"/>
        <v>0</v>
      </c>
      <c r="CN142" s="67">
        <f t="shared" si="1887"/>
        <v>0</v>
      </c>
      <c r="CO142" s="67">
        <f t="shared" si="1887"/>
        <v>0</v>
      </c>
      <c r="CP142" s="67">
        <f t="shared" si="1887"/>
        <v>0</v>
      </c>
      <c r="CQ142" s="67">
        <f t="shared" si="1887"/>
        <v>0</v>
      </c>
      <c r="CR142" s="67">
        <f t="shared" si="1887"/>
        <v>0</v>
      </c>
      <c r="CS142" s="67">
        <f t="shared" si="1887"/>
        <v>0</v>
      </c>
      <c r="CT142" s="67">
        <f t="shared" si="1887"/>
        <v>0</v>
      </c>
      <c r="CU142" s="67">
        <f t="shared" si="1887"/>
        <v>-2773823.7092207414</v>
      </c>
      <c r="CV142" s="67">
        <f t="shared" si="1887"/>
        <v>0</v>
      </c>
      <c r="CW142" s="67">
        <f t="shared" si="1887"/>
        <v>0</v>
      </c>
      <c r="CX142" s="67">
        <f t="shared" si="1887"/>
        <v>-1218752.0584558405</v>
      </c>
      <c r="CY142" s="67">
        <f t="shared" si="1887"/>
        <v>0</v>
      </c>
      <c r="CZ142" s="67">
        <f t="shared" si="1887"/>
        <v>0</v>
      </c>
      <c r="DA142" s="67">
        <f t="shared" si="1887"/>
        <v>0</v>
      </c>
      <c r="DB142" s="67">
        <f t="shared" si="1887"/>
        <v>0</v>
      </c>
      <c r="DC142" s="67">
        <f t="shared" si="1887"/>
        <v>0</v>
      </c>
      <c r="DD142" s="67">
        <f t="shared" si="1887"/>
        <v>0</v>
      </c>
      <c r="DE142" s="67">
        <f t="shared" si="1887"/>
        <v>0</v>
      </c>
      <c r="DF142" s="67">
        <f t="shared" si="1887"/>
        <v>0</v>
      </c>
      <c r="DG142" s="67">
        <f t="shared" si="1887"/>
        <v>-2125496.8821884571</v>
      </c>
      <c r="DH142" s="67">
        <f t="shared" si="1887"/>
        <v>0</v>
      </c>
      <c r="DI142" s="67">
        <f t="shared" si="1887"/>
        <v>0</v>
      </c>
    </row>
    <row r="143" spans="2:113" customFormat="1" outlineLevel="1" x14ac:dyDescent="0.25">
      <c r="B143" s="1"/>
      <c r="C143" s="68" t="s">
        <v>204</v>
      </c>
      <c r="D143" s="47" t="s">
        <v>107</v>
      </c>
      <c r="E143" s="28">
        <v>0</v>
      </c>
      <c r="F143" s="72">
        <f t="shared" ref="F143:BQ143" si="1888">+E143+F19-F159-F166</f>
        <v>0</v>
      </c>
      <c r="G143" s="67">
        <f t="shared" si="1888"/>
        <v>0</v>
      </c>
      <c r="H143" s="67">
        <f t="shared" si="1888"/>
        <v>0</v>
      </c>
      <c r="I143" s="67">
        <f t="shared" si="1888"/>
        <v>0</v>
      </c>
      <c r="J143" s="67">
        <f t="shared" si="1888"/>
        <v>0</v>
      </c>
      <c r="K143" s="67">
        <f t="shared" si="1888"/>
        <v>0</v>
      </c>
      <c r="L143" s="67">
        <f t="shared" si="1888"/>
        <v>0</v>
      </c>
      <c r="M143" s="67">
        <f t="shared" si="1888"/>
        <v>0</v>
      </c>
      <c r="N143" s="67">
        <f t="shared" si="1888"/>
        <v>0</v>
      </c>
      <c r="O143" s="67">
        <f t="shared" si="1888"/>
        <v>0</v>
      </c>
      <c r="P143" s="67">
        <f t="shared" si="1888"/>
        <v>0</v>
      </c>
      <c r="Q143" s="67">
        <f t="shared" si="1888"/>
        <v>0</v>
      </c>
      <c r="R143" s="67">
        <f t="shared" si="1888"/>
        <v>0</v>
      </c>
      <c r="S143" s="67">
        <f t="shared" si="1888"/>
        <v>0</v>
      </c>
      <c r="T143" s="67">
        <f t="shared" si="1888"/>
        <v>0</v>
      </c>
      <c r="U143" s="67">
        <f t="shared" si="1888"/>
        <v>0</v>
      </c>
      <c r="V143" s="67">
        <f t="shared" si="1888"/>
        <v>0</v>
      </c>
      <c r="W143" s="67">
        <f t="shared" si="1888"/>
        <v>0</v>
      </c>
      <c r="X143" s="67">
        <f t="shared" si="1888"/>
        <v>0</v>
      </c>
      <c r="Y143" s="67">
        <f t="shared" si="1888"/>
        <v>0</v>
      </c>
      <c r="Z143" s="67">
        <f t="shared" si="1888"/>
        <v>0</v>
      </c>
      <c r="AA143" s="67">
        <f t="shared" si="1888"/>
        <v>0</v>
      </c>
      <c r="AB143" s="67">
        <f t="shared" si="1888"/>
        <v>0</v>
      </c>
      <c r="AC143" s="67">
        <f t="shared" si="1888"/>
        <v>0</v>
      </c>
      <c r="AD143" s="67">
        <f t="shared" si="1888"/>
        <v>0</v>
      </c>
      <c r="AE143" s="67">
        <f t="shared" si="1888"/>
        <v>0</v>
      </c>
      <c r="AF143" s="67">
        <f t="shared" si="1888"/>
        <v>0</v>
      </c>
      <c r="AG143" s="67">
        <f t="shared" si="1888"/>
        <v>0</v>
      </c>
      <c r="AH143" s="67">
        <f t="shared" si="1888"/>
        <v>0</v>
      </c>
      <c r="AI143" s="67">
        <f t="shared" si="1888"/>
        <v>0</v>
      </c>
      <c r="AJ143" s="67">
        <f t="shared" si="1888"/>
        <v>0</v>
      </c>
      <c r="AK143" s="67">
        <f t="shared" si="1888"/>
        <v>0</v>
      </c>
      <c r="AL143" s="67">
        <f t="shared" si="1888"/>
        <v>0</v>
      </c>
      <c r="AM143" s="67">
        <f t="shared" si="1888"/>
        <v>0</v>
      </c>
      <c r="AN143" s="67">
        <f t="shared" si="1888"/>
        <v>0</v>
      </c>
      <c r="AO143" s="67">
        <f t="shared" si="1888"/>
        <v>0</v>
      </c>
      <c r="AP143" s="67">
        <f t="shared" si="1888"/>
        <v>0</v>
      </c>
      <c r="AQ143" s="67">
        <f t="shared" si="1888"/>
        <v>0</v>
      </c>
      <c r="AR143" s="67">
        <f t="shared" si="1888"/>
        <v>0</v>
      </c>
      <c r="AS143" s="67">
        <f t="shared" si="1888"/>
        <v>0</v>
      </c>
      <c r="AT143" s="67">
        <f t="shared" si="1888"/>
        <v>0</v>
      </c>
      <c r="AU143" s="67">
        <f t="shared" si="1888"/>
        <v>0</v>
      </c>
      <c r="AV143" s="67">
        <f t="shared" si="1888"/>
        <v>0</v>
      </c>
      <c r="AW143" s="67">
        <f t="shared" si="1888"/>
        <v>0</v>
      </c>
      <c r="AX143" s="67">
        <f t="shared" si="1888"/>
        <v>0</v>
      </c>
      <c r="AY143" s="67">
        <f t="shared" si="1888"/>
        <v>0</v>
      </c>
      <c r="AZ143" s="67">
        <f t="shared" si="1888"/>
        <v>0</v>
      </c>
      <c r="BA143" s="67">
        <f t="shared" si="1888"/>
        <v>8370000</v>
      </c>
      <c r="BB143" s="67">
        <f t="shared" si="1888"/>
        <v>2432048.2561504338</v>
      </c>
      <c r="BC143" s="67">
        <f t="shared" si="1888"/>
        <v>2583980.0243906719</v>
      </c>
      <c r="BD143" s="67">
        <f t="shared" si="1888"/>
        <v>2736193.768502397</v>
      </c>
      <c r="BE143" s="67">
        <f t="shared" si="1888"/>
        <v>2888690.0118152131</v>
      </c>
      <c r="BF143" s="67">
        <f t="shared" si="1888"/>
        <v>3041469.2786299912</v>
      </c>
      <c r="BG143" s="67">
        <f t="shared" si="1888"/>
        <v>3194532.0942206718</v>
      </c>
      <c r="BH143" s="67">
        <f t="shared" si="1888"/>
        <v>3347878.9848360713</v>
      </c>
      <c r="BI143" s="67">
        <f t="shared" si="1888"/>
        <v>3501510.477701691</v>
      </c>
      <c r="BJ143" s="67">
        <f t="shared" si="1888"/>
        <v>3655427.1010215301</v>
      </c>
      <c r="BK143" s="67">
        <f t="shared" si="1888"/>
        <v>3809629.3839799007</v>
      </c>
      <c r="BL143" s="67">
        <f t="shared" si="1888"/>
        <v>0</v>
      </c>
      <c r="BM143" s="67">
        <f t="shared" si="1888"/>
        <v>154775.19371872564</v>
      </c>
      <c r="BN143" s="67">
        <f t="shared" si="1888"/>
        <v>309869.19899514504</v>
      </c>
      <c r="BO143" s="67">
        <f t="shared" si="1888"/>
        <v>465282.67252886796</v>
      </c>
      <c r="BP143" s="67">
        <f t="shared" si="1888"/>
        <v>621016.27237219794</v>
      </c>
      <c r="BQ143" s="67">
        <f t="shared" si="1888"/>
        <v>777070.65793291829</v>
      </c>
      <c r="BR143" s="67">
        <f t="shared" ref="BR143:DI143" si="1889">+BQ143+BR19-BR159-BR166</f>
        <v>933446.48997708468</v>
      </c>
      <c r="BS143" s="67">
        <f t="shared" si="1889"/>
        <v>1090144.4306318224</v>
      </c>
      <c r="BT143" s="67">
        <f t="shared" si="1889"/>
        <v>1247165.1433881305</v>
      </c>
      <c r="BU143" s="67">
        <f t="shared" si="1889"/>
        <v>1404509.2931036905</v>
      </c>
      <c r="BV143" s="67">
        <f t="shared" si="1889"/>
        <v>1562177.5460056823</v>
      </c>
      <c r="BW143" s="67">
        <f t="shared" si="1889"/>
        <v>1720170.5696936045</v>
      </c>
      <c r="BX143" s="67">
        <f t="shared" si="1889"/>
        <v>1878489.033142101</v>
      </c>
      <c r="BY143" s="67">
        <f t="shared" si="1889"/>
        <v>2037133.6067037946</v>
      </c>
      <c r="BZ143" s="67">
        <f t="shared" si="1889"/>
        <v>2196104.9621121241</v>
      </c>
      <c r="CA143" s="67">
        <f t="shared" si="1889"/>
        <v>2355403.7724841898</v>
      </c>
      <c r="CB143" s="67">
        <f t="shared" si="1889"/>
        <v>2515030.7123236028</v>
      </c>
      <c r="CC143" s="67">
        <f t="shared" si="1889"/>
        <v>2674986.4575233408</v>
      </c>
      <c r="CD143" s="67">
        <f t="shared" si="1889"/>
        <v>2835271.685368611</v>
      </c>
      <c r="CE143" s="67">
        <f t="shared" si="1889"/>
        <v>2995887.0745397173</v>
      </c>
      <c r="CF143" s="67">
        <f t="shared" si="1889"/>
        <v>3156833.3051149328</v>
      </c>
      <c r="CG143" s="67">
        <f t="shared" si="1889"/>
        <v>3318111.058573382</v>
      </c>
      <c r="CH143" s="67">
        <f t="shared" si="1889"/>
        <v>3479721.0177979236</v>
      </c>
      <c r="CI143" s="67">
        <f t="shared" si="1889"/>
        <v>3641663.8670780435</v>
      </c>
      <c r="CJ143" s="67">
        <f t="shared" si="1889"/>
        <v>3803940.2921127523</v>
      </c>
      <c r="CK143" s="67">
        <f t="shared" si="1889"/>
        <v>3966550.9800134879</v>
      </c>
      <c r="CL143" s="67">
        <f t="shared" si="1889"/>
        <v>2541119.8343072003</v>
      </c>
      <c r="CM143" s="67">
        <f t="shared" si="1889"/>
        <v>2704401.1149385674</v>
      </c>
      <c r="CN143" s="67">
        <f t="shared" si="1889"/>
        <v>2868018.7282739654</v>
      </c>
      <c r="CO143" s="67">
        <f t="shared" si="1889"/>
        <v>3031973.3671036968</v>
      </c>
      <c r="CP143" s="67">
        <f t="shared" si="1889"/>
        <v>3196265.7256450988</v>
      </c>
      <c r="CQ143" s="67">
        <f t="shared" si="1889"/>
        <v>3360896.4995454825</v>
      </c>
      <c r="CR143" s="67">
        <f t="shared" si="1889"/>
        <v>3525866.3858850785</v>
      </c>
      <c r="CS143" s="67">
        <f t="shared" si="1889"/>
        <v>3691176.0831799884</v>
      </c>
      <c r="CT143" s="67">
        <f t="shared" si="1889"/>
        <v>3856826.2913851431</v>
      </c>
      <c r="CU143" s="67">
        <f t="shared" si="1889"/>
        <v>1248994.0026765242</v>
      </c>
      <c r="CV143" s="67">
        <f t="shared" si="1889"/>
        <v>1415327.3383371006</v>
      </c>
      <c r="CW143" s="67">
        <f t="shared" si="1889"/>
        <v>1582003.2934353545</v>
      </c>
      <c r="CX143" s="67">
        <f t="shared" si="1889"/>
        <v>530270.51525538997</v>
      </c>
      <c r="CY143" s="67">
        <f t="shared" si="1889"/>
        <v>697633.82790254126</v>
      </c>
      <c r="CZ143" s="67">
        <f t="shared" si="1889"/>
        <v>865341.88157132408</v>
      </c>
      <c r="DA143" s="67">
        <f t="shared" si="1889"/>
        <v>1033395.3863717986</v>
      </c>
      <c r="DB143" s="67">
        <f t="shared" si="1889"/>
        <v>1201795.0538767353</v>
      </c>
      <c r="DC143" s="67">
        <f t="shared" si="1889"/>
        <v>1370541.5971246283</v>
      </c>
      <c r="DD143" s="67">
        <f t="shared" si="1889"/>
        <v>1539635.7306227137</v>
      </c>
      <c r="DE143" s="67">
        <f t="shared" si="1889"/>
        <v>1709078.1703499961</v>
      </c>
      <c r="DF143" s="67">
        <f t="shared" si="1889"/>
        <v>1878869.6337602795</v>
      </c>
      <c r="DG143" s="67">
        <f t="shared" si="1889"/>
        <v>0</v>
      </c>
      <c r="DH143" s="67">
        <f t="shared" si="1889"/>
        <v>170491.66905209047</v>
      </c>
      <c r="DI143" s="67">
        <f t="shared" si="1889"/>
        <v>341334.52302780049</v>
      </c>
    </row>
    <row r="145" spans="2:113" x14ac:dyDescent="0.25">
      <c r="B145" s="44" t="s">
        <v>60</v>
      </c>
      <c r="C145" s="44"/>
      <c r="D145" s="69" t="str">
        <f>+Annual!$D$5</f>
        <v>Units:</v>
      </c>
      <c r="E145" s="69"/>
      <c r="F145" s="120">
        <f>Constr_Start_Date</f>
        <v>42155</v>
      </c>
      <c r="G145" s="120">
        <f>EOMONTH(F145,1)</f>
        <v>42185</v>
      </c>
      <c r="H145" s="120">
        <f t="shared" ref="H145:BS145" si="1890">EOMONTH(G145,1)</f>
        <v>42216</v>
      </c>
      <c r="I145" s="120">
        <f t="shared" si="1890"/>
        <v>42247</v>
      </c>
      <c r="J145" s="120">
        <f t="shared" si="1890"/>
        <v>42277</v>
      </c>
      <c r="K145" s="120">
        <f t="shared" si="1890"/>
        <v>42308</v>
      </c>
      <c r="L145" s="120">
        <f t="shared" si="1890"/>
        <v>42338</v>
      </c>
      <c r="M145" s="120">
        <f t="shared" si="1890"/>
        <v>42369</v>
      </c>
      <c r="N145" s="120">
        <f t="shared" si="1890"/>
        <v>42400</v>
      </c>
      <c r="O145" s="120">
        <f t="shared" si="1890"/>
        <v>42429</v>
      </c>
      <c r="P145" s="120">
        <f t="shared" si="1890"/>
        <v>42460</v>
      </c>
      <c r="Q145" s="120">
        <f t="shared" si="1890"/>
        <v>42490</v>
      </c>
      <c r="R145" s="120">
        <f t="shared" si="1890"/>
        <v>42521</v>
      </c>
      <c r="S145" s="120">
        <f t="shared" si="1890"/>
        <v>42551</v>
      </c>
      <c r="T145" s="120">
        <f t="shared" si="1890"/>
        <v>42582</v>
      </c>
      <c r="U145" s="120">
        <f t="shared" si="1890"/>
        <v>42613</v>
      </c>
      <c r="V145" s="120">
        <f t="shared" si="1890"/>
        <v>42643</v>
      </c>
      <c r="W145" s="120">
        <f t="shared" si="1890"/>
        <v>42674</v>
      </c>
      <c r="X145" s="120">
        <f t="shared" si="1890"/>
        <v>42704</v>
      </c>
      <c r="Y145" s="120">
        <f t="shared" si="1890"/>
        <v>42735</v>
      </c>
      <c r="Z145" s="120">
        <f t="shared" si="1890"/>
        <v>42766</v>
      </c>
      <c r="AA145" s="120">
        <f t="shared" si="1890"/>
        <v>42794</v>
      </c>
      <c r="AB145" s="120">
        <f t="shared" si="1890"/>
        <v>42825</v>
      </c>
      <c r="AC145" s="120">
        <f t="shared" si="1890"/>
        <v>42855</v>
      </c>
      <c r="AD145" s="120">
        <f t="shared" si="1890"/>
        <v>42886</v>
      </c>
      <c r="AE145" s="120">
        <f t="shared" si="1890"/>
        <v>42916</v>
      </c>
      <c r="AF145" s="120">
        <f t="shared" si="1890"/>
        <v>42947</v>
      </c>
      <c r="AG145" s="120">
        <f t="shared" si="1890"/>
        <v>42978</v>
      </c>
      <c r="AH145" s="120">
        <f t="shared" si="1890"/>
        <v>43008</v>
      </c>
      <c r="AI145" s="120">
        <f t="shared" si="1890"/>
        <v>43039</v>
      </c>
      <c r="AJ145" s="120">
        <f t="shared" si="1890"/>
        <v>43069</v>
      </c>
      <c r="AK145" s="120">
        <f t="shared" si="1890"/>
        <v>43100</v>
      </c>
      <c r="AL145" s="120">
        <f t="shared" si="1890"/>
        <v>43131</v>
      </c>
      <c r="AM145" s="120">
        <f t="shared" si="1890"/>
        <v>43159</v>
      </c>
      <c r="AN145" s="120">
        <f t="shared" si="1890"/>
        <v>43190</v>
      </c>
      <c r="AO145" s="120">
        <f t="shared" si="1890"/>
        <v>43220</v>
      </c>
      <c r="AP145" s="120">
        <f t="shared" si="1890"/>
        <v>43251</v>
      </c>
      <c r="AQ145" s="120">
        <f t="shared" si="1890"/>
        <v>43281</v>
      </c>
      <c r="AR145" s="120">
        <f t="shared" si="1890"/>
        <v>43312</v>
      </c>
      <c r="AS145" s="120">
        <f t="shared" si="1890"/>
        <v>43343</v>
      </c>
      <c r="AT145" s="120">
        <f t="shared" si="1890"/>
        <v>43373</v>
      </c>
      <c r="AU145" s="120">
        <f t="shared" si="1890"/>
        <v>43404</v>
      </c>
      <c r="AV145" s="120">
        <f t="shared" si="1890"/>
        <v>43434</v>
      </c>
      <c r="AW145" s="120">
        <f t="shared" si="1890"/>
        <v>43465</v>
      </c>
      <c r="AX145" s="120">
        <f t="shared" si="1890"/>
        <v>43496</v>
      </c>
      <c r="AY145" s="120">
        <f t="shared" si="1890"/>
        <v>43524</v>
      </c>
      <c r="AZ145" s="120">
        <f t="shared" si="1890"/>
        <v>43555</v>
      </c>
      <c r="BA145" s="120">
        <f t="shared" si="1890"/>
        <v>43585</v>
      </c>
      <c r="BB145" s="120">
        <f t="shared" si="1890"/>
        <v>43616</v>
      </c>
      <c r="BC145" s="120">
        <f t="shared" si="1890"/>
        <v>43646</v>
      </c>
      <c r="BD145" s="120">
        <f t="shared" si="1890"/>
        <v>43677</v>
      </c>
      <c r="BE145" s="120">
        <f t="shared" si="1890"/>
        <v>43708</v>
      </c>
      <c r="BF145" s="120">
        <f t="shared" si="1890"/>
        <v>43738</v>
      </c>
      <c r="BG145" s="120">
        <f t="shared" si="1890"/>
        <v>43769</v>
      </c>
      <c r="BH145" s="120">
        <f t="shared" si="1890"/>
        <v>43799</v>
      </c>
      <c r="BI145" s="120">
        <f t="shared" si="1890"/>
        <v>43830</v>
      </c>
      <c r="BJ145" s="120">
        <f t="shared" si="1890"/>
        <v>43861</v>
      </c>
      <c r="BK145" s="120">
        <f t="shared" si="1890"/>
        <v>43890</v>
      </c>
      <c r="BL145" s="120">
        <f t="shared" si="1890"/>
        <v>43921</v>
      </c>
      <c r="BM145" s="120">
        <f t="shared" si="1890"/>
        <v>43951</v>
      </c>
      <c r="BN145" s="120">
        <f t="shared" si="1890"/>
        <v>43982</v>
      </c>
      <c r="BO145" s="120">
        <f t="shared" si="1890"/>
        <v>44012</v>
      </c>
      <c r="BP145" s="120">
        <f t="shared" si="1890"/>
        <v>44043</v>
      </c>
      <c r="BQ145" s="120">
        <f t="shared" si="1890"/>
        <v>44074</v>
      </c>
      <c r="BR145" s="120">
        <f t="shared" si="1890"/>
        <v>44104</v>
      </c>
      <c r="BS145" s="120">
        <f t="shared" si="1890"/>
        <v>44135</v>
      </c>
      <c r="BT145" s="120">
        <f t="shared" ref="BT145:CL145" si="1891">EOMONTH(BS145,1)</f>
        <v>44165</v>
      </c>
      <c r="BU145" s="120">
        <f t="shared" si="1891"/>
        <v>44196</v>
      </c>
      <c r="BV145" s="120">
        <f t="shared" si="1891"/>
        <v>44227</v>
      </c>
      <c r="BW145" s="120">
        <f t="shared" si="1891"/>
        <v>44255</v>
      </c>
      <c r="BX145" s="120">
        <f t="shared" si="1891"/>
        <v>44286</v>
      </c>
      <c r="BY145" s="120">
        <f t="shared" si="1891"/>
        <v>44316</v>
      </c>
      <c r="BZ145" s="120">
        <f t="shared" si="1891"/>
        <v>44347</v>
      </c>
      <c r="CA145" s="120">
        <f t="shared" si="1891"/>
        <v>44377</v>
      </c>
      <c r="CB145" s="120">
        <f t="shared" si="1891"/>
        <v>44408</v>
      </c>
      <c r="CC145" s="120">
        <f t="shared" si="1891"/>
        <v>44439</v>
      </c>
      <c r="CD145" s="120">
        <f t="shared" si="1891"/>
        <v>44469</v>
      </c>
      <c r="CE145" s="120">
        <f t="shared" si="1891"/>
        <v>44500</v>
      </c>
      <c r="CF145" s="120">
        <f t="shared" si="1891"/>
        <v>44530</v>
      </c>
      <c r="CG145" s="120">
        <f t="shared" si="1891"/>
        <v>44561</v>
      </c>
      <c r="CH145" s="120">
        <f t="shared" si="1891"/>
        <v>44592</v>
      </c>
      <c r="CI145" s="120">
        <f t="shared" si="1891"/>
        <v>44620</v>
      </c>
      <c r="CJ145" s="120">
        <f t="shared" si="1891"/>
        <v>44651</v>
      </c>
      <c r="CK145" s="120">
        <f t="shared" si="1891"/>
        <v>44681</v>
      </c>
      <c r="CL145" s="120">
        <f t="shared" si="1891"/>
        <v>44712</v>
      </c>
      <c r="CM145" s="120">
        <f t="shared" ref="CM145" si="1892">EOMONTH(CL145,1)</f>
        <v>44742</v>
      </c>
      <c r="CN145" s="120">
        <f t="shared" ref="CN145" si="1893">EOMONTH(CM145,1)</f>
        <v>44773</v>
      </c>
      <c r="CO145" s="120">
        <f t="shared" ref="CO145" si="1894">EOMONTH(CN145,1)</f>
        <v>44804</v>
      </c>
      <c r="CP145" s="120">
        <f t="shared" ref="CP145" si="1895">EOMONTH(CO145,1)</f>
        <v>44834</v>
      </c>
      <c r="CQ145" s="120">
        <f t="shared" ref="CQ145" si="1896">EOMONTH(CP145,1)</f>
        <v>44865</v>
      </c>
      <c r="CR145" s="120">
        <f t="shared" ref="CR145" si="1897">EOMONTH(CQ145,1)</f>
        <v>44895</v>
      </c>
      <c r="CS145" s="120">
        <f t="shared" ref="CS145" si="1898">EOMONTH(CR145,1)</f>
        <v>44926</v>
      </c>
      <c r="CT145" s="120">
        <f t="shared" ref="CT145" si="1899">EOMONTH(CS145,1)</f>
        <v>44957</v>
      </c>
      <c r="CU145" s="120">
        <f t="shared" ref="CU145" si="1900">EOMONTH(CT145,1)</f>
        <v>44985</v>
      </c>
      <c r="CV145" s="120">
        <f t="shared" ref="CV145" si="1901">EOMONTH(CU145,1)</f>
        <v>45016</v>
      </c>
      <c r="CW145" s="120">
        <f t="shared" ref="CW145" si="1902">EOMONTH(CV145,1)</f>
        <v>45046</v>
      </c>
      <c r="CX145" s="120">
        <f t="shared" ref="CX145" si="1903">EOMONTH(CW145,1)</f>
        <v>45077</v>
      </c>
      <c r="CY145" s="120">
        <f t="shared" ref="CY145" si="1904">EOMONTH(CX145,1)</f>
        <v>45107</v>
      </c>
      <c r="CZ145" s="120">
        <f t="shared" ref="CZ145" si="1905">EOMONTH(CY145,1)</f>
        <v>45138</v>
      </c>
      <c r="DA145" s="120">
        <f t="shared" ref="DA145" si="1906">EOMONTH(CZ145,1)</f>
        <v>45169</v>
      </c>
      <c r="DB145" s="120">
        <f t="shared" ref="DB145" si="1907">EOMONTH(DA145,1)</f>
        <v>45199</v>
      </c>
      <c r="DC145" s="120">
        <f t="shared" ref="DC145" si="1908">EOMONTH(DB145,1)</f>
        <v>45230</v>
      </c>
      <c r="DD145" s="120">
        <f t="shared" ref="DD145" si="1909">EOMONTH(DC145,1)</f>
        <v>45260</v>
      </c>
      <c r="DE145" s="120">
        <f t="shared" ref="DE145" si="1910">EOMONTH(DD145,1)</f>
        <v>45291</v>
      </c>
      <c r="DF145" s="120">
        <f t="shared" ref="DF145" si="1911">EOMONTH(DE145,1)</f>
        <v>45322</v>
      </c>
      <c r="DG145" s="120">
        <f t="shared" ref="DG145" si="1912">EOMONTH(DF145,1)</f>
        <v>45351</v>
      </c>
      <c r="DH145" s="120">
        <f t="shared" ref="DH145" si="1913">EOMONTH(DG145,1)</f>
        <v>45382</v>
      </c>
      <c r="DI145" s="120">
        <f t="shared" ref="DI145" si="1914">EOMONTH(DH145,1)</f>
        <v>45412</v>
      </c>
    </row>
    <row r="146" spans="2:113" outlineLevel="1" x14ac:dyDescent="0.25"/>
    <row r="147" spans="2:113" outlineLevel="1" x14ac:dyDescent="0.25">
      <c r="C147" s="100" t="s">
        <v>59</v>
      </c>
      <c r="F147" s="235"/>
    </row>
    <row r="148" spans="2:113" outlineLevel="1" x14ac:dyDescent="0.25">
      <c r="C148" s="101" t="s">
        <v>49</v>
      </c>
      <c r="D148" s="47" t="s">
        <v>107</v>
      </c>
      <c r="E148" s="153"/>
      <c r="F148" s="126">
        <f t="shared" ref="F148:AK148" si="1915">IF(F145&gt;Constr_End,SUM(F66:F68)+SUM(F100:F102)+SUM(F134:F136)+(Rentable_Sq_M-$E44-$E78-$E112)*F61/Months,0)</f>
        <v>0</v>
      </c>
      <c r="G148" s="126">
        <f t="shared" si="1915"/>
        <v>0</v>
      </c>
      <c r="H148" s="126">
        <f t="shared" si="1915"/>
        <v>0</v>
      </c>
      <c r="I148" s="126">
        <f t="shared" si="1915"/>
        <v>0</v>
      </c>
      <c r="J148" s="126">
        <f t="shared" si="1915"/>
        <v>0</v>
      </c>
      <c r="K148" s="126">
        <f t="shared" si="1915"/>
        <v>0</v>
      </c>
      <c r="L148" s="126">
        <f t="shared" si="1915"/>
        <v>0</v>
      </c>
      <c r="M148" s="126">
        <f t="shared" si="1915"/>
        <v>0</v>
      </c>
      <c r="N148" s="126">
        <f t="shared" si="1915"/>
        <v>0</v>
      </c>
      <c r="O148" s="126">
        <f t="shared" si="1915"/>
        <v>0</v>
      </c>
      <c r="P148" s="126">
        <f t="shared" si="1915"/>
        <v>0</v>
      </c>
      <c r="Q148" s="126">
        <f t="shared" si="1915"/>
        <v>0</v>
      </c>
      <c r="R148" s="126">
        <f t="shared" si="1915"/>
        <v>0</v>
      </c>
      <c r="S148" s="126">
        <f t="shared" si="1915"/>
        <v>0</v>
      </c>
      <c r="T148" s="126">
        <f t="shared" si="1915"/>
        <v>0</v>
      </c>
      <c r="U148" s="126">
        <f t="shared" si="1915"/>
        <v>0</v>
      </c>
      <c r="V148" s="126">
        <f t="shared" si="1915"/>
        <v>0</v>
      </c>
      <c r="W148" s="126">
        <f t="shared" si="1915"/>
        <v>0</v>
      </c>
      <c r="X148" s="126">
        <f t="shared" si="1915"/>
        <v>0</v>
      </c>
      <c r="Y148" s="126">
        <f t="shared" si="1915"/>
        <v>0</v>
      </c>
      <c r="Z148" s="126">
        <f t="shared" si="1915"/>
        <v>0</v>
      </c>
      <c r="AA148" s="126">
        <f t="shared" si="1915"/>
        <v>0</v>
      </c>
      <c r="AB148" s="126">
        <f t="shared" si="1915"/>
        <v>0</v>
      </c>
      <c r="AC148" s="126">
        <f t="shared" si="1915"/>
        <v>0</v>
      </c>
      <c r="AD148" s="126">
        <f t="shared" si="1915"/>
        <v>0</v>
      </c>
      <c r="AE148" s="126">
        <f t="shared" si="1915"/>
        <v>0</v>
      </c>
      <c r="AF148" s="126">
        <f t="shared" si="1915"/>
        <v>0</v>
      </c>
      <c r="AG148" s="126">
        <f t="shared" si="1915"/>
        <v>0</v>
      </c>
      <c r="AH148" s="126">
        <f t="shared" si="1915"/>
        <v>0</v>
      </c>
      <c r="AI148" s="126">
        <f t="shared" si="1915"/>
        <v>0</v>
      </c>
      <c r="AJ148" s="126">
        <f t="shared" si="1915"/>
        <v>0</v>
      </c>
      <c r="AK148" s="126">
        <f t="shared" si="1915"/>
        <v>0</v>
      </c>
      <c r="AL148" s="126">
        <f t="shared" ref="AL148:BQ148" si="1916">IF(AL145&gt;Constr_End,SUM(AL66:AL68)+SUM(AL100:AL102)+SUM(AL134:AL136)+(Rentable_Sq_M-$E44-$E78-$E112)*AL61/Months,0)</f>
        <v>0</v>
      </c>
      <c r="AM148" s="126">
        <f t="shared" si="1916"/>
        <v>0</v>
      </c>
      <c r="AN148" s="126">
        <f t="shared" si="1916"/>
        <v>0</v>
      </c>
      <c r="AO148" s="126">
        <f t="shared" si="1916"/>
        <v>0</v>
      </c>
      <c r="AP148" s="126">
        <f t="shared" si="1916"/>
        <v>0</v>
      </c>
      <c r="AQ148" s="126">
        <f t="shared" si="1916"/>
        <v>0</v>
      </c>
      <c r="AR148" s="126">
        <f t="shared" si="1916"/>
        <v>0</v>
      </c>
      <c r="AS148" s="126">
        <f t="shared" si="1916"/>
        <v>0</v>
      </c>
      <c r="AT148" s="126">
        <f t="shared" si="1916"/>
        <v>0</v>
      </c>
      <c r="AU148" s="126">
        <f t="shared" si="1916"/>
        <v>0</v>
      </c>
      <c r="AV148" s="126">
        <f t="shared" si="1916"/>
        <v>0</v>
      </c>
      <c r="AW148" s="126">
        <f t="shared" si="1916"/>
        <v>0</v>
      </c>
      <c r="AX148" s="126">
        <f t="shared" si="1916"/>
        <v>0</v>
      </c>
      <c r="AY148" s="126">
        <f t="shared" si="1916"/>
        <v>0</v>
      </c>
      <c r="AZ148" s="126">
        <f t="shared" si="1916"/>
        <v>0</v>
      </c>
      <c r="BA148" s="126">
        <f t="shared" si="1916"/>
        <v>0</v>
      </c>
      <c r="BB148" s="126">
        <f t="shared" si="1916"/>
        <v>5192420.6901802551</v>
      </c>
      <c r="BC148" s="126">
        <f t="shared" si="1916"/>
        <v>5193392.3831880847</v>
      </c>
      <c r="BD148" s="126">
        <f t="shared" si="1916"/>
        <v>5194366.8658281257</v>
      </c>
      <c r="BE148" s="126">
        <f t="shared" si="1916"/>
        <v>5195344.1461091293</v>
      </c>
      <c r="BF148" s="126">
        <f t="shared" si="1916"/>
        <v>5196324.2320628399</v>
      </c>
      <c r="BG148" s="126">
        <f t="shared" si="1916"/>
        <v>5197307.1317440597</v>
      </c>
      <c r="BH148" s="126">
        <f t="shared" si="1916"/>
        <v>5198292.8532307157</v>
      </c>
      <c r="BI148" s="126">
        <f t="shared" si="1916"/>
        <v>5199281.4046239248</v>
      </c>
      <c r="BJ148" s="126">
        <f t="shared" si="1916"/>
        <v>5200272.7940480616</v>
      </c>
      <c r="BK148" s="126">
        <f t="shared" si="1916"/>
        <v>5201267.0296508279</v>
      </c>
      <c r="BL148" s="126">
        <f t="shared" si="1916"/>
        <v>8070670.0510638915</v>
      </c>
      <c r="BM148" s="126">
        <f t="shared" si="1916"/>
        <v>8071670.0035606427</v>
      </c>
      <c r="BN148" s="126">
        <f t="shared" si="1916"/>
        <v>8181886.8747337842</v>
      </c>
      <c r="BO148" s="126">
        <f t="shared" si="1916"/>
        <v>8182892.5769968871</v>
      </c>
      <c r="BP148" s="126">
        <f t="shared" si="1916"/>
        <v>8183901.1665293295</v>
      </c>
      <c r="BQ148" s="126">
        <f t="shared" si="1916"/>
        <v>8184912.6516201692</v>
      </c>
      <c r="BR148" s="126">
        <f t="shared" ref="BR148:CW148" si="1917">IF(BR145&gt;Constr_End,SUM(BR66:BR68)+SUM(BR100:BR102)+SUM(BR134:BR136)+(Rentable_Sq_M-$E44-$E78-$E112)*BR61/Months,0)</f>
        <v>8185927.0405822592</v>
      </c>
      <c r="BS148" s="126">
        <f t="shared" si="1917"/>
        <v>8186944.3417523224</v>
      </c>
      <c r="BT148" s="126">
        <f t="shared" si="1917"/>
        <v>8187964.5634910101</v>
      </c>
      <c r="BU148" s="126">
        <f t="shared" si="1917"/>
        <v>8188987.7141829822</v>
      </c>
      <c r="BV148" s="126">
        <f t="shared" si="1917"/>
        <v>8190013.802236964</v>
      </c>
      <c r="BW148" s="126">
        <f t="shared" si="1917"/>
        <v>8191042.8360858262</v>
      </c>
      <c r="BX148" s="126">
        <f t="shared" si="1917"/>
        <v>8256613.957644511</v>
      </c>
      <c r="BY148" s="126">
        <f t="shared" si="1917"/>
        <v>8257648.9084786484</v>
      </c>
      <c r="BZ148" s="126">
        <f t="shared" si="1917"/>
        <v>8370211.9081867961</v>
      </c>
      <c r="CA148" s="126">
        <f t="shared" si="1917"/>
        <v>8371105.742917045</v>
      </c>
      <c r="CB148" s="126">
        <f t="shared" si="1917"/>
        <v>8372001.7820848702</v>
      </c>
      <c r="CC148" s="126">
        <f t="shared" si="1917"/>
        <v>8372900.0311270095</v>
      </c>
      <c r="CD148" s="126">
        <f t="shared" si="1917"/>
        <v>8373800.4954936095</v>
      </c>
      <c r="CE148" s="126">
        <f t="shared" si="1917"/>
        <v>8374703.180648258</v>
      </c>
      <c r="CF148" s="126">
        <f t="shared" si="1917"/>
        <v>8375608.0920680175</v>
      </c>
      <c r="CG148" s="126">
        <f t="shared" si="1917"/>
        <v>8376515.2352434574</v>
      </c>
      <c r="CH148" s="126">
        <f t="shared" si="1917"/>
        <v>8377424.6156786904</v>
      </c>
      <c r="CI148" s="126">
        <f t="shared" si="1917"/>
        <v>8378336.2388914032</v>
      </c>
      <c r="CJ148" s="126">
        <f t="shared" si="1917"/>
        <v>8445241.3743735533</v>
      </c>
      <c r="CK148" s="126">
        <f t="shared" si="1917"/>
        <v>8446157.4997487478</v>
      </c>
      <c r="CL148" s="126">
        <f t="shared" si="1917"/>
        <v>8655308.1530167758</v>
      </c>
      <c r="CM148" s="126">
        <f t="shared" si="1917"/>
        <v>8660003.4668547716</v>
      </c>
      <c r="CN148" s="126">
        <f t="shared" si="1917"/>
        <v>8664710.3606033586</v>
      </c>
      <c r="CO148" s="126">
        <f t="shared" si="1917"/>
        <v>8669428.8628217168</v>
      </c>
      <c r="CP148" s="126">
        <f t="shared" si="1917"/>
        <v>8674159.0021394677</v>
      </c>
      <c r="CQ148" s="126">
        <f t="shared" si="1917"/>
        <v>8678900.8072568346</v>
      </c>
      <c r="CR148" s="126">
        <f t="shared" si="1917"/>
        <v>8683654.3069448303</v>
      </c>
      <c r="CS148" s="126">
        <f t="shared" si="1917"/>
        <v>8688419.5300454199</v>
      </c>
      <c r="CT148" s="126">
        <f t="shared" si="1917"/>
        <v>8693196.5054716989</v>
      </c>
      <c r="CU148" s="126">
        <f t="shared" si="1917"/>
        <v>8697985.2622080762</v>
      </c>
      <c r="CV148" s="126">
        <f t="shared" si="1917"/>
        <v>8766402.6172749866</v>
      </c>
      <c r="CW148" s="126">
        <f t="shared" si="1917"/>
        <v>8767346.2264114358</v>
      </c>
      <c r="CX148" s="126">
        <f t="shared" ref="CX148:DI148" si="1918">IF(CX145&gt;Constr_End,SUM(CX66:CX68)+SUM(CX100:CX102)+SUM(CX134:CX136)+(Rentable_Sq_M-$E44-$E78-$E112)*CX61/Months,0)</f>
        <v>8945764.4569671918</v>
      </c>
      <c r="CY148" s="126">
        <f t="shared" si="1918"/>
        <v>8949624.4706824962</v>
      </c>
      <c r="CZ148" s="126">
        <f t="shared" si="1918"/>
        <v>8953494.0042329486</v>
      </c>
      <c r="DA148" s="126">
        <f t="shared" si="1918"/>
        <v>8957373.0810970273</v>
      </c>
      <c r="DB148" s="126">
        <f t="shared" si="1918"/>
        <v>8961261.72481112</v>
      </c>
      <c r="DC148" s="126">
        <f t="shared" si="1918"/>
        <v>8965159.9589696638</v>
      </c>
      <c r="DD148" s="126">
        <f t="shared" si="1918"/>
        <v>8969067.8072252739</v>
      </c>
      <c r="DE148" s="126">
        <f t="shared" si="1918"/>
        <v>8972985.2932889126</v>
      </c>
      <c r="DF148" s="126">
        <f t="shared" si="1918"/>
        <v>8976912.4409300163</v>
      </c>
      <c r="DG148" s="126">
        <f t="shared" si="1918"/>
        <v>9019969.8872056995</v>
      </c>
      <c r="DH148" s="126">
        <f t="shared" si="1918"/>
        <v>9089933.6924191192</v>
      </c>
      <c r="DI148" s="126">
        <f t="shared" si="1918"/>
        <v>9090905.6098296624</v>
      </c>
    </row>
    <row r="149" spans="2:113" outlineLevel="1" x14ac:dyDescent="0.25">
      <c r="C149" s="101" t="s">
        <v>50</v>
      </c>
      <c r="D149" s="47" t="s">
        <v>107</v>
      </c>
      <c r="F149" s="6">
        <f t="shared" ref="F149:BQ150" si="1919">+F69+F103+F137</f>
        <v>0</v>
      </c>
      <c r="G149" s="6">
        <f t="shared" si="1919"/>
        <v>0</v>
      </c>
      <c r="H149" s="6">
        <f t="shared" si="1919"/>
        <v>0</v>
      </c>
      <c r="I149" s="6">
        <f t="shared" si="1919"/>
        <v>0</v>
      </c>
      <c r="J149" s="6">
        <f t="shared" si="1919"/>
        <v>0</v>
      </c>
      <c r="K149" s="6">
        <f t="shared" si="1919"/>
        <v>0</v>
      </c>
      <c r="L149" s="6">
        <f t="shared" si="1919"/>
        <v>0</v>
      </c>
      <c r="M149" s="6">
        <f t="shared" si="1919"/>
        <v>0</v>
      </c>
      <c r="N149" s="6">
        <f t="shared" si="1919"/>
        <v>0</v>
      </c>
      <c r="O149" s="6">
        <f t="shared" si="1919"/>
        <v>0</v>
      </c>
      <c r="P149" s="6">
        <f t="shared" si="1919"/>
        <v>0</v>
      </c>
      <c r="Q149" s="6">
        <f t="shared" si="1919"/>
        <v>0</v>
      </c>
      <c r="R149" s="6">
        <f t="shared" si="1919"/>
        <v>0</v>
      </c>
      <c r="S149" s="6">
        <f t="shared" si="1919"/>
        <v>0</v>
      </c>
      <c r="T149" s="6">
        <f t="shared" si="1919"/>
        <v>0</v>
      </c>
      <c r="U149" s="6">
        <f t="shared" si="1919"/>
        <v>0</v>
      </c>
      <c r="V149" s="6">
        <f t="shared" si="1919"/>
        <v>0</v>
      </c>
      <c r="W149" s="6">
        <f t="shared" si="1919"/>
        <v>0</v>
      </c>
      <c r="X149" s="6">
        <f t="shared" si="1919"/>
        <v>0</v>
      </c>
      <c r="Y149" s="6">
        <f t="shared" si="1919"/>
        <v>0</v>
      </c>
      <c r="Z149" s="6">
        <f t="shared" si="1919"/>
        <v>0</v>
      </c>
      <c r="AA149" s="6">
        <f t="shared" si="1919"/>
        <v>0</v>
      </c>
      <c r="AB149" s="6">
        <f t="shared" si="1919"/>
        <v>0</v>
      </c>
      <c r="AC149" s="6">
        <f t="shared" si="1919"/>
        <v>0</v>
      </c>
      <c r="AD149" s="6">
        <f t="shared" si="1919"/>
        <v>0</v>
      </c>
      <c r="AE149" s="6">
        <f t="shared" si="1919"/>
        <v>0</v>
      </c>
      <c r="AF149" s="6">
        <f t="shared" si="1919"/>
        <v>0</v>
      </c>
      <c r="AG149" s="6">
        <f t="shared" si="1919"/>
        <v>0</v>
      </c>
      <c r="AH149" s="6">
        <f t="shared" si="1919"/>
        <v>0</v>
      </c>
      <c r="AI149" s="6">
        <f t="shared" si="1919"/>
        <v>0</v>
      </c>
      <c r="AJ149" s="6">
        <f t="shared" si="1919"/>
        <v>0</v>
      </c>
      <c r="AK149" s="6">
        <f t="shared" si="1919"/>
        <v>0</v>
      </c>
      <c r="AL149" s="6">
        <f t="shared" si="1919"/>
        <v>0</v>
      </c>
      <c r="AM149" s="6">
        <f t="shared" si="1919"/>
        <v>0</v>
      </c>
      <c r="AN149" s="6">
        <f t="shared" si="1919"/>
        <v>0</v>
      </c>
      <c r="AO149" s="6">
        <f t="shared" si="1919"/>
        <v>0</v>
      </c>
      <c r="AP149" s="6">
        <f t="shared" si="1919"/>
        <v>0</v>
      </c>
      <c r="AQ149" s="6">
        <f t="shared" si="1919"/>
        <v>0</v>
      </c>
      <c r="AR149" s="6">
        <f t="shared" si="1919"/>
        <v>0</v>
      </c>
      <c r="AS149" s="6">
        <f t="shared" si="1919"/>
        <v>0</v>
      </c>
      <c r="AT149" s="6">
        <f t="shared" si="1919"/>
        <v>0</v>
      </c>
      <c r="AU149" s="6">
        <f t="shared" si="1919"/>
        <v>0</v>
      </c>
      <c r="AV149" s="6">
        <f t="shared" si="1919"/>
        <v>0</v>
      </c>
      <c r="AW149" s="6">
        <f t="shared" si="1919"/>
        <v>0</v>
      </c>
      <c r="AX149" s="6">
        <f t="shared" si="1919"/>
        <v>0</v>
      </c>
      <c r="AY149" s="6">
        <f t="shared" si="1919"/>
        <v>0</v>
      </c>
      <c r="AZ149" s="6">
        <f t="shared" si="1919"/>
        <v>0</v>
      </c>
      <c r="BA149" s="6">
        <f t="shared" si="1919"/>
        <v>0</v>
      </c>
      <c r="BB149" s="6">
        <f t="shared" si="1919"/>
        <v>0</v>
      </c>
      <c r="BC149" s="6">
        <f t="shared" si="1919"/>
        <v>0</v>
      </c>
      <c r="BD149" s="6">
        <f t="shared" si="1919"/>
        <v>0</v>
      </c>
      <c r="BE149" s="6">
        <f t="shared" si="1919"/>
        <v>0</v>
      </c>
      <c r="BF149" s="6">
        <f t="shared" si="1919"/>
        <v>0</v>
      </c>
      <c r="BG149" s="6">
        <f t="shared" si="1919"/>
        <v>0</v>
      </c>
      <c r="BH149" s="6">
        <f t="shared" si="1919"/>
        <v>0</v>
      </c>
      <c r="BI149" s="6">
        <f t="shared" si="1919"/>
        <v>0</v>
      </c>
      <c r="BJ149" s="6">
        <f t="shared" si="1919"/>
        <v>0</v>
      </c>
      <c r="BK149" s="6">
        <f t="shared" si="1919"/>
        <v>0</v>
      </c>
      <c r="BL149" s="6">
        <f t="shared" si="1919"/>
        <v>0</v>
      </c>
      <c r="BM149" s="6">
        <f t="shared" si="1919"/>
        <v>0</v>
      </c>
      <c r="BN149" s="6">
        <f t="shared" si="1919"/>
        <v>0</v>
      </c>
      <c r="BO149" s="6">
        <f t="shared" si="1919"/>
        <v>0</v>
      </c>
      <c r="BP149" s="6">
        <f t="shared" si="1919"/>
        <v>0</v>
      </c>
      <c r="BQ149" s="6">
        <f t="shared" si="1919"/>
        <v>0</v>
      </c>
      <c r="BR149" s="6">
        <f t="shared" ref="BR149:DI150" si="1920">+BR69+BR103+BR137</f>
        <v>0</v>
      </c>
      <c r="BS149" s="6">
        <f t="shared" si="1920"/>
        <v>0</v>
      </c>
      <c r="BT149" s="6">
        <f t="shared" si="1920"/>
        <v>0</v>
      </c>
      <c r="BU149" s="6">
        <f t="shared" si="1920"/>
        <v>0</v>
      </c>
      <c r="BV149" s="6">
        <f t="shared" si="1920"/>
        <v>0</v>
      </c>
      <c r="BW149" s="6">
        <f t="shared" si="1920"/>
        <v>0</v>
      </c>
      <c r="BX149" s="6">
        <f t="shared" si="1920"/>
        <v>0</v>
      </c>
      <c r="BY149" s="6">
        <f t="shared" si="1920"/>
        <v>0</v>
      </c>
      <c r="BZ149" s="6">
        <f t="shared" si="1920"/>
        <v>0</v>
      </c>
      <c r="CA149" s="6">
        <f t="shared" si="1920"/>
        <v>0</v>
      </c>
      <c r="CB149" s="6">
        <f t="shared" si="1920"/>
        <v>0</v>
      </c>
      <c r="CC149" s="6">
        <f t="shared" si="1920"/>
        <v>0</v>
      </c>
      <c r="CD149" s="6">
        <f t="shared" si="1920"/>
        <v>0</v>
      </c>
      <c r="CE149" s="6">
        <f t="shared" si="1920"/>
        <v>0</v>
      </c>
      <c r="CF149" s="6">
        <f t="shared" si="1920"/>
        <v>0</v>
      </c>
      <c r="CG149" s="6">
        <f t="shared" si="1920"/>
        <v>0</v>
      </c>
      <c r="CH149" s="6">
        <f t="shared" si="1920"/>
        <v>0</v>
      </c>
      <c r="CI149" s="6">
        <f t="shared" si="1920"/>
        <v>0</v>
      </c>
      <c r="CJ149" s="6">
        <f t="shared" si="1920"/>
        <v>0</v>
      </c>
      <c r="CK149" s="6">
        <f t="shared" si="1920"/>
        <v>0</v>
      </c>
      <c r="CL149" s="6">
        <f t="shared" si="1920"/>
        <v>-1530515.4805969375</v>
      </c>
      <c r="CM149" s="6">
        <f t="shared" si="1920"/>
        <v>-1534290.144662777</v>
      </c>
      <c r="CN149" s="6">
        <f t="shared" si="1920"/>
        <v>-1538074.1180685021</v>
      </c>
      <c r="CO149" s="6">
        <f t="shared" si="1920"/>
        <v>-1541867.4237734571</v>
      </c>
      <c r="CP149" s="6">
        <f t="shared" si="1920"/>
        <v>-1545670.0847936093</v>
      </c>
      <c r="CQ149" s="6">
        <f t="shared" si="1920"/>
        <v>-1549482.1242016898</v>
      </c>
      <c r="CR149" s="6">
        <f t="shared" si="1920"/>
        <v>-1553303.5651273336</v>
      </c>
      <c r="CS149" s="6">
        <f t="shared" si="1920"/>
        <v>-1557134.4307572187</v>
      </c>
      <c r="CT149" s="6">
        <f t="shared" si="1920"/>
        <v>-1560974.7443352083</v>
      </c>
      <c r="CU149" s="6">
        <f t="shared" si="1920"/>
        <v>0</v>
      </c>
      <c r="CV149" s="6">
        <f t="shared" si="1920"/>
        <v>0</v>
      </c>
      <c r="CW149" s="6">
        <f t="shared" si="1920"/>
        <v>0</v>
      </c>
      <c r="CX149" s="6">
        <f t="shared" si="1920"/>
        <v>-1180626.905735652</v>
      </c>
      <c r="CY149" s="6">
        <f t="shared" si="1920"/>
        <v>-1183538.6501856362</v>
      </c>
      <c r="CZ149" s="6">
        <f t="shared" si="1920"/>
        <v>-1186457.5757829424</v>
      </c>
      <c r="DA149" s="6">
        <f t="shared" si="1920"/>
        <v>-1189383.7002382164</v>
      </c>
      <c r="DB149" s="6">
        <f t="shared" si="1920"/>
        <v>-1192317.0413057848</v>
      </c>
      <c r="DC149" s="6">
        <f t="shared" si="1920"/>
        <v>-1195257.6167837598</v>
      </c>
      <c r="DD149" s="6">
        <f t="shared" si="1920"/>
        <v>-1198205.4445141491</v>
      </c>
      <c r="DE149" s="6">
        <f t="shared" si="1920"/>
        <v>-1201160.5423829642</v>
      </c>
      <c r="DF149" s="6">
        <f t="shared" si="1920"/>
        <v>-1204122.9283203273</v>
      </c>
      <c r="DG149" s="6">
        <f t="shared" si="1920"/>
        <v>0</v>
      </c>
      <c r="DH149" s="6">
        <f t="shared" si="1920"/>
        <v>0</v>
      </c>
      <c r="DI149" s="6">
        <f t="shared" si="1920"/>
        <v>0</v>
      </c>
    </row>
    <row r="150" spans="2:113" outlineLevel="1" x14ac:dyDescent="0.25">
      <c r="C150" s="101" t="s">
        <v>51</v>
      </c>
      <c r="D150" s="47" t="s">
        <v>107</v>
      </c>
      <c r="F150" s="6">
        <f t="shared" si="1919"/>
        <v>0</v>
      </c>
      <c r="G150" s="6">
        <f t="shared" si="1919"/>
        <v>0</v>
      </c>
      <c r="H150" s="6">
        <f t="shared" si="1919"/>
        <v>0</v>
      </c>
      <c r="I150" s="6">
        <f t="shared" si="1919"/>
        <v>0</v>
      </c>
      <c r="J150" s="6">
        <f t="shared" si="1919"/>
        <v>0</v>
      </c>
      <c r="K150" s="6">
        <f t="shared" si="1919"/>
        <v>0</v>
      </c>
      <c r="L150" s="6">
        <f t="shared" si="1919"/>
        <v>0</v>
      </c>
      <c r="M150" s="6">
        <f t="shared" si="1919"/>
        <v>0</v>
      </c>
      <c r="N150" s="6">
        <f t="shared" si="1919"/>
        <v>0</v>
      </c>
      <c r="O150" s="6">
        <f t="shared" si="1919"/>
        <v>0</v>
      </c>
      <c r="P150" s="6">
        <f t="shared" si="1919"/>
        <v>0</v>
      </c>
      <c r="Q150" s="6">
        <f t="shared" si="1919"/>
        <v>0</v>
      </c>
      <c r="R150" s="6">
        <f t="shared" si="1919"/>
        <v>0</v>
      </c>
      <c r="S150" s="6">
        <f t="shared" si="1919"/>
        <v>0</v>
      </c>
      <c r="T150" s="6">
        <f t="shared" si="1919"/>
        <v>0</v>
      </c>
      <c r="U150" s="6">
        <f t="shared" si="1919"/>
        <v>0</v>
      </c>
      <c r="V150" s="6">
        <f t="shared" si="1919"/>
        <v>0</v>
      </c>
      <c r="W150" s="6">
        <f t="shared" si="1919"/>
        <v>0</v>
      </c>
      <c r="X150" s="6">
        <f t="shared" si="1919"/>
        <v>0</v>
      </c>
      <c r="Y150" s="6">
        <f t="shared" si="1919"/>
        <v>0</v>
      </c>
      <c r="Z150" s="6">
        <f t="shared" si="1919"/>
        <v>0</v>
      </c>
      <c r="AA150" s="6">
        <f t="shared" si="1919"/>
        <v>0</v>
      </c>
      <c r="AB150" s="6">
        <f t="shared" si="1919"/>
        <v>0</v>
      </c>
      <c r="AC150" s="6">
        <f t="shared" si="1919"/>
        <v>0</v>
      </c>
      <c r="AD150" s="6">
        <f t="shared" si="1919"/>
        <v>0</v>
      </c>
      <c r="AE150" s="6">
        <f t="shared" si="1919"/>
        <v>0</v>
      </c>
      <c r="AF150" s="6">
        <f t="shared" si="1919"/>
        <v>0</v>
      </c>
      <c r="AG150" s="6">
        <f t="shared" si="1919"/>
        <v>0</v>
      </c>
      <c r="AH150" s="6">
        <f t="shared" si="1919"/>
        <v>0</v>
      </c>
      <c r="AI150" s="6">
        <f t="shared" si="1919"/>
        <v>0</v>
      </c>
      <c r="AJ150" s="6">
        <f t="shared" si="1919"/>
        <v>0</v>
      </c>
      <c r="AK150" s="6">
        <f t="shared" si="1919"/>
        <v>0</v>
      </c>
      <c r="AL150" s="6">
        <f t="shared" si="1919"/>
        <v>0</v>
      </c>
      <c r="AM150" s="6">
        <f t="shared" si="1919"/>
        <v>0</v>
      </c>
      <c r="AN150" s="6">
        <f t="shared" si="1919"/>
        <v>0</v>
      </c>
      <c r="AO150" s="6">
        <f t="shared" si="1919"/>
        <v>0</v>
      </c>
      <c r="AP150" s="6">
        <f t="shared" si="1919"/>
        <v>0</v>
      </c>
      <c r="AQ150" s="6">
        <f t="shared" si="1919"/>
        <v>0</v>
      </c>
      <c r="AR150" s="6">
        <f t="shared" si="1919"/>
        <v>0</v>
      </c>
      <c r="AS150" s="6">
        <f t="shared" si="1919"/>
        <v>0</v>
      </c>
      <c r="AT150" s="6">
        <f t="shared" si="1919"/>
        <v>0</v>
      </c>
      <c r="AU150" s="6">
        <f t="shared" si="1919"/>
        <v>0</v>
      </c>
      <c r="AV150" s="6">
        <f t="shared" si="1919"/>
        <v>0</v>
      </c>
      <c r="AW150" s="6">
        <f t="shared" si="1919"/>
        <v>0</v>
      </c>
      <c r="AX150" s="6">
        <f t="shared" si="1919"/>
        <v>0</v>
      </c>
      <c r="AY150" s="6">
        <f t="shared" si="1919"/>
        <v>0</v>
      </c>
      <c r="AZ150" s="6">
        <f t="shared" si="1919"/>
        <v>0</v>
      </c>
      <c r="BA150" s="6">
        <f t="shared" si="1919"/>
        <v>0</v>
      </c>
      <c r="BB150" s="6">
        <f t="shared" si="1919"/>
        <v>-4853957.6850688122</v>
      </c>
      <c r="BC150" s="6">
        <f t="shared" si="1919"/>
        <v>-4853957.6850688122</v>
      </c>
      <c r="BD150" s="6">
        <f t="shared" si="1919"/>
        <v>-4853957.6850688122</v>
      </c>
      <c r="BE150" s="6">
        <f t="shared" si="1919"/>
        <v>-4853957.6850688122</v>
      </c>
      <c r="BF150" s="6">
        <f t="shared" si="1919"/>
        <v>-4853957.6850688122</v>
      </c>
      <c r="BG150" s="6">
        <f t="shared" si="1919"/>
        <v>-4853957.6850688122</v>
      </c>
      <c r="BH150" s="6">
        <f t="shared" si="1919"/>
        <v>-2078561.0431549794</v>
      </c>
      <c r="BI150" s="6">
        <f t="shared" si="1919"/>
        <v>-2078561.0431549794</v>
      </c>
      <c r="BJ150" s="6">
        <f t="shared" si="1919"/>
        <v>-2078561.0431549794</v>
      </c>
      <c r="BK150" s="6">
        <f t="shared" si="1919"/>
        <v>0</v>
      </c>
      <c r="BL150" s="6">
        <f t="shared" si="1919"/>
        <v>-2868405.9314605803</v>
      </c>
      <c r="BM150" s="6">
        <f t="shared" si="1919"/>
        <v>-2868405.9314605803</v>
      </c>
      <c r="BN150" s="6">
        <f t="shared" si="1919"/>
        <v>-2868405.9314605803</v>
      </c>
      <c r="BO150" s="6">
        <f t="shared" si="1919"/>
        <v>-2868405.9314605803</v>
      </c>
      <c r="BP150" s="6">
        <f t="shared" si="1919"/>
        <v>-2868405.9314605803</v>
      </c>
      <c r="BQ150" s="6">
        <f t="shared" si="1919"/>
        <v>-2868405.9314605803</v>
      </c>
      <c r="BR150" s="6">
        <f t="shared" si="1920"/>
        <v>-2868405.9314605803</v>
      </c>
      <c r="BS150" s="6">
        <f t="shared" si="1920"/>
        <v>-2868405.9314605803</v>
      </c>
      <c r="BT150" s="6">
        <f t="shared" si="1920"/>
        <v>-2868405.9314605803</v>
      </c>
      <c r="BU150" s="6">
        <f t="shared" si="1920"/>
        <v>-2868405.9314605803</v>
      </c>
      <c r="BV150" s="6">
        <f t="shared" si="1920"/>
        <v>-2868405.9314605803</v>
      </c>
      <c r="BW150" s="6">
        <f t="shared" si="1920"/>
        <v>-2868405.9314605803</v>
      </c>
      <c r="BX150" s="6">
        <f t="shared" si="1920"/>
        <v>-2932945.0649184436</v>
      </c>
      <c r="BY150" s="6">
        <f t="shared" si="1920"/>
        <v>-2932945.0649184436</v>
      </c>
      <c r="BZ150" s="6">
        <f t="shared" si="1920"/>
        <v>-2932945.0649184436</v>
      </c>
      <c r="CA150" s="6">
        <f t="shared" si="1920"/>
        <v>0</v>
      </c>
      <c r="CB150" s="6">
        <f t="shared" si="1920"/>
        <v>0</v>
      </c>
      <c r="CC150" s="6">
        <f t="shared" si="1920"/>
        <v>0</v>
      </c>
      <c r="CD150" s="6">
        <f t="shared" si="1920"/>
        <v>0</v>
      </c>
      <c r="CE150" s="6">
        <f t="shared" si="1920"/>
        <v>0</v>
      </c>
      <c r="CF150" s="6">
        <f t="shared" si="1920"/>
        <v>0</v>
      </c>
      <c r="CG150" s="6">
        <f t="shared" si="1920"/>
        <v>0</v>
      </c>
      <c r="CH150" s="6">
        <f t="shared" si="1920"/>
        <v>0</v>
      </c>
      <c r="CI150" s="6">
        <f t="shared" si="1920"/>
        <v>0</v>
      </c>
      <c r="CJ150" s="6">
        <f t="shared" si="1920"/>
        <v>0</v>
      </c>
      <c r="CK150" s="6">
        <f t="shared" si="1920"/>
        <v>0</v>
      </c>
      <c r="CL150" s="6">
        <f t="shared" si="1920"/>
        <v>-1530515.4805969375</v>
      </c>
      <c r="CM150" s="6">
        <f t="shared" si="1920"/>
        <v>-1530515.4805969375</v>
      </c>
      <c r="CN150" s="6">
        <f t="shared" si="1920"/>
        <v>-1530515.4805969375</v>
      </c>
      <c r="CO150" s="6">
        <f t="shared" si="1920"/>
        <v>-1530515.4805969375</v>
      </c>
      <c r="CP150" s="6">
        <f t="shared" si="1920"/>
        <v>-1530515.4805969375</v>
      </c>
      <c r="CQ150" s="6">
        <f t="shared" si="1920"/>
        <v>-1530515.4805969375</v>
      </c>
      <c r="CR150" s="6">
        <f t="shared" si="1920"/>
        <v>-1530515.4805969375</v>
      </c>
      <c r="CS150" s="6">
        <f t="shared" si="1920"/>
        <v>-1530515.4805969375</v>
      </c>
      <c r="CT150" s="6">
        <f t="shared" si="1920"/>
        <v>0</v>
      </c>
      <c r="CU150" s="6">
        <f t="shared" si="1920"/>
        <v>-1564824.5291624919</v>
      </c>
      <c r="CV150" s="6">
        <f t="shared" si="1920"/>
        <v>-1564824.5291624919</v>
      </c>
      <c r="CW150" s="6">
        <f t="shared" si="1920"/>
        <v>-1564824.5291624919</v>
      </c>
      <c r="CX150" s="6">
        <f t="shared" si="1920"/>
        <v>-2745451.4348981436</v>
      </c>
      <c r="CY150" s="6">
        <f t="shared" si="1920"/>
        <v>-2745451.4348981436</v>
      </c>
      <c r="CZ150" s="6">
        <f t="shared" si="1920"/>
        <v>-2745451.4348981436</v>
      </c>
      <c r="DA150" s="6">
        <f t="shared" si="1920"/>
        <v>-2745451.4348981436</v>
      </c>
      <c r="DB150" s="6">
        <f t="shared" si="1920"/>
        <v>-2745451.4348981436</v>
      </c>
      <c r="DC150" s="6">
        <f t="shared" si="1920"/>
        <v>-2745451.4348981436</v>
      </c>
      <c r="DD150" s="6">
        <f t="shared" si="1920"/>
        <v>-2745451.4348981436</v>
      </c>
      <c r="DE150" s="6">
        <f t="shared" si="1920"/>
        <v>-1180626.905735652</v>
      </c>
      <c r="DF150" s="6">
        <f t="shared" si="1920"/>
        <v>0</v>
      </c>
      <c r="DG150" s="6">
        <f t="shared" si="1920"/>
        <v>-1207092.6203005814</v>
      </c>
      <c r="DH150" s="6">
        <f t="shared" si="1920"/>
        <v>-1207092.6203005814</v>
      </c>
      <c r="DI150" s="6">
        <f t="shared" si="1920"/>
        <v>-1207092.6203005814</v>
      </c>
    </row>
    <row r="151" spans="2:113" outlineLevel="1" x14ac:dyDescent="0.25">
      <c r="C151" s="101" t="s">
        <v>54</v>
      </c>
      <c r="D151" s="130" t="s">
        <v>107</v>
      </c>
      <c r="E151" s="7"/>
      <c r="F151" s="6">
        <f t="shared" ref="F151:BQ151" si="1921">+F74+F108</f>
        <v>0</v>
      </c>
      <c r="G151" s="6">
        <f t="shared" si="1921"/>
        <v>0</v>
      </c>
      <c r="H151" s="6">
        <f t="shared" si="1921"/>
        <v>0</v>
      </c>
      <c r="I151" s="6">
        <f t="shared" si="1921"/>
        <v>0</v>
      </c>
      <c r="J151" s="6">
        <f t="shared" si="1921"/>
        <v>0</v>
      </c>
      <c r="K151" s="6">
        <f t="shared" si="1921"/>
        <v>0</v>
      </c>
      <c r="L151" s="6">
        <f t="shared" si="1921"/>
        <v>0</v>
      </c>
      <c r="M151" s="6">
        <f t="shared" si="1921"/>
        <v>0</v>
      </c>
      <c r="N151" s="6">
        <f t="shared" si="1921"/>
        <v>0</v>
      </c>
      <c r="O151" s="6">
        <f t="shared" si="1921"/>
        <v>0</v>
      </c>
      <c r="P151" s="6">
        <f t="shared" si="1921"/>
        <v>0</v>
      </c>
      <c r="Q151" s="6">
        <f t="shared" si="1921"/>
        <v>0</v>
      </c>
      <c r="R151" s="6">
        <f t="shared" si="1921"/>
        <v>0</v>
      </c>
      <c r="S151" s="6">
        <f t="shared" si="1921"/>
        <v>0</v>
      </c>
      <c r="T151" s="6">
        <f t="shared" si="1921"/>
        <v>0</v>
      </c>
      <c r="U151" s="6">
        <f t="shared" si="1921"/>
        <v>0</v>
      </c>
      <c r="V151" s="6">
        <f t="shared" si="1921"/>
        <v>0</v>
      </c>
      <c r="W151" s="6">
        <f t="shared" si="1921"/>
        <v>0</v>
      </c>
      <c r="X151" s="6">
        <f t="shared" si="1921"/>
        <v>0</v>
      </c>
      <c r="Y151" s="6">
        <f t="shared" si="1921"/>
        <v>0</v>
      </c>
      <c r="Z151" s="6">
        <f t="shared" si="1921"/>
        <v>0</v>
      </c>
      <c r="AA151" s="6">
        <f t="shared" si="1921"/>
        <v>0</v>
      </c>
      <c r="AB151" s="6">
        <f t="shared" si="1921"/>
        <v>0</v>
      </c>
      <c r="AC151" s="6">
        <f t="shared" si="1921"/>
        <v>0</v>
      </c>
      <c r="AD151" s="6">
        <f t="shared" si="1921"/>
        <v>0</v>
      </c>
      <c r="AE151" s="6">
        <f t="shared" si="1921"/>
        <v>0</v>
      </c>
      <c r="AF151" s="6">
        <f t="shared" si="1921"/>
        <v>0</v>
      </c>
      <c r="AG151" s="6">
        <f t="shared" si="1921"/>
        <v>0</v>
      </c>
      <c r="AH151" s="6">
        <f t="shared" si="1921"/>
        <v>0</v>
      </c>
      <c r="AI151" s="6">
        <f t="shared" si="1921"/>
        <v>0</v>
      </c>
      <c r="AJ151" s="6">
        <f t="shared" si="1921"/>
        <v>0</v>
      </c>
      <c r="AK151" s="6">
        <f t="shared" si="1921"/>
        <v>0</v>
      </c>
      <c r="AL151" s="6">
        <f t="shared" si="1921"/>
        <v>0</v>
      </c>
      <c r="AM151" s="6">
        <f t="shared" si="1921"/>
        <v>0</v>
      </c>
      <c r="AN151" s="6">
        <f t="shared" si="1921"/>
        <v>0</v>
      </c>
      <c r="AO151" s="6">
        <f t="shared" si="1921"/>
        <v>0</v>
      </c>
      <c r="AP151" s="6">
        <f t="shared" si="1921"/>
        <v>0</v>
      </c>
      <c r="AQ151" s="6">
        <f t="shared" si="1921"/>
        <v>0</v>
      </c>
      <c r="AR151" s="6">
        <f t="shared" si="1921"/>
        <v>0</v>
      </c>
      <c r="AS151" s="6">
        <f t="shared" si="1921"/>
        <v>0</v>
      </c>
      <c r="AT151" s="6">
        <f t="shared" si="1921"/>
        <v>0</v>
      </c>
      <c r="AU151" s="6">
        <f t="shared" si="1921"/>
        <v>0</v>
      </c>
      <c r="AV151" s="6">
        <f t="shared" si="1921"/>
        <v>0</v>
      </c>
      <c r="AW151" s="6">
        <f t="shared" si="1921"/>
        <v>0</v>
      </c>
      <c r="AX151" s="6">
        <f t="shared" si="1921"/>
        <v>0</v>
      </c>
      <c r="AY151" s="6">
        <f t="shared" si="1921"/>
        <v>0</v>
      </c>
      <c r="AZ151" s="6">
        <f t="shared" si="1921"/>
        <v>0</v>
      </c>
      <c r="BA151" s="6">
        <f t="shared" si="1921"/>
        <v>0</v>
      </c>
      <c r="BB151" s="6">
        <f t="shared" si="1921"/>
        <v>1698483.524963534</v>
      </c>
      <c r="BC151" s="6">
        <f t="shared" si="1921"/>
        <v>1701635.8042906639</v>
      </c>
      <c r="BD151" s="6">
        <f t="shared" si="1921"/>
        <v>1704793.934051319</v>
      </c>
      <c r="BE151" s="6">
        <f t="shared" si="1921"/>
        <v>1707957.9251035382</v>
      </c>
      <c r="BF151" s="6">
        <f t="shared" si="1921"/>
        <v>1711127.7883255128</v>
      </c>
      <c r="BG151" s="6">
        <f t="shared" si="1921"/>
        <v>1714303.5346156228</v>
      </c>
      <c r="BH151" s="6">
        <f t="shared" si="1921"/>
        <v>1717485.1748924758</v>
      </c>
      <c r="BI151" s="6">
        <f t="shared" si="1921"/>
        <v>1720672.7200949425</v>
      </c>
      <c r="BJ151" s="6">
        <f t="shared" si="1921"/>
        <v>1723866.1811821959</v>
      </c>
      <c r="BK151" s="6">
        <f t="shared" si="1921"/>
        <v>1727065.5691337483</v>
      </c>
      <c r="BL151" s="6">
        <f t="shared" si="1921"/>
        <v>1730270.8949494907</v>
      </c>
      <c r="BM151" s="6">
        <f t="shared" si="1921"/>
        <v>1733482.1696497272</v>
      </c>
      <c r="BN151" s="6">
        <f t="shared" si="1921"/>
        <v>1737052.8590958971</v>
      </c>
      <c r="BO151" s="6">
        <f t="shared" si="1921"/>
        <v>1740630.903577697</v>
      </c>
      <c r="BP151" s="6">
        <f t="shared" si="1921"/>
        <v>1744216.3182452954</v>
      </c>
      <c r="BQ151" s="6">
        <f t="shared" si="1921"/>
        <v>1747809.1182800685</v>
      </c>
      <c r="BR151" s="6">
        <f t="shared" ref="BR151:DI151" si="1922">+BR74+BR108</f>
        <v>1751409.3188946638</v>
      </c>
      <c r="BS151" s="6">
        <f t="shared" si="1922"/>
        <v>1755016.9353330634</v>
      </c>
      <c r="BT151" s="6">
        <f t="shared" si="1922"/>
        <v>1758631.9828706509</v>
      </c>
      <c r="BU151" s="6">
        <f t="shared" si="1922"/>
        <v>1762254.476814273</v>
      </c>
      <c r="BV151" s="6">
        <f t="shared" si="1922"/>
        <v>1765884.4325023079</v>
      </c>
      <c r="BW151" s="6">
        <f t="shared" si="1922"/>
        <v>1769521.8653047271</v>
      </c>
      <c r="BX151" s="6">
        <f t="shared" si="1922"/>
        <v>1773166.7906231615</v>
      </c>
      <c r="BY151" s="6">
        <f t="shared" si="1922"/>
        <v>1776819.2238909679</v>
      </c>
      <c r="BZ151" s="6">
        <f t="shared" si="1922"/>
        <v>1780479.1805732921</v>
      </c>
      <c r="CA151" s="6">
        <f t="shared" si="1922"/>
        <v>1784146.676167137</v>
      </c>
      <c r="CB151" s="6">
        <f t="shared" si="1922"/>
        <v>1787821.7262014258</v>
      </c>
      <c r="CC151" s="6">
        <f t="shared" si="1922"/>
        <v>1791504.3462370683</v>
      </c>
      <c r="CD151" s="6">
        <f t="shared" si="1922"/>
        <v>1795194.5518670282</v>
      </c>
      <c r="CE151" s="6">
        <f t="shared" si="1922"/>
        <v>1798892.3587163878</v>
      </c>
      <c r="CF151" s="6">
        <f t="shared" si="1922"/>
        <v>1802597.7824424151</v>
      </c>
      <c r="CG151" s="6">
        <f t="shared" si="1922"/>
        <v>1806310.8387346282</v>
      </c>
      <c r="CH151" s="6">
        <f t="shared" si="1922"/>
        <v>1810031.5433148639</v>
      </c>
      <c r="CI151" s="6">
        <f t="shared" si="1922"/>
        <v>1813759.9119373432</v>
      </c>
      <c r="CJ151" s="6">
        <f t="shared" si="1922"/>
        <v>1817495.9603887387</v>
      </c>
      <c r="CK151" s="6">
        <f t="shared" si="1922"/>
        <v>1821239.7044882402</v>
      </c>
      <c r="CL151" s="6">
        <f t="shared" si="1922"/>
        <v>1290529.4632048188</v>
      </c>
      <c r="CM151" s="6">
        <f t="shared" si="1922"/>
        <v>1293187.7426004286</v>
      </c>
      <c r="CN151" s="6">
        <f t="shared" si="1922"/>
        <v>1295851.497616353</v>
      </c>
      <c r="CO151" s="6">
        <f t="shared" si="1922"/>
        <v>1298520.7395314733</v>
      </c>
      <c r="CP151" s="6">
        <f t="shared" si="1922"/>
        <v>1301195.4796479032</v>
      </c>
      <c r="CQ151" s="6">
        <f t="shared" si="1922"/>
        <v>1303875.7292910374</v>
      </c>
      <c r="CR151" s="6">
        <f t="shared" si="1922"/>
        <v>1306561.499809599</v>
      </c>
      <c r="CS151" s="6">
        <f t="shared" si="1922"/>
        <v>1309252.8025756869</v>
      </c>
      <c r="CT151" s="6">
        <f t="shared" si="1922"/>
        <v>1311949.6489848257</v>
      </c>
      <c r="CU151" s="6">
        <f t="shared" si="1922"/>
        <v>1859103.9097357746</v>
      </c>
      <c r="CV151" s="6">
        <f t="shared" si="1922"/>
        <v>1862933.3593984549</v>
      </c>
      <c r="CW151" s="6">
        <f t="shared" si="1922"/>
        <v>1866770.6971004433</v>
      </c>
      <c r="CX151" s="6">
        <f t="shared" si="1922"/>
        <v>1483131.2088497784</v>
      </c>
      <c r="CY151" s="6">
        <f t="shared" si="1922"/>
        <v>1486186.2163067027</v>
      </c>
      <c r="CZ151" s="6">
        <f t="shared" si="1922"/>
        <v>1489247.5165787919</v>
      </c>
      <c r="DA151" s="6">
        <f t="shared" si="1922"/>
        <v>1492315.1226282141</v>
      </c>
      <c r="DB151" s="6">
        <f t="shared" si="1922"/>
        <v>1495389.0474438381</v>
      </c>
      <c r="DC151" s="6">
        <f t="shared" si="1922"/>
        <v>1498469.3040412888</v>
      </c>
      <c r="DD151" s="6">
        <f t="shared" si="1922"/>
        <v>1501555.9054629991</v>
      </c>
      <c r="DE151" s="6">
        <f t="shared" si="1922"/>
        <v>1504648.8647782682</v>
      </c>
      <c r="DF151" s="6">
        <f t="shared" si="1922"/>
        <v>1507748.1950833159</v>
      </c>
      <c r="DG151" s="6">
        <f t="shared" si="1922"/>
        <v>1905581.5074791661</v>
      </c>
      <c r="DH151" s="6">
        <f t="shared" si="1922"/>
        <v>1909506.6933834131</v>
      </c>
      <c r="DI151" s="6">
        <f t="shared" si="1922"/>
        <v>1913439.9645279516</v>
      </c>
    </row>
    <row r="152" spans="2:113" outlineLevel="1" x14ac:dyDescent="0.25">
      <c r="C152" s="102" t="s">
        <v>14</v>
      </c>
      <c r="D152" s="47" t="s">
        <v>107</v>
      </c>
      <c r="F152" s="29">
        <f>SUM(F148:F151)</f>
        <v>0</v>
      </c>
      <c r="G152" s="29">
        <f t="shared" ref="G152:BR152" si="1923">SUM(G148:G151)</f>
        <v>0</v>
      </c>
      <c r="H152" s="29">
        <f t="shared" si="1923"/>
        <v>0</v>
      </c>
      <c r="I152" s="29">
        <f t="shared" si="1923"/>
        <v>0</v>
      </c>
      <c r="J152" s="29">
        <f t="shared" si="1923"/>
        <v>0</v>
      </c>
      <c r="K152" s="29">
        <f t="shared" si="1923"/>
        <v>0</v>
      </c>
      <c r="L152" s="29">
        <f t="shared" si="1923"/>
        <v>0</v>
      </c>
      <c r="M152" s="29">
        <f t="shared" si="1923"/>
        <v>0</v>
      </c>
      <c r="N152" s="29">
        <f t="shared" si="1923"/>
        <v>0</v>
      </c>
      <c r="O152" s="29">
        <f t="shared" si="1923"/>
        <v>0</v>
      </c>
      <c r="P152" s="29">
        <f t="shared" si="1923"/>
        <v>0</v>
      </c>
      <c r="Q152" s="29">
        <f t="shared" si="1923"/>
        <v>0</v>
      </c>
      <c r="R152" s="29">
        <f t="shared" si="1923"/>
        <v>0</v>
      </c>
      <c r="S152" s="29">
        <f t="shared" si="1923"/>
        <v>0</v>
      </c>
      <c r="T152" s="29">
        <f t="shared" si="1923"/>
        <v>0</v>
      </c>
      <c r="U152" s="29">
        <f t="shared" si="1923"/>
        <v>0</v>
      </c>
      <c r="V152" s="29">
        <f t="shared" si="1923"/>
        <v>0</v>
      </c>
      <c r="W152" s="29">
        <f t="shared" si="1923"/>
        <v>0</v>
      </c>
      <c r="X152" s="29">
        <f t="shared" si="1923"/>
        <v>0</v>
      </c>
      <c r="Y152" s="29">
        <f t="shared" si="1923"/>
        <v>0</v>
      </c>
      <c r="Z152" s="29">
        <f t="shared" si="1923"/>
        <v>0</v>
      </c>
      <c r="AA152" s="29">
        <f t="shared" si="1923"/>
        <v>0</v>
      </c>
      <c r="AB152" s="29">
        <f t="shared" si="1923"/>
        <v>0</v>
      </c>
      <c r="AC152" s="29">
        <f t="shared" si="1923"/>
        <v>0</v>
      </c>
      <c r="AD152" s="29">
        <f t="shared" si="1923"/>
        <v>0</v>
      </c>
      <c r="AE152" s="29">
        <f t="shared" si="1923"/>
        <v>0</v>
      </c>
      <c r="AF152" s="29">
        <f t="shared" si="1923"/>
        <v>0</v>
      </c>
      <c r="AG152" s="29">
        <f t="shared" si="1923"/>
        <v>0</v>
      </c>
      <c r="AH152" s="29">
        <f t="shared" si="1923"/>
        <v>0</v>
      </c>
      <c r="AI152" s="29">
        <f t="shared" si="1923"/>
        <v>0</v>
      </c>
      <c r="AJ152" s="29">
        <f t="shared" si="1923"/>
        <v>0</v>
      </c>
      <c r="AK152" s="29">
        <f t="shared" si="1923"/>
        <v>0</v>
      </c>
      <c r="AL152" s="29">
        <f t="shared" si="1923"/>
        <v>0</v>
      </c>
      <c r="AM152" s="29">
        <f t="shared" si="1923"/>
        <v>0</v>
      </c>
      <c r="AN152" s="29">
        <f t="shared" si="1923"/>
        <v>0</v>
      </c>
      <c r="AO152" s="29">
        <f t="shared" si="1923"/>
        <v>0</v>
      </c>
      <c r="AP152" s="29">
        <f t="shared" si="1923"/>
        <v>0</v>
      </c>
      <c r="AQ152" s="29">
        <f t="shared" si="1923"/>
        <v>0</v>
      </c>
      <c r="AR152" s="29">
        <f t="shared" si="1923"/>
        <v>0</v>
      </c>
      <c r="AS152" s="29">
        <f t="shared" si="1923"/>
        <v>0</v>
      </c>
      <c r="AT152" s="29">
        <f t="shared" si="1923"/>
        <v>0</v>
      </c>
      <c r="AU152" s="29">
        <f t="shared" si="1923"/>
        <v>0</v>
      </c>
      <c r="AV152" s="29">
        <f t="shared" si="1923"/>
        <v>0</v>
      </c>
      <c r="AW152" s="29">
        <f t="shared" si="1923"/>
        <v>0</v>
      </c>
      <c r="AX152" s="29">
        <f t="shared" si="1923"/>
        <v>0</v>
      </c>
      <c r="AY152" s="29">
        <f t="shared" si="1923"/>
        <v>0</v>
      </c>
      <c r="AZ152" s="29">
        <f t="shared" si="1923"/>
        <v>0</v>
      </c>
      <c r="BA152" s="29">
        <f t="shared" si="1923"/>
        <v>0</v>
      </c>
      <c r="BB152" s="29">
        <f t="shared" si="1923"/>
        <v>2036946.5300749769</v>
      </c>
      <c r="BC152" s="29">
        <f t="shared" si="1923"/>
        <v>2041070.5024099364</v>
      </c>
      <c r="BD152" s="29">
        <f t="shared" si="1923"/>
        <v>2045203.1148106325</v>
      </c>
      <c r="BE152" s="29">
        <f t="shared" si="1923"/>
        <v>2049344.3861438553</v>
      </c>
      <c r="BF152" s="29">
        <f t="shared" si="1923"/>
        <v>2053494.3353195405</v>
      </c>
      <c r="BG152" s="29">
        <f t="shared" si="1923"/>
        <v>2057652.9812908703</v>
      </c>
      <c r="BH152" s="29">
        <f t="shared" si="1923"/>
        <v>4837216.9849682124</v>
      </c>
      <c r="BI152" s="29">
        <f t="shared" si="1923"/>
        <v>4841393.0815638881</v>
      </c>
      <c r="BJ152" s="29">
        <f t="shared" si="1923"/>
        <v>4845577.9320752788</v>
      </c>
      <c r="BK152" s="29">
        <f t="shared" si="1923"/>
        <v>6928332.5987845762</v>
      </c>
      <c r="BL152" s="29">
        <f t="shared" si="1923"/>
        <v>6932535.0145528018</v>
      </c>
      <c r="BM152" s="29">
        <f t="shared" si="1923"/>
        <v>6936746.2417497896</v>
      </c>
      <c r="BN152" s="29">
        <f t="shared" si="1923"/>
        <v>7050533.802369101</v>
      </c>
      <c r="BO152" s="29">
        <f t="shared" si="1923"/>
        <v>7055117.5491140038</v>
      </c>
      <c r="BP152" s="29">
        <f t="shared" si="1923"/>
        <v>7059711.5533140451</v>
      </c>
      <c r="BQ152" s="29">
        <f t="shared" si="1923"/>
        <v>7064315.8384396564</v>
      </c>
      <c r="BR152" s="29">
        <f t="shared" si="1923"/>
        <v>7068930.4280163422</v>
      </c>
      <c r="BS152" s="29">
        <f t="shared" ref="BS152:DI152" si="1924">SUM(BS148:BS151)</f>
        <v>7073555.3456248064</v>
      </c>
      <c r="BT152" s="29">
        <f t="shared" si="1924"/>
        <v>7078190.6149010807</v>
      </c>
      <c r="BU152" s="29">
        <f t="shared" si="1924"/>
        <v>7082836.2595366752</v>
      </c>
      <c r="BV152" s="29">
        <f t="shared" si="1924"/>
        <v>7087492.3032786911</v>
      </c>
      <c r="BW152" s="29">
        <f t="shared" si="1924"/>
        <v>7092158.7699299734</v>
      </c>
      <c r="BX152" s="29">
        <f t="shared" si="1924"/>
        <v>7096835.6833492294</v>
      </c>
      <c r="BY152" s="29">
        <f t="shared" si="1924"/>
        <v>7101523.0674511725</v>
      </c>
      <c r="BZ152" s="29">
        <f t="shared" si="1924"/>
        <v>7217746.0238416446</v>
      </c>
      <c r="CA152" s="29">
        <f t="shared" si="1924"/>
        <v>10155252.419084182</v>
      </c>
      <c r="CB152" s="29">
        <f t="shared" si="1924"/>
        <v>10159823.508286295</v>
      </c>
      <c r="CC152" s="29">
        <f t="shared" si="1924"/>
        <v>10164404.377364079</v>
      </c>
      <c r="CD152" s="29">
        <f t="shared" si="1924"/>
        <v>10168995.047360638</v>
      </c>
      <c r="CE152" s="29">
        <f t="shared" si="1924"/>
        <v>10173595.539364645</v>
      </c>
      <c r="CF152" s="29">
        <f t="shared" si="1924"/>
        <v>10178205.874510434</v>
      </c>
      <c r="CG152" s="29">
        <f t="shared" si="1924"/>
        <v>10182826.073978085</v>
      </c>
      <c r="CH152" s="29">
        <f t="shared" si="1924"/>
        <v>10187456.158993553</v>
      </c>
      <c r="CI152" s="29">
        <f t="shared" si="1924"/>
        <v>10192096.150828747</v>
      </c>
      <c r="CJ152" s="29">
        <f t="shared" si="1924"/>
        <v>10262737.334762292</v>
      </c>
      <c r="CK152" s="29">
        <f t="shared" si="1924"/>
        <v>10267397.204236988</v>
      </c>
      <c r="CL152" s="29">
        <f t="shared" si="1924"/>
        <v>6884806.6550277201</v>
      </c>
      <c r="CM152" s="29">
        <f t="shared" si="1924"/>
        <v>6888385.5841954863</v>
      </c>
      <c r="CN152" s="29">
        <f t="shared" si="1924"/>
        <v>6891972.2595542725</v>
      </c>
      <c r="CO152" s="29">
        <f t="shared" si="1924"/>
        <v>6895566.6979827955</v>
      </c>
      <c r="CP152" s="29">
        <f t="shared" si="1924"/>
        <v>6899168.9163968246</v>
      </c>
      <c r="CQ152" s="29">
        <f t="shared" si="1924"/>
        <v>6902778.9317492452</v>
      </c>
      <c r="CR152" s="29">
        <f t="shared" si="1924"/>
        <v>6906396.761030158</v>
      </c>
      <c r="CS152" s="29">
        <f t="shared" si="1924"/>
        <v>6910022.4212669507</v>
      </c>
      <c r="CT152" s="29">
        <f t="shared" si="1924"/>
        <v>8444171.4101213161</v>
      </c>
      <c r="CU152" s="29">
        <f t="shared" si="1924"/>
        <v>8992264.6427813582</v>
      </c>
      <c r="CV152" s="29">
        <f t="shared" si="1924"/>
        <v>9064511.4475109503</v>
      </c>
      <c r="CW152" s="29">
        <f t="shared" si="1924"/>
        <v>9069292.3943493869</v>
      </c>
      <c r="CX152" s="29">
        <f t="shared" si="1924"/>
        <v>6502817.3251831746</v>
      </c>
      <c r="CY152" s="29">
        <f t="shared" si="1924"/>
        <v>6506820.6019054186</v>
      </c>
      <c r="CZ152" s="29">
        <f t="shared" si="1924"/>
        <v>6510832.5101306541</v>
      </c>
      <c r="DA152" s="29">
        <f t="shared" si="1924"/>
        <v>6514853.0685888808</v>
      </c>
      <c r="DB152" s="29">
        <f t="shared" si="1924"/>
        <v>6518882.2960510291</v>
      </c>
      <c r="DC152" s="29">
        <f t="shared" si="1924"/>
        <v>6522920.2113290494</v>
      </c>
      <c r="DD152" s="29">
        <f t="shared" si="1924"/>
        <v>6526966.8332759803</v>
      </c>
      <c r="DE152" s="29">
        <f t="shared" si="1924"/>
        <v>8095846.7099485649</v>
      </c>
      <c r="DF152" s="29">
        <f t="shared" si="1924"/>
        <v>9280537.707693005</v>
      </c>
      <c r="DG152" s="29">
        <f t="shared" si="1924"/>
        <v>9718458.7743842844</v>
      </c>
      <c r="DH152" s="29">
        <f t="shared" si="1924"/>
        <v>9792347.7655019499</v>
      </c>
      <c r="DI152" s="29">
        <f t="shared" si="1924"/>
        <v>9797252.9540570322</v>
      </c>
    </row>
    <row r="153" spans="2:113" outlineLevel="1" x14ac:dyDescent="0.25">
      <c r="C153" s="103" t="s">
        <v>15</v>
      </c>
      <c r="D153" s="130" t="s">
        <v>107</v>
      </c>
      <c r="E153" s="7"/>
      <c r="F153" s="26">
        <f t="shared" ref="F153:AK153" si="1925">IF(F145&gt;Constr_End,-(Rentable_Sq_M-$E44-$E78-$E112)*F61/Months,0)</f>
        <v>0</v>
      </c>
      <c r="G153" s="26">
        <f t="shared" si="1925"/>
        <v>0</v>
      </c>
      <c r="H153" s="26">
        <f t="shared" si="1925"/>
        <v>0</v>
      </c>
      <c r="I153" s="26">
        <f t="shared" si="1925"/>
        <v>0</v>
      </c>
      <c r="J153" s="26">
        <f t="shared" si="1925"/>
        <v>0</v>
      </c>
      <c r="K153" s="26">
        <f t="shared" si="1925"/>
        <v>0</v>
      </c>
      <c r="L153" s="26">
        <f t="shared" si="1925"/>
        <v>0</v>
      </c>
      <c r="M153" s="26">
        <f t="shared" si="1925"/>
        <v>0</v>
      </c>
      <c r="N153" s="26">
        <f t="shared" si="1925"/>
        <v>0</v>
      </c>
      <c r="O153" s="26">
        <f t="shared" si="1925"/>
        <v>0</v>
      </c>
      <c r="P153" s="26">
        <f t="shared" si="1925"/>
        <v>0</v>
      </c>
      <c r="Q153" s="26">
        <f t="shared" si="1925"/>
        <v>0</v>
      </c>
      <c r="R153" s="26">
        <f t="shared" si="1925"/>
        <v>0</v>
      </c>
      <c r="S153" s="26">
        <f t="shared" si="1925"/>
        <v>0</v>
      </c>
      <c r="T153" s="26">
        <f t="shared" si="1925"/>
        <v>0</v>
      </c>
      <c r="U153" s="26">
        <f t="shared" si="1925"/>
        <v>0</v>
      </c>
      <c r="V153" s="26">
        <f t="shared" si="1925"/>
        <v>0</v>
      </c>
      <c r="W153" s="26">
        <f t="shared" si="1925"/>
        <v>0</v>
      </c>
      <c r="X153" s="26">
        <f t="shared" si="1925"/>
        <v>0</v>
      </c>
      <c r="Y153" s="26">
        <f t="shared" si="1925"/>
        <v>0</v>
      </c>
      <c r="Z153" s="26">
        <f t="shared" si="1925"/>
        <v>0</v>
      </c>
      <c r="AA153" s="26">
        <f t="shared" si="1925"/>
        <v>0</v>
      </c>
      <c r="AB153" s="26">
        <f t="shared" si="1925"/>
        <v>0</v>
      </c>
      <c r="AC153" s="26">
        <f t="shared" si="1925"/>
        <v>0</v>
      </c>
      <c r="AD153" s="26">
        <f t="shared" si="1925"/>
        <v>0</v>
      </c>
      <c r="AE153" s="26">
        <f t="shared" si="1925"/>
        <v>0</v>
      </c>
      <c r="AF153" s="26">
        <f t="shared" si="1925"/>
        <v>0</v>
      </c>
      <c r="AG153" s="26">
        <f t="shared" si="1925"/>
        <v>0</v>
      </c>
      <c r="AH153" s="26">
        <f t="shared" si="1925"/>
        <v>0</v>
      </c>
      <c r="AI153" s="26">
        <f t="shared" si="1925"/>
        <v>0</v>
      </c>
      <c r="AJ153" s="26">
        <f t="shared" si="1925"/>
        <v>0</v>
      </c>
      <c r="AK153" s="26">
        <f t="shared" si="1925"/>
        <v>0</v>
      </c>
      <c r="AL153" s="26">
        <f t="shared" ref="AL153:BQ153" si="1926">IF(AL145&gt;Constr_End,-(Rentable_Sq_M-$E44-$E78-$E112)*AL61/Months,0)</f>
        <v>0</v>
      </c>
      <c r="AM153" s="26">
        <f t="shared" si="1926"/>
        <v>0</v>
      </c>
      <c r="AN153" s="26">
        <f t="shared" si="1926"/>
        <v>0</v>
      </c>
      <c r="AO153" s="26">
        <f t="shared" si="1926"/>
        <v>0</v>
      </c>
      <c r="AP153" s="26">
        <f t="shared" si="1926"/>
        <v>0</v>
      </c>
      <c r="AQ153" s="26">
        <f t="shared" si="1926"/>
        <v>0</v>
      </c>
      <c r="AR153" s="26">
        <f t="shared" si="1926"/>
        <v>0</v>
      </c>
      <c r="AS153" s="26">
        <f t="shared" si="1926"/>
        <v>0</v>
      </c>
      <c r="AT153" s="26">
        <f t="shared" si="1926"/>
        <v>0</v>
      </c>
      <c r="AU153" s="26">
        <f t="shared" si="1926"/>
        <v>0</v>
      </c>
      <c r="AV153" s="26">
        <f t="shared" si="1926"/>
        <v>0</v>
      </c>
      <c r="AW153" s="26">
        <f t="shared" si="1926"/>
        <v>0</v>
      </c>
      <c r="AX153" s="26">
        <f t="shared" si="1926"/>
        <v>0</v>
      </c>
      <c r="AY153" s="26">
        <f t="shared" si="1926"/>
        <v>0</v>
      </c>
      <c r="AZ153" s="26">
        <f t="shared" si="1926"/>
        <v>0</v>
      </c>
      <c r="BA153" s="26">
        <f t="shared" si="1926"/>
        <v>0</v>
      </c>
      <c r="BB153" s="26">
        <f t="shared" si="1926"/>
        <v>-338463.00511144305</v>
      </c>
      <c r="BC153" s="26">
        <f t="shared" si="1926"/>
        <v>-339434.6981192723</v>
      </c>
      <c r="BD153" s="26">
        <f t="shared" si="1926"/>
        <v>-340409.18075931311</v>
      </c>
      <c r="BE153" s="26">
        <f t="shared" si="1926"/>
        <v>-341386.46104031691</v>
      </c>
      <c r="BF153" s="26">
        <f t="shared" si="1926"/>
        <v>-342366.54699402768</v>
      </c>
      <c r="BG153" s="26">
        <f t="shared" si="1926"/>
        <v>-343349.44667524751</v>
      </c>
      <c r="BH153" s="26">
        <f t="shared" si="1926"/>
        <v>-344335.16816190316</v>
      </c>
      <c r="BI153" s="26">
        <f t="shared" si="1926"/>
        <v>-345323.71955511224</v>
      </c>
      <c r="BJ153" s="26">
        <f t="shared" si="1926"/>
        <v>-346315.10897924978</v>
      </c>
      <c r="BK153" s="26">
        <f t="shared" si="1926"/>
        <v>-347309.34458201518</v>
      </c>
      <c r="BL153" s="26">
        <f t="shared" si="1926"/>
        <v>-348306.43453449901</v>
      </c>
      <c r="BM153" s="26">
        <f t="shared" si="1926"/>
        <v>-349306.38703125028</v>
      </c>
      <c r="BN153" s="26">
        <f t="shared" si="1926"/>
        <v>-350309.21029034356</v>
      </c>
      <c r="BO153" s="26">
        <f t="shared" si="1926"/>
        <v>-351314.91255344683</v>
      </c>
      <c r="BP153" s="26">
        <f t="shared" si="1926"/>
        <v>-352323.50208588905</v>
      </c>
      <c r="BQ153" s="26">
        <f t="shared" si="1926"/>
        <v>-353334.98717672803</v>
      </c>
      <c r="BR153" s="26">
        <f t="shared" ref="BR153:CW153" si="1927">IF(BR145&gt;Constr_End,-(Rentable_Sq_M-$E44-$E78-$E112)*BR61/Months,0)</f>
        <v>-354349.37613881868</v>
      </c>
      <c r="BS153" s="26">
        <f t="shared" si="1927"/>
        <v>-355366.67730888119</v>
      </c>
      <c r="BT153" s="26">
        <f t="shared" si="1927"/>
        <v>-356386.89904756978</v>
      </c>
      <c r="BU153" s="26">
        <f t="shared" si="1927"/>
        <v>-357410.04973954119</v>
      </c>
      <c r="BV153" s="26">
        <f t="shared" si="1927"/>
        <v>-358436.13779352355</v>
      </c>
      <c r="BW153" s="26">
        <f t="shared" si="1927"/>
        <v>-359465.17164238571</v>
      </c>
      <c r="BX153" s="26">
        <f t="shared" si="1927"/>
        <v>-360497.15974320658</v>
      </c>
      <c r="BY153" s="26">
        <f t="shared" si="1927"/>
        <v>-361532.11057734414</v>
      </c>
      <c r="BZ153" s="26">
        <f t="shared" si="1927"/>
        <v>-362423.74629337812</v>
      </c>
      <c r="CA153" s="26">
        <f t="shared" si="1927"/>
        <v>-363317.58102362655</v>
      </c>
      <c r="CB153" s="26">
        <f t="shared" si="1927"/>
        <v>-364213.62019145169</v>
      </c>
      <c r="CC153" s="26">
        <f t="shared" si="1927"/>
        <v>-365111.86923359119</v>
      </c>
      <c r="CD153" s="26">
        <f t="shared" si="1927"/>
        <v>-366012.33360019122</v>
      </c>
      <c r="CE153" s="26">
        <f t="shared" si="1927"/>
        <v>-366915.01875483972</v>
      </c>
      <c r="CF153" s="26">
        <f t="shared" si="1927"/>
        <v>-367819.93017459899</v>
      </c>
      <c r="CG153" s="26">
        <f t="shared" si="1927"/>
        <v>-368727.07335003949</v>
      </c>
      <c r="CH153" s="26">
        <f t="shared" si="1927"/>
        <v>-369636.45378527272</v>
      </c>
      <c r="CI153" s="26">
        <f t="shared" si="1927"/>
        <v>-370548.07699798484</v>
      </c>
      <c r="CJ153" s="26">
        <f t="shared" si="1927"/>
        <v>-371461.94851947017</v>
      </c>
      <c r="CK153" s="26">
        <f t="shared" si="1927"/>
        <v>-372378.07389466482</v>
      </c>
      <c r="CL153" s="26">
        <f t="shared" si="1927"/>
        <v>-373296.45868217992</v>
      </c>
      <c r="CM153" s="26">
        <f t="shared" si="1927"/>
        <v>-374217.10845433577</v>
      </c>
      <c r="CN153" s="26">
        <f t="shared" si="1927"/>
        <v>-375140.02879719558</v>
      </c>
      <c r="CO153" s="26">
        <f t="shared" si="1927"/>
        <v>-376065.22531059926</v>
      </c>
      <c r="CP153" s="26">
        <f t="shared" si="1927"/>
        <v>-376992.70360819739</v>
      </c>
      <c r="CQ153" s="26">
        <f t="shared" si="1927"/>
        <v>-377922.46931748535</v>
      </c>
      <c r="CR153" s="26">
        <f t="shared" si="1927"/>
        <v>-378854.52807983739</v>
      </c>
      <c r="CS153" s="26">
        <f t="shared" si="1927"/>
        <v>-379788.88555054116</v>
      </c>
      <c r="CT153" s="26">
        <f t="shared" si="1927"/>
        <v>-380725.5473988314</v>
      </c>
      <c r="CU153" s="26">
        <f t="shared" si="1927"/>
        <v>-381664.5193079249</v>
      </c>
      <c r="CV153" s="26">
        <f t="shared" si="1927"/>
        <v>-382605.80697505485</v>
      </c>
      <c r="CW153" s="26">
        <f t="shared" si="1927"/>
        <v>-383549.41611150536</v>
      </c>
      <c r="CX153" s="26">
        <f t="shared" ref="CX153:DI153" si="1928">IF(CX145&gt;Constr_End,-(Rentable_Sq_M-$E44-$E78-$E112)*CX61/Months,0)</f>
        <v>-384495.35244264588</v>
      </c>
      <c r="CY153" s="26">
        <f t="shared" si="1928"/>
        <v>-385443.62170796632</v>
      </c>
      <c r="CZ153" s="26">
        <f t="shared" si="1928"/>
        <v>-386394.22966111201</v>
      </c>
      <c r="DA153" s="26">
        <f t="shared" si="1928"/>
        <v>-387347.18206991773</v>
      </c>
      <c r="DB153" s="26">
        <f t="shared" si="1928"/>
        <v>-388302.48471644381</v>
      </c>
      <c r="DC153" s="26">
        <f t="shared" si="1928"/>
        <v>-389260.14339701046</v>
      </c>
      <c r="DD153" s="26">
        <f t="shared" si="1928"/>
        <v>-390220.1639222331</v>
      </c>
      <c r="DE153" s="26">
        <f t="shared" si="1928"/>
        <v>-391182.5521170579</v>
      </c>
      <c r="DF153" s="26">
        <f t="shared" si="1928"/>
        <v>-392147.31382079679</v>
      </c>
      <c r="DG153" s="26">
        <f t="shared" si="1928"/>
        <v>-393114.45488716313</v>
      </c>
      <c r="DH153" s="26">
        <f t="shared" si="1928"/>
        <v>-394083.98118430696</v>
      </c>
      <c r="DI153" s="26">
        <f t="shared" si="1928"/>
        <v>-395055.89859485091</v>
      </c>
    </row>
    <row r="154" spans="2:113" outlineLevel="1" x14ac:dyDescent="0.25">
      <c r="C154" s="102" t="s">
        <v>97</v>
      </c>
      <c r="D154" s="47" t="s">
        <v>107</v>
      </c>
      <c r="F154" s="30">
        <f>SUM(F152:F153)</f>
        <v>0</v>
      </c>
      <c r="G154" s="30">
        <f t="shared" ref="G154:BR154" si="1929">SUM(G152:G153)</f>
        <v>0</v>
      </c>
      <c r="H154" s="30">
        <f t="shared" si="1929"/>
        <v>0</v>
      </c>
      <c r="I154" s="30">
        <f t="shared" si="1929"/>
        <v>0</v>
      </c>
      <c r="J154" s="30">
        <f t="shared" si="1929"/>
        <v>0</v>
      </c>
      <c r="K154" s="30">
        <f t="shared" si="1929"/>
        <v>0</v>
      </c>
      <c r="L154" s="30">
        <f t="shared" si="1929"/>
        <v>0</v>
      </c>
      <c r="M154" s="30">
        <f t="shared" si="1929"/>
        <v>0</v>
      </c>
      <c r="N154" s="30">
        <f t="shared" si="1929"/>
        <v>0</v>
      </c>
      <c r="O154" s="30">
        <f t="shared" si="1929"/>
        <v>0</v>
      </c>
      <c r="P154" s="30">
        <f t="shared" si="1929"/>
        <v>0</v>
      </c>
      <c r="Q154" s="30">
        <f t="shared" si="1929"/>
        <v>0</v>
      </c>
      <c r="R154" s="30">
        <f t="shared" si="1929"/>
        <v>0</v>
      </c>
      <c r="S154" s="30">
        <f t="shared" si="1929"/>
        <v>0</v>
      </c>
      <c r="T154" s="30">
        <f t="shared" si="1929"/>
        <v>0</v>
      </c>
      <c r="U154" s="30">
        <f t="shared" si="1929"/>
        <v>0</v>
      </c>
      <c r="V154" s="30">
        <f t="shared" si="1929"/>
        <v>0</v>
      </c>
      <c r="W154" s="30">
        <f t="shared" si="1929"/>
        <v>0</v>
      </c>
      <c r="X154" s="30">
        <f t="shared" si="1929"/>
        <v>0</v>
      </c>
      <c r="Y154" s="30">
        <f t="shared" si="1929"/>
        <v>0</v>
      </c>
      <c r="Z154" s="30">
        <f t="shared" si="1929"/>
        <v>0</v>
      </c>
      <c r="AA154" s="30">
        <f t="shared" si="1929"/>
        <v>0</v>
      </c>
      <c r="AB154" s="30">
        <f t="shared" si="1929"/>
        <v>0</v>
      </c>
      <c r="AC154" s="30">
        <f t="shared" si="1929"/>
        <v>0</v>
      </c>
      <c r="AD154" s="30">
        <f t="shared" si="1929"/>
        <v>0</v>
      </c>
      <c r="AE154" s="30">
        <f t="shared" si="1929"/>
        <v>0</v>
      </c>
      <c r="AF154" s="30">
        <f t="shared" si="1929"/>
        <v>0</v>
      </c>
      <c r="AG154" s="30">
        <f t="shared" si="1929"/>
        <v>0</v>
      </c>
      <c r="AH154" s="30">
        <f t="shared" si="1929"/>
        <v>0</v>
      </c>
      <c r="AI154" s="30">
        <f t="shared" si="1929"/>
        <v>0</v>
      </c>
      <c r="AJ154" s="30">
        <f t="shared" si="1929"/>
        <v>0</v>
      </c>
      <c r="AK154" s="30">
        <f t="shared" si="1929"/>
        <v>0</v>
      </c>
      <c r="AL154" s="30">
        <f t="shared" si="1929"/>
        <v>0</v>
      </c>
      <c r="AM154" s="30">
        <f t="shared" si="1929"/>
        <v>0</v>
      </c>
      <c r="AN154" s="30">
        <f t="shared" si="1929"/>
        <v>0</v>
      </c>
      <c r="AO154" s="30">
        <f t="shared" si="1929"/>
        <v>0</v>
      </c>
      <c r="AP154" s="30">
        <f t="shared" si="1929"/>
        <v>0</v>
      </c>
      <c r="AQ154" s="30">
        <f t="shared" si="1929"/>
        <v>0</v>
      </c>
      <c r="AR154" s="30">
        <f t="shared" si="1929"/>
        <v>0</v>
      </c>
      <c r="AS154" s="30">
        <f t="shared" si="1929"/>
        <v>0</v>
      </c>
      <c r="AT154" s="30">
        <f t="shared" si="1929"/>
        <v>0</v>
      </c>
      <c r="AU154" s="30">
        <f t="shared" si="1929"/>
        <v>0</v>
      </c>
      <c r="AV154" s="30">
        <f t="shared" si="1929"/>
        <v>0</v>
      </c>
      <c r="AW154" s="30">
        <f t="shared" si="1929"/>
        <v>0</v>
      </c>
      <c r="AX154" s="30">
        <f t="shared" si="1929"/>
        <v>0</v>
      </c>
      <c r="AY154" s="30">
        <f t="shared" si="1929"/>
        <v>0</v>
      </c>
      <c r="AZ154" s="30">
        <f t="shared" si="1929"/>
        <v>0</v>
      </c>
      <c r="BA154" s="30">
        <f t="shared" si="1929"/>
        <v>0</v>
      </c>
      <c r="BB154" s="30">
        <f t="shared" si="1929"/>
        <v>1698483.5249635337</v>
      </c>
      <c r="BC154" s="30">
        <f t="shared" si="1929"/>
        <v>1701635.8042906641</v>
      </c>
      <c r="BD154" s="30">
        <f t="shared" si="1929"/>
        <v>1704793.9340513195</v>
      </c>
      <c r="BE154" s="30">
        <f t="shared" si="1929"/>
        <v>1707957.9251035384</v>
      </c>
      <c r="BF154" s="30">
        <f t="shared" si="1929"/>
        <v>1711127.7883255128</v>
      </c>
      <c r="BG154" s="30">
        <f t="shared" si="1929"/>
        <v>1714303.5346156228</v>
      </c>
      <c r="BH154" s="30">
        <f t="shared" si="1929"/>
        <v>4492881.8168063089</v>
      </c>
      <c r="BI154" s="30">
        <f t="shared" si="1929"/>
        <v>4496069.3620087756</v>
      </c>
      <c r="BJ154" s="30">
        <f t="shared" si="1929"/>
        <v>4499262.8230960295</v>
      </c>
      <c r="BK154" s="30">
        <f t="shared" si="1929"/>
        <v>6581023.2542025615</v>
      </c>
      <c r="BL154" s="30">
        <f t="shared" si="1929"/>
        <v>6584228.5800183024</v>
      </c>
      <c r="BM154" s="30">
        <f t="shared" si="1929"/>
        <v>6587439.8547185389</v>
      </c>
      <c r="BN154" s="30">
        <f t="shared" si="1929"/>
        <v>6700224.5920787575</v>
      </c>
      <c r="BO154" s="30">
        <f t="shared" si="1929"/>
        <v>6703802.6365605574</v>
      </c>
      <c r="BP154" s="30">
        <f t="shared" si="1929"/>
        <v>6707388.0512281563</v>
      </c>
      <c r="BQ154" s="30">
        <f t="shared" si="1929"/>
        <v>6710980.851262928</v>
      </c>
      <c r="BR154" s="30">
        <f t="shared" si="1929"/>
        <v>6714581.0518775238</v>
      </c>
      <c r="BS154" s="30">
        <f t="shared" ref="BS154:DI154" si="1930">SUM(BS152:BS153)</f>
        <v>6718188.6683159247</v>
      </c>
      <c r="BT154" s="30">
        <f t="shared" si="1930"/>
        <v>6721803.7158535114</v>
      </c>
      <c r="BU154" s="30">
        <f t="shared" si="1930"/>
        <v>6725426.2097971337</v>
      </c>
      <c r="BV154" s="30">
        <f t="shared" si="1930"/>
        <v>6729056.1654851679</v>
      </c>
      <c r="BW154" s="30">
        <f t="shared" si="1930"/>
        <v>6732693.598287588</v>
      </c>
      <c r="BX154" s="30">
        <f t="shared" si="1930"/>
        <v>6736338.5236060228</v>
      </c>
      <c r="BY154" s="30">
        <f t="shared" si="1930"/>
        <v>6739990.9568738285</v>
      </c>
      <c r="BZ154" s="30">
        <f t="shared" si="1930"/>
        <v>6855322.2775482666</v>
      </c>
      <c r="CA154" s="30">
        <f t="shared" si="1930"/>
        <v>9791934.838060556</v>
      </c>
      <c r="CB154" s="30">
        <f t="shared" si="1930"/>
        <v>9795609.8880948443</v>
      </c>
      <c r="CC154" s="30">
        <f t="shared" si="1930"/>
        <v>9799292.5081304871</v>
      </c>
      <c r="CD154" s="30">
        <f t="shared" si="1930"/>
        <v>9802982.7137604468</v>
      </c>
      <c r="CE154" s="30">
        <f t="shared" si="1930"/>
        <v>9806680.5206098054</v>
      </c>
      <c r="CF154" s="30">
        <f t="shared" si="1930"/>
        <v>9810385.9443358351</v>
      </c>
      <c r="CG154" s="30">
        <f t="shared" si="1930"/>
        <v>9814099.0006280448</v>
      </c>
      <c r="CH154" s="30">
        <f t="shared" si="1930"/>
        <v>9817819.7052082811</v>
      </c>
      <c r="CI154" s="30">
        <f t="shared" si="1930"/>
        <v>9821548.0738307629</v>
      </c>
      <c r="CJ154" s="30">
        <f t="shared" si="1930"/>
        <v>9891275.3862428218</v>
      </c>
      <c r="CK154" s="30">
        <f t="shared" si="1930"/>
        <v>9895019.1303423233</v>
      </c>
      <c r="CL154" s="30">
        <f t="shared" si="1930"/>
        <v>6511510.1963455398</v>
      </c>
      <c r="CM154" s="30">
        <f t="shared" si="1930"/>
        <v>6514168.4757411508</v>
      </c>
      <c r="CN154" s="30">
        <f t="shared" si="1930"/>
        <v>6516832.2307570772</v>
      </c>
      <c r="CO154" s="30">
        <f t="shared" si="1930"/>
        <v>6519501.4726721961</v>
      </c>
      <c r="CP154" s="30">
        <f t="shared" si="1930"/>
        <v>6522176.2127886275</v>
      </c>
      <c r="CQ154" s="30">
        <f t="shared" si="1930"/>
        <v>6524856.4624317596</v>
      </c>
      <c r="CR154" s="30">
        <f t="shared" si="1930"/>
        <v>6527542.2329503205</v>
      </c>
      <c r="CS154" s="30">
        <f t="shared" si="1930"/>
        <v>6530233.5357164098</v>
      </c>
      <c r="CT154" s="30">
        <f t="shared" si="1930"/>
        <v>8063445.8627224844</v>
      </c>
      <c r="CU154" s="30">
        <f t="shared" si="1930"/>
        <v>8610600.1234734338</v>
      </c>
      <c r="CV154" s="30">
        <f t="shared" si="1930"/>
        <v>8681905.6405358948</v>
      </c>
      <c r="CW154" s="30">
        <f t="shared" si="1930"/>
        <v>8685742.9782378823</v>
      </c>
      <c r="CX154" s="30">
        <f t="shared" si="1930"/>
        <v>6118321.9727405291</v>
      </c>
      <c r="CY154" s="30">
        <f t="shared" si="1930"/>
        <v>6121376.980197452</v>
      </c>
      <c r="CZ154" s="30">
        <f t="shared" si="1930"/>
        <v>6124438.2804695424</v>
      </c>
      <c r="DA154" s="30">
        <f t="shared" si="1930"/>
        <v>6127505.8865189627</v>
      </c>
      <c r="DB154" s="30">
        <f t="shared" si="1930"/>
        <v>6130579.8113345858</v>
      </c>
      <c r="DC154" s="30">
        <f t="shared" si="1930"/>
        <v>6133660.0679320386</v>
      </c>
      <c r="DD154" s="30">
        <f t="shared" si="1930"/>
        <v>6136746.6693537468</v>
      </c>
      <c r="DE154" s="30">
        <f t="shared" si="1930"/>
        <v>7704664.1578315068</v>
      </c>
      <c r="DF154" s="30">
        <f t="shared" si="1930"/>
        <v>8888390.3938722089</v>
      </c>
      <c r="DG154" s="30">
        <f t="shared" si="1930"/>
        <v>9325344.3194971215</v>
      </c>
      <c r="DH154" s="30">
        <f t="shared" si="1930"/>
        <v>9398263.7843176425</v>
      </c>
      <c r="DI154" s="30">
        <f t="shared" si="1930"/>
        <v>9402197.0554621816</v>
      </c>
    </row>
    <row r="155" spans="2:113" outlineLevel="1" x14ac:dyDescent="0.25">
      <c r="C155" s="103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  <c r="BX155" s="6"/>
      <c r="BY155" s="6"/>
      <c r="BZ155" s="6"/>
      <c r="CA155" s="6"/>
      <c r="CB155" s="6"/>
      <c r="CC155" s="6"/>
      <c r="CD155" s="6"/>
      <c r="CE155" s="6"/>
      <c r="CF155" s="6"/>
      <c r="CG155" s="6"/>
      <c r="CH155" s="6"/>
      <c r="CI155" s="6"/>
      <c r="CJ155" s="6"/>
      <c r="CK155" s="6"/>
      <c r="CL155" s="6"/>
      <c r="CM155" s="6"/>
      <c r="CN155" s="6"/>
      <c r="CO155" s="6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</row>
    <row r="156" spans="2:113" outlineLevel="1" x14ac:dyDescent="0.25">
      <c r="C156" s="104" t="s">
        <v>16</v>
      </c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5"/>
      <c r="BL156" s="55"/>
      <c r="BM156" s="55"/>
      <c r="BN156" s="55"/>
      <c r="BO156" s="55"/>
      <c r="BP156" s="55"/>
      <c r="BQ156" s="55"/>
      <c r="BR156" s="55"/>
      <c r="BS156" s="55"/>
      <c r="BT156" s="55"/>
      <c r="BU156" s="55"/>
      <c r="BV156" s="55"/>
      <c r="BW156" s="55"/>
      <c r="BX156" s="55"/>
      <c r="BY156" s="55"/>
      <c r="BZ156" s="55"/>
      <c r="CA156" s="55"/>
      <c r="CB156" s="55"/>
      <c r="CC156" s="55"/>
      <c r="CD156" s="55"/>
      <c r="CE156" s="55"/>
      <c r="CF156" s="55"/>
      <c r="CG156" s="55"/>
      <c r="CH156" s="55"/>
      <c r="CI156" s="55"/>
      <c r="CJ156" s="55"/>
      <c r="CK156" s="55"/>
      <c r="CL156" s="55"/>
      <c r="CM156" s="55"/>
      <c r="CN156" s="55"/>
      <c r="CO156" s="55"/>
      <c r="CP156" s="55"/>
      <c r="CQ156" s="55"/>
      <c r="CR156" s="55"/>
      <c r="CS156" s="55"/>
      <c r="CT156" s="55"/>
      <c r="CU156" s="55"/>
      <c r="CV156" s="55"/>
      <c r="CW156" s="55"/>
      <c r="CX156" s="55"/>
      <c r="CY156" s="55"/>
      <c r="CZ156" s="55"/>
      <c r="DA156" s="55"/>
      <c r="DB156" s="55"/>
      <c r="DC156" s="55"/>
      <c r="DD156" s="55"/>
      <c r="DE156" s="55"/>
      <c r="DF156" s="55"/>
      <c r="DG156" s="55"/>
      <c r="DH156" s="55"/>
      <c r="DI156" s="55"/>
    </row>
    <row r="157" spans="2:113" outlineLevel="1" x14ac:dyDescent="0.25">
      <c r="C157" s="60" t="s">
        <v>130</v>
      </c>
      <c r="D157" s="47" t="s">
        <v>107</v>
      </c>
      <c r="F157" s="6">
        <f>IF(F145&gt;Constr_End,-Expenses_per_RSM*Rentable_Sq_M/Months*Monthly!F$40,0)</f>
        <v>0</v>
      </c>
      <c r="G157" s="6">
        <f>IF(G145&gt;Constr_End,-Expenses_per_RSM*Rentable_Sq_M/Months*Monthly!G$40,0)</f>
        <v>0</v>
      </c>
      <c r="H157" s="6">
        <f>IF(H145&gt;Constr_End,-Expenses_per_RSM*Rentable_Sq_M/Months*Monthly!H$40,0)</f>
        <v>0</v>
      </c>
      <c r="I157" s="6">
        <f>IF(I145&gt;Constr_End,-Expenses_per_RSM*Rentable_Sq_M/Months*Monthly!I$40,0)</f>
        <v>0</v>
      </c>
      <c r="J157" s="6">
        <f>IF(J145&gt;Constr_End,-Expenses_per_RSM*Rentable_Sq_M/Months*Monthly!J$40,0)</f>
        <v>0</v>
      </c>
      <c r="K157" s="6">
        <f>IF(K145&gt;Constr_End,-Expenses_per_RSM*Rentable_Sq_M/Months*Monthly!K$40,0)</f>
        <v>0</v>
      </c>
      <c r="L157" s="6">
        <f>IF(L145&gt;Constr_End,-Expenses_per_RSM*Rentable_Sq_M/Months*Monthly!L$40,0)</f>
        <v>0</v>
      </c>
      <c r="M157" s="6">
        <f>IF(M145&gt;Constr_End,-Expenses_per_RSM*Rentable_Sq_M/Months*Monthly!M$40,0)</f>
        <v>0</v>
      </c>
      <c r="N157" s="6">
        <f>IF(N145&gt;Constr_End,-Expenses_per_RSM*Rentable_Sq_M/Months*Monthly!N$40,0)</f>
        <v>0</v>
      </c>
      <c r="O157" s="6">
        <f>IF(O145&gt;Constr_End,-Expenses_per_RSM*Rentable_Sq_M/Months*Monthly!O$40,0)</f>
        <v>0</v>
      </c>
      <c r="P157" s="6">
        <f>IF(P145&gt;Constr_End,-Expenses_per_RSM*Rentable_Sq_M/Months*Monthly!P$40,0)</f>
        <v>0</v>
      </c>
      <c r="Q157" s="6">
        <f>IF(Q145&gt;Constr_End,-Expenses_per_RSM*Rentable_Sq_M/Months*Monthly!Q$40,0)</f>
        <v>0</v>
      </c>
      <c r="R157" s="6">
        <f>IF(R145&gt;Constr_End,-Expenses_per_RSM*Rentable_Sq_M/Months*Monthly!R$40,0)</f>
        <v>0</v>
      </c>
      <c r="S157" s="6">
        <f>IF(S145&gt;Constr_End,-Expenses_per_RSM*Rentable_Sq_M/Months*Monthly!S$40,0)</f>
        <v>0</v>
      </c>
      <c r="T157" s="6">
        <f>IF(T145&gt;Constr_End,-Expenses_per_RSM*Rentable_Sq_M/Months*Monthly!T$40,0)</f>
        <v>0</v>
      </c>
      <c r="U157" s="6">
        <f>IF(U145&gt;Constr_End,-Expenses_per_RSM*Rentable_Sq_M/Months*Monthly!U$40,0)</f>
        <v>0</v>
      </c>
      <c r="V157" s="6">
        <f>IF(V145&gt;Constr_End,-Expenses_per_RSM*Rentable_Sq_M/Months*Monthly!V$40,0)</f>
        <v>0</v>
      </c>
      <c r="W157" s="6">
        <f>IF(W145&gt;Constr_End,-Expenses_per_RSM*Rentable_Sq_M/Months*Monthly!W$40,0)</f>
        <v>0</v>
      </c>
      <c r="X157" s="6">
        <f>IF(X145&gt;Constr_End,-Expenses_per_RSM*Rentable_Sq_M/Months*Monthly!X$40,0)</f>
        <v>0</v>
      </c>
      <c r="Y157" s="6">
        <f>IF(Y145&gt;Constr_End,-Expenses_per_RSM*Rentable_Sq_M/Months*Monthly!Y$40,0)</f>
        <v>0</v>
      </c>
      <c r="Z157" s="6">
        <f>IF(Z145&gt;Constr_End,-Expenses_per_RSM*Rentable_Sq_M/Months*Monthly!Z$40,0)</f>
        <v>0</v>
      </c>
      <c r="AA157" s="6">
        <f>IF(AA145&gt;Constr_End,-Expenses_per_RSM*Rentable_Sq_M/Months*Monthly!AA$40,0)</f>
        <v>0</v>
      </c>
      <c r="AB157" s="6">
        <f>IF(AB145&gt;Constr_End,-Expenses_per_RSM*Rentable_Sq_M/Months*Monthly!AB$40,0)</f>
        <v>0</v>
      </c>
      <c r="AC157" s="6">
        <f>IF(AC145&gt;Constr_End,-Expenses_per_RSM*Rentable_Sq_M/Months*Monthly!AC$40,0)</f>
        <v>0</v>
      </c>
      <c r="AD157" s="6">
        <f>IF(AD145&gt;Constr_End,-Expenses_per_RSM*Rentable_Sq_M/Months*Monthly!AD$40,0)</f>
        <v>0</v>
      </c>
      <c r="AE157" s="6">
        <f>IF(AE145&gt;Constr_End,-Expenses_per_RSM*Rentable_Sq_M/Months*Monthly!AE$40,0)</f>
        <v>0</v>
      </c>
      <c r="AF157" s="6">
        <f>IF(AF145&gt;Constr_End,-Expenses_per_RSM*Rentable_Sq_M/Months*Monthly!AF$40,0)</f>
        <v>0</v>
      </c>
      <c r="AG157" s="6">
        <f>IF(AG145&gt;Constr_End,-Expenses_per_RSM*Rentable_Sq_M/Months*Monthly!AG$40,0)</f>
        <v>0</v>
      </c>
      <c r="AH157" s="6">
        <f>IF(AH145&gt;Constr_End,-Expenses_per_RSM*Rentable_Sq_M/Months*Monthly!AH$40,0)</f>
        <v>0</v>
      </c>
      <c r="AI157" s="6">
        <f>IF(AI145&gt;Constr_End,-Expenses_per_RSM*Rentable_Sq_M/Months*Monthly!AI$40,0)</f>
        <v>0</v>
      </c>
      <c r="AJ157" s="6">
        <f>IF(AJ145&gt;Constr_End,-Expenses_per_RSM*Rentable_Sq_M/Months*Monthly!AJ$40,0)</f>
        <v>0</v>
      </c>
      <c r="AK157" s="6">
        <f>IF(AK145&gt;Constr_End,-Expenses_per_RSM*Rentable_Sq_M/Months*Monthly!AK$40,0)</f>
        <v>0</v>
      </c>
      <c r="AL157" s="6">
        <f>IF(AL145&gt;Constr_End,-Expenses_per_RSM*Rentable_Sq_M/Months*Monthly!AL$40,0)</f>
        <v>0</v>
      </c>
      <c r="AM157" s="6">
        <f>IF(AM145&gt;Constr_End,-Expenses_per_RSM*Rentable_Sq_M/Months*Monthly!AM$40,0)</f>
        <v>0</v>
      </c>
      <c r="AN157" s="6">
        <f>IF(AN145&gt;Constr_End,-Expenses_per_RSM*Rentable_Sq_M/Months*Monthly!AN$40,0)</f>
        <v>0</v>
      </c>
      <c r="AO157" s="6">
        <f>IF(AO145&gt;Constr_End,-Expenses_per_RSM*Rentable_Sq_M/Months*Monthly!AO$40,0)</f>
        <v>0</v>
      </c>
      <c r="AP157" s="6">
        <f>IF(AP145&gt;Constr_End,-Expenses_per_RSM*Rentable_Sq_M/Months*Monthly!AP$40,0)</f>
        <v>0</v>
      </c>
      <c r="AQ157" s="6">
        <f>IF(AQ145&gt;Constr_End,-Expenses_per_RSM*Rentable_Sq_M/Months*Monthly!AQ$40,0)</f>
        <v>0</v>
      </c>
      <c r="AR157" s="6">
        <f>IF(AR145&gt;Constr_End,-Expenses_per_RSM*Rentable_Sq_M/Months*Monthly!AR$40,0)</f>
        <v>0</v>
      </c>
      <c r="AS157" s="6">
        <f>IF(AS145&gt;Constr_End,-Expenses_per_RSM*Rentable_Sq_M/Months*Monthly!AS$40,0)</f>
        <v>0</v>
      </c>
      <c r="AT157" s="6">
        <f>IF(AT145&gt;Constr_End,-Expenses_per_RSM*Rentable_Sq_M/Months*Monthly!AT$40,0)</f>
        <v>0</v>
      </c>
      <c r="AU157" s="6">
        <f>IF(AU145&gt;Constr_End,-Expenses_per_RSM*Rentable_Sq_M/Months*Monthly!AU$40,0)</f>
        <v>0</v>
      </c>
      <c r="AV157" s="6">
        <f>IF(AV145&gt;Constr_End,-Expenses_per_RSM*Rentable_Sq_M/Months*Monthly!AV$40,0)</f>
        <v>0</v>
      </c>
      <c r="AW157" s="6">
        <f>IF(AW145&gt;Constr_End,-Expenses_per_RSM*Rentable_Sq_M/Months*Monthly!AW$40,0)</f>
        <v>0</v>
      </c>
      <c r="AX157" s="6">
        <f>IF(AX145&gt;Constr_End,-Expenses_per_RSM*Rentable_Sq_M/Months*Monthly!AX$40,0)</f>
        <v>0</v>
      </c>
      <c r="AY157" s="6">
        <f>IF(AY145&gt;Constr_End,-Expenses_per_RSM*Rentable_Sq_M/Months*Monthly!AY$40,0)</f>
        <v>0</v>
      </c>
      <c r="AZ157" s="6">
        <f>IF(AZ145&gt;Constr_End,-Expenses_per_RSM*Rentable_Sq_M/Months*Monthly!AZ$40,0)</f>
        <v>0</v>
      </c>
      <c r="BA157" s="6">
        <f>IF(BA145&gt;Constr_End,-Expenses_per_RSM*Rentable_Sq_M/Months*Monthly!BA$40,0)</f>
        <v>0</v>
      </c>
      <c r="BB157" s="6">
        <f>IF(BB145&gt;Constr_End,-Expenses_per_RSM*Rentable_Sq_M/Months*Monthly!BB$40,0)</f>
        <v>-2426405.0356621915</v>
      </c>
      <c r="BC157" s="6">
        <f>IF(BC145&gt;Constr_End,-Expenses_per_RSM*Rentable_Sq_M/Months*Monthly!BC$40,0)</f>
        <v>-2430908.2918438059</v>
      </c>
      <c r="BD157" s="6">
        <f>IF(BD145&gt;Constr_End,-Expenses_per_RSM*Rentable_Sq_M/Months*Monthly!BD$40,0)</f>
        <v>-2435419.9057875988</v>
      </c>
      <c r="BE157" s="6">
        <f>IF(BE145&gt;Constr_End,-Expenses_per_RSM*Rentable_Sq_M/Months*Monthly!BE$40,0)</f>
        <v>-2439939.8930050549</v>
      </c>
      <c r="BF157" s="6">
        <f>IF(BF145&gt;Constr_End,-Expenses_per_RSM*Rentable_Sq_M/Months*Monthly!BF$40,0)</f>
        <v>-2444468.2690364472</v>
      </c>
      <c r="BG157" s="6">
        <f>IF(BG145&gt;Constr_End,-Expenses_per_RSM*Rentable_Sq_M/Months*Monthly!BG$40,0)</f>
        <v>-2449005.0494508902</v>
      </c>
      <c r="BH157" s="6">
        <f>IF(BH145&gt;Constr_End,-Expenses_per_RSM*Rentable_Sq_M/Months*Monthly!BH$40,0)</f>
        <v>-2453550.2498463942</v>
      </c>
      <c r="BI157" s="6">
        <f>IF(BI145&gt;Constr_End,-Expenses_per_RSM*Rentable_Sq_M/Months*Monthly!BI$40,0)</f>
        <v>-2458103.8858499178</v>
      </c>
      <c r="BJ157" s="6">
        <f>IF(BJ145&gt;Constr_End,-Expenses_per_RSM*Rentable_Sq_M/Months*Monthly!BJ$40,0)</f>
        <v>-2462665.9731174228</v>
      </c>
      <c r="BK157" s="6">
        <f>IF(BK145&gt;Constr_End,-Expenses_per_RSM*Rentable_Sq_M/Months*Monthly!BK$40,0)</f>
        <v>-2467236.5273339264</v>
      </c>
      <c r="BL157" s="6">
        <f>IF(BL145&gt;Constr_End,-Expenses_per_RSM*Rentable_Sq_M/Months*Monthly!BL$40,0)</f>
        <v>-2471815.5642135581</v>
      </c>
      <c r="BM157" s="6">
        <f>IF(BM145&gt;Constr_End,-Expenses_per_RSM*Rentable_Sq_M/Months*Monthly!BM$40,0)</f>
        <v>-2476403.0994996103</v>
      </c>
      <c r="BN157" s="6">
        <f>IF(BN145&gt;Constr_End,-Expenses_per_RSM*Rentable_Sq_M/Months*Monthly!BN$40,0)</f>
        <v>-2481504.0844227104</v>
      </c>
      <c r="BO157" s="6">
        <f>IF(BO145&gt;Constr_End,-Expenses_per_RSM*Rentable_Sq_M/Months*Monthly!BO$40,0)</f>
        <v>-2486615.5765395672</v>
      </c>
      <c r="BP157" s="6">
        <f>IF(BP145&gt;Constr_End,-Expenses_per_RSM*Rentable_Sq_M/Months*Monthly!BP$40,0)</f>
        <v>-2491737.5974932793</v>
      </c>
      <c r="BQ157" s="6">
        <f>IF(BQ145&gt;Constr_End,-Expenses_per_RSM*Rentable_Sq_M/Months*Monthly!BQ$40,0)</f>
        <v>-2496870.1689715264</v>
      </c>
      <c r="BR157" s="6">
        <f>IF(BR145&gt;Constr_End,-Expenses_per_RSM*Rentable_Sq_M/Months*Monthly!BR$40,0)</f>
        <v>-2502013.3127066628</v>
      </c>
      <c r="BS157" s="6">
        <f>IF(BS145&gt;Constr_End,-Expenses_per_RSM*Rentable_Sq_M/Months*Monthly!BS$40,0)</f>
        <v>-2507167.0504758051</v>
      </c>
      <c r="BT157" s="6">
        <f>IF(BT145&gt;Constr_End,-Expenses_per_RSM*Rentable_Sq_M/Months*Monthly!BT$40,0)</f>
        <v>-2512331.4041009299</v>
      </c>
      <c r="BU157" s="6">
        <f>IF(BU145&gt;Constr_End,-Expenses_per_RSM*Rentable_Sq_M/Months*Monthly!BU$40,0)</f>
        <v>-2517506.3954489618</v>
      </c>
      <c r="BV157" s="6">
        <f>IF(BV145&gt;Constr_End,-Expenses_per_RSM*Rentable_Sq_M/Months*Monthly!BV$40,0)</f>
        <v>-2522692.0464318688</v>
      </c>
      <c r="BW157" s="6">
        <f>IF(BW145&gt;Constr_End,-Expenses_per_RSM*Rentable_Sq_M/Months*Monthly!BW$40,0)</f>
        <v>-2527888.3790067532</v>
      </c>
      <c r="BX157" s="6">
        <f>IF(BX145&gt;Constr_End,-Expenses_per_RSM*Rentable_Sq_M/Months*Monthly!BX$40,0)</f>
        <v>-2533095.415175945</v>
      </c>
      <c r="BY157" s="6">
        <f>IF(BY145&gt;Constr_End,-Expenses_per_RSM*Rentable_Sq_M/Months*Monthly!BY$40,0)</f>
        <v>-2538313.1769870971</v>
      </c>
      <c r="BZ157" s="6">
        <f>IF(BZ145&gt;Constr_End,-Expenses_per_RSM*Rentable_Sq_M/Months*Monthly!BZ$40,0)</f>
        <v>-2543541.6865332746</v>
      </c>
      <c r="CA157" s="6">
        <f>IF(CA145&gt;Constr_End,-Expenses_per_RSM*Rentable_Sq_M/Months*Monthly!CA$40,0)</f>
        <v>-2548780.965953053</v>
      </c>
      <c r="CB157" s="6">
        <f>IF(CB145&gt;Constr_End,-Expenses_per_RSM*Rentable_Sq_M/Months*Monthly!CB$40,0)</f>
        <v>-2554031.0374306082</v>
      </c>
      <c r="CC157" s="6">
        <f>IF(CC145&gt;Constr_End,-Expenses_per_RSM*Rentable_Sq_M/Months*Monthly!CC$40,0)</f>
        <v>-2559291.9231958119</v>
      </c>
      <c r="CD157" s="6">
        <f>IF(CD145&gt;Constr_End,-Expenses_per_RSM*Rentable_Sq_M/Months*Monthly!CD$40,0)</f>
        <v>-2564563.6455243262</v>
      </c>
      <c r="CE157" s="6">
        <f>IF(CE145&gt;Constr_End,-Expenses_per_RSM*Rentable_Sq_M/Months*Monthly!CE$40,0)</f>
        <v>-2569846.2267376971</v>
      </c>
      <c r="CF157" s="6">
        <f>IF(CF145&gt;Constr_End,-Expenses_per_RSM*Rentable_Sq_M/Months*Monthly!CF$40,0)</f>
        <v>-2575139.6892034505</v>
      </c>
      <c r="CG157" s="6">
        <f>IF(CG145&gt;Constr_End,-Expenses_per_RSM*Rentable_Sq_M/Months*Monthly!CG$40,0)</f>
        <v>-2580444.0553351832</v>
      </c>
      <c r="CH157" s="6">
        <f>IF(CH145&gt;Constr_End,-Expenses_per_RSM*Rentable_Sq_M/Months*Monthly!CH$40,0)</f>
        <v>-2585759.347592663</v>
      </c>
      <c r="CI157" s="6">
        <f>IF(CI145&gt;Constr_End,-Expenses_per_RSM*Rentable_Sq_M/Months*Monthly!CI$40,0)</f>
        <v>-2591085.5884819189</v>
      </c>
      <c r="CJ157" s="6">
        <f>IF(CJ145&gt;Constr_End,-Expenses_per_RSM*Rentable_Sq_M/Months*Monthly!CJ$40,0)</f>
        <v>-2596422.8005553409</v>
      </c>
      <c r="CK157" s="6">
        <f>IF(CK145&gt;Constr_End,-Expenses_per_RSM*Rentable_Sq_M/Months*Monthly!CK$40,0)</f>
        <v>-2601771.0064117718</v>
      </c>
      <c r="CL157" s="6">
        <f>IF(CL145&gt;Constr_End,-Expenses_per_RSM*Rentable_Sq_M/Months*Monthly!CL$40,0)</f>
        <v>-2607130.2286966033</v>
      </c>
      <c r="CM157" s="6">
        <f>IF(CM145&gt;Constr_End,-Expenses_per_RSM*Rentable_Sq_M/Months*Monthly!CM$40,0)</f>
        <v>-2612500.4901018762</v>
      </c>
      <c r="CN157" s="6">
        <f>IF(CN145&gt;Constr_End,-Expenses_per_RSM*Rentable_Sq_M/Months*Monthly!CN$40,0)</f>
        <v>-2617881.8133663698</v>
      </c>
      <c r="CO157" s="6">
        <f>IF(CO145&gt;Constr_End,-Expenses_per_RSM*Rentable_Sq_M/Months*Monthly!CO$40,0)</f>
        <v>-2623274.2212757035</v>
      </c>
      <c r="CP157" s="6">
        <f>IF(CP145&gt;Constr_End,-Expenses_per_RSM*Rentable_Sq_M/Months*Monthly!CP$40,0)</f>
        <v>-2628677.7366624307</v>
      </c>
      <c r="CQ157" s="6">
        <f>IF(CQ145&gt;Constr_End,-Expenses_per_RSM*Rentable_Sq_M/Months*Monthly!CQ$40,0)</f>
        <v>-2634092.3824061365</v>
      </c>
      <c r="CR157" s="6">
        <f>IF(CR145&gt;Constr_End,-Expenses_per_RSM*Rentable_Sq_M/Months*Monthly!CR$40,0)</f>
        <v>-2639518.1814335333</v>
      </c>
      <c r="CS157" s="6">
        <f>IF(CS145&gt;Constr_End,-Expenses_per_RSM*Rentable_Sq_M/Months*Monthly!CS$40,0)</f>
        <v>-2644955.1567185596</v>
      </c>
      <c r="CT157" s="6">
        <f>IF(CT145&gt;Constr_End,-Expenses_per_RSM*Rentable_Sq_M/Months*Monthly!CT$40,0)</f>
        <v>-2650403.331282476</v>
      </c>
      <c r="CU157" s="6">
        <f>IF(CU145&gt;Constr_End,-Expenses_per_RSM*Rentable_Sq_M/Months*Monthly!CU$40,0)</f>
        <v>-2655862.7281939639</v>
      </c>
      <c r="CV157" s="6">
        <f>IF(CV145&gt;Constr_End,-Expenses_per_RSM*Rentable_Sq_M/Months*Monthly!CV$40,0)</f>
        <v>-2661333.3705692212</v>
      </c>
      <c r="CW157" s="6">
        <f>IF(CW145&gt;Constr_End,-Expenses_per_RSM*Rentable_Sq_M/Months*Monthly!CW$40,0)</f>
        <v>-2666815.2815720621</v>
      </c>
      <c r="CX157" s="6">
        <f>IF(CX145&gt;Constr_End,-Expenses_per_RSM*Rentable_Sq_M/Months*Monthly!CX$40,0)</f>
        <v>-2672308.4844140154</v>
      </c>
      <c r="CY157" s="6">
        <f>IF(CY145&gt;Constr_End,-Expenses_per_RSM*Rentable_Sq_M/Months*Monthly!CY$40,0)</f>
        <v>-2677813.0023544198</v>
      </c>
      <c r="CZ157" s="6">
        <f>IF(CZ145&gt;Constr_End,-Expenses_per_RSM*Rentable_Sq_M/Months*Monthly!CZ$40,0)</f>
        <v>-2683328.8587005259</v>
      </c>
      <c r="DA157" s="6">
        <f>IF(DA145&gt;Constr_End,-Expenses_per_RSM*Rentable_Sq_M/Months*Monthly!DA$40,0)</f>
        <v>-2688856.076807593</v>
      </c>
      <c r="DB157" s="6">
        <f>IF(DB145&gt;Constr_End,-Expenses_per_RSM*Rentable_Sq_M/Months*Monthly!DB$40,0)</f>
        <v>-2694394.680078988</v>
      </c>
      <c r="DC157" s="6">
        <f>IF(DC145&gt;Constr_End,-Expenses_per_RSM*Rentable_Sq_M/Months*Monthly!DC$40,0)</f>
        <v>-2699944.6919662864</v>
      </c>
      <c r="DD157" s="6">
        <f>IF(DD145&gt;Constr_End,-Expenses_per_RSM*Rentable_Sq_M/Months*Monthly!DD$40,0)</f>
        <v>-2705506.1359693678</v>
      </c>
      <c r="DE157" s="6">
        <f>IF(DE145&gt;Constr_End,-Expenses_per_RSM*Rentable_Sq_M/Months*Monthly!DE$40,0)</f>
        <v>-2711079.0356365195</v>
      </c>
      <c r="DF157" s="6">
        <f>IF(DF145&gt;Constr_End,-Expenses_per_RSM*Rentable_Sq_M/Months*Monthly!DF$40,0)</f>
        <v>-2716663.4145645336</v>
      </c>
      <c r="DG157" s="6">
        <f>IF(DG145&gt;Constr_End,-Expenses_per_RSM*Rentable_Sq_M/Months*Monthly!DG$40,0)</f>
        <v>-2722259.2963988087</v>
      </c>
      <c r="DH157" s="6">
        <f>IF(DH145&gt;Constr_End,-Expenses_per_RSM*Rentable_Sq_M/Months*Monthly!DH$40,0)</f>
        <v>-2727866.7048334475</v>
      </c>
      <c r="DI157" s="6">
        <f>IF(DI145&gt;Constr_End,-Expenses_per_RSM*Rentable_Sq_M/Months*Monthly!DI$40,0)</f>
        <v>-2733485.6636113599</v>
      </c>
    </row>
    <row r="158" spans="2:113" outlineLevel="1" x14ac:dyDescent="0.25">
      <c r="C158" s="60" t="s">
        <v>128</v>
      </c>
      <c r="D158" s="47" t="s">
        <v>107</v>
      </c>
      <c r="F158" s="6">
        <f t="shared" ref="F158:AK158" si="1931">IF(F145&gt;Constr_End,-F154*Prop_Mgmt_Fee_Pct,0)</f>
        <v>0</v>
      </c>
      <c r="G158" s="6">
        <f t="shared" si="1931"/>
        <v>0</v>
      </c>
      <c r="H158" s="6">
        <f t="shared" si="1931"/>
        <v>0</v>
      </c>
      <c r="I158" s="6">
        <f t="shared" si="1931"/>
        <v>0</v>
      </c>
      <c r="J158" s="6">
        <f t="shared" si="1931"/>
        <v>0</v>
      </c>
      <c r="K158" s="6">
        <f t="shared" si="1931"/>
        <v>0</v>
      </c>
      <c r="L158" s="6">
        <f t="shared" si="1931"/>
        <v>0</v>
      </c>
      <c r="M158" s="6">
        <f t="shared" si="1931"/>
        <v>0</v>
      </c>
      <c r="N158" s="6">
        <f t="shared" si="1931"/>
        <v>0</v>
      </c>
      <c r="O158" s="6">
        <f t="shared" si="1931"/>
        <v>0</v>
      </c>
      <c r="P158" s="6">
        <f t="shared" si="1931"/>
        <v>0</v>
      </c>
      <c r="Q158" s="6">
        <f t="shared" si="1931"/>
        <v>0</v>
      </c>
      <c r="R158" s="6">
        <f t="shared" si="1931"/>
        <v>0</v>
      </c>
      <c r="S158" s="6">
        <f t="shared" si="1931"/>
        <v>0</v>
      </c>
      <c r="T158" s="6">
        <f t="shared" si="1931"/>
        <v>0</v>
      </c>
      <c r="U158" s="6">
        <f t="shared" si="1931"/>
        <v>0</v>
      </c>
      <c r="V158" s="6">
        <f t="shared" si="1931"/>
        <v>0</v>
      </c>
      <c r="W158" s="6">
        <f t="shared" si="1931"/>
        <v>0</v>
      </c>
      <c r="X158" s="6">
        <f t="shared" si="1931"/>
        <v>0</v>
      </c>
      <c r="Y158" s="6">
        <f t="shared" si="1931"/>
        <v>0</v>
      </c>
      <c r="Z158" s="6">
        <f t="shared" si="1931"/>
        <v>0</v>
      </c>
      <c r="AA158" s="6">
        <f t="shared" si="1931"/>
        <v>0</v>
      </c>
      <c r="AB158" s="6">
        <f t="shared" si="1931"/>
        <v>0</v>
      </c>
      <c r="AC158" s="6">
        <f t="shared" si="1931"/>
        <v>0</v>
      </c>
      <c r="AD158" s="6">
        <f t="shared" si="1931"/>
        <v>0</v>
      </c>
      <c r="AE158" s="6">
        <f t="shared" si="1931"/>
        <v>0</v>
      </c>
      <c r="AF158" s="6">
        <f t="shared" si="1931"/>
        <v>0</v>
      </c>
      <c r="AG158" s="6">
        <f t="shared" si="1931"/>
        <v>0</v>
      </c>
      <c r="AH158" s="6">
        <f t="shared" si="1931"/>
        <v>0</v>
      </c>
      <c r="AI158" s="6">
        <f t="shared" si="1931"/>
        <v>0</v>
      </c>
      <c r="AJ158" s="6">
        <f t="shared" si="1931"/>
        <v>0</v>
      </c>
      <c r="AK158" s="6">
        <f t="shared" si="1931"/>
        <v>0</v>
      </c>
      <c r="AL158" s="6">
        <f t="shared" ref="AL158:BQ158" si="1932">IF(AL145&gt;Constr_End,-AL154*Prop_Mgmt_Fee_Pct,0)</f>
        <v>0</v>
      </c>
      <c r="AM158" s="6">
        <f t="shared" si="1932"/>
        <v>0</v>
      </c>
      <c r="AN158" s="6">
        <f t="shared" si="1932"/>
        <v>0</v>
      </c>
      <c r="AO158" s="6">
        <f t="shared" si="1932"/>
        <v>0</v>
      </c>
      <c r="AP158" s="6">
        <f t="shared" si="1932"/>
        <v>0</v>
      </c>
      <c r="AQ158" s="6">
        <f t="shared" si="1932"/>
        <v>0</v>
      </c>
      <c r="AR158" s="6">
        <f t="shared" si="1932"/>
        <v>0</v>
      </c>
      <c r="AS158" s="6">
        <f t="shared" si="1932"/>
        <v>0</v>
      </c>
      <c r="AT158" s="6">
        <f t="shared" si="1932"/>
        <v>0</v>
      </c>
      <c r="AU158" s="6">
        <f t="shared" si="1932"/>
        <v>0</v>
      </c>
      <c r="AV158" s="6">
        <f t="shared" si="1932"/>
        <v>0</v>
      </c>
      <c r="AW158" s="6">
        <f t="shared" si="1932"/>
        <v>0</v>
      </c>
      <c r="AX158" s="6">
        <f t="shared" si="1932"/>
        <v>0</v>
      </c>
      <c r="AY158" s="6">
        <f t="shared" si="1932"/>
        <v>0</v>
      </c>
      <c r="AZ158" s="6">
        <f t="shared" si="1932"/>
        <v>0</v>
      </c>
      <c r="BA158" s="6">
        <f t="shared" si="1932"/>
        <v>0</v>
      </c>
      <c r="BB158" s="6">
        <f t="shared" si="1932"/>
        <v>-50954.50574890602</v>
      </c>
      <c r="BC158" s="6">
        <f t="shared" si="1932"/>
        <v>-51049.074128719934</v>
      </c>
      <c r="BD158" s="6">
        <f t="shared" si="1932"/>
        <v>-51143.818021539591</v>
      </c>
      <c r="BE158" s="6">
        <f t="shared" si="1932"/>
        <v>-51238.737753106165</v>
      </c>
      <c r="BF158" s="6">
        <f t="shared" si="1932"/>
        <v>-51333.833649765395</v>
      </c>
      <c r="BG158" s="6">
        <f t="shared" si="1932"/>
        <v>-51429.106038468693</v>
      </c>
      <c r="BH158" s="6">
        <f t="shared" si="1932"/>
        <v>-134786.45450418929</v>
      </c>
      <c r="BI158" s="6">
        <f t="shared" si="1932"/>
        <v>-134882.08086026329</v>
      </c>
      <c r="BJ158" s="6">
        <f t="shared" si="1932"/>
        <v>-134977.88469288091</v>
      </c>
      <c r="BK158" s="6">
        <f t="shared" si="1932"/>
        <v>-197430.69762607687</v>
      </c>
      <c r="BL158" s="6">
        <f t="shared" si="1932"/>
        <v>-197526.85740054911</v>
      </c>
      <c r="BM158" s="6">
        <f t="shared" si="1932"/>
        <v>-197623.1956415562</v>
      </c>
      <c r="BN158" s="6">
        <f t="shared" si="1932"/>
        <v>-201006.73776236275</v>
      </c>
      <c r="BO158" s="6">
        <f t="shared" si="1932"/>
        <v>-201114.07909681677</v>
      </c>
      <c r="BP158" s="6">
        <f t="shared" si="1932"/>
        <v>-201221.64153684472</v>
      </c>
      <c r="BQ158" s="6">
        <f t="shared" si="1932"/>
        <v>-201329.42553788787</v>
      </c>
      <c r="BR158" s="6">
        <f t="shared" ref="BR158:CW158" si="1933">IF(BR145&gt;Constr_End,-BR154*Prop_Mgmt_Fee_Pct,0)</f>
        <v>-201437.43155632576</v>
      </c>
      <c r="BS158" s="6">
        <f t="shared" si="1933"/>
        <v>-201545.66004947777</v>
      </c>
      <c r="BT158" s="6">
        <f t="shared" si="1933"/>
        <v>-201654.11147560537</v>
      </c>
      <c r="BU158" s="6">
        <f t="shared" si="1933"/>
        <v>-201762.78629391405</v>
      </c>
      <c r="BV158" s="6">
        <f t="shared" si="1933"/>
        <v>-201871.68496455508</v>
      </c>
      <c r="BW158" s="6">
        <f t="shared" si="1933"/>
        <v>-201980.80794862768</v>
      </c>
      <c r="BX158" s="6">
        <f t="shared" si="1933"/>
        <v>-202090.15570818071</v>
      </c>
      <c r="BY158" s="6">
        <f t="shared" si="1933"/>
        <v>-202199.7287062149</v>
      </c>
      <c r="BZ158" s="6">
        <f t="shared" si="1933"/>
        <v>-205659.66832644804</v>
      </c>
      <c r="CA158" s="6">
        <f t="shared" si="1933"/>
        <v>-293758.04514181672</v>
      </c>
      <c r="CB158" s="6">
        <f t="shared" si="1933"/>
        <v>-293868.29664284538</v>
      </c>
      <c r="CC158" s="6">
        <f t="shared" si="1933"/>
        <v>-293978.77524391469</v>
      </c>
      <c r="CD158" s="6">
        <f t="shared" si="1933"/>
        <v>-294089.48141281347</v>
      </c>
      <c r="CE158" s="6">
        <f t="shared" si="1933"/>
        <v>-294200.41561829421</v>
      </c>
      <c r="CF158" s="6">
        <f t="shared" si="1933"/>
        <v>-294311.57833007514</v>
      </c>
      <c r="CG158" s="6">
        <f t="shared" si="1933"/>
        <v>-294422.97001884138</v>
      </c>
      <c r="CH158" s="6">
        <f t="shared" si="1933"/>
        <v>-294534.59115624847</v>
      </c>
      <c r="CI158" s="6">
        <f t="shared" si="1933"/>
        <v>-294646.44221492292</v>
      </c>
      <c r="CJ158" s="6">
        <f t="shared" si="1933"/>
        <v>-296738.26158728474</v>
      </c>
      <c r="CK158" s="6">
        <f t="shared" si="1933"/>
        <v>-296850.57391026977</v>
      </c>
      <c r="CL158" s="6">
        <f t="shared" si="1933"/>
        <v>-195345.30589036623</v>
      </c>
      <c r="CM158" s="6">
        <f t="shared" si="1933"/>
        <v>-195425.05427223456</v>
      </c>
      <c r="CN158" s="6">
        <f t="shared" si="1933"/>
        <v>-195504.96692271237</v>
      </c>
      <c r="CO158" s="6">
        <f t="shared" si="1933"/>
        <v>-195585.04418016592</v>
      </c>
      <c r="CP158" s="6">
        <f t="shared" si="1933"/>
        <v>-195665.28638365885</v>
      </c>
      <c r="CQ158" s="6">
        <f t="shared" si="1933"/>
        <v>-195745.69387295283</v>
      </c>
      <c r="CR158" s="6">
        <f t="shared" si="1933"/>
        <v>-195826.26698850965</v>
      </c>
      <c r="CS158" s="6">
        <f t="shared" si="1933"/>
        <v>-195907.00607149233</v>
      </c>
      <c r="CT158" s="6">
        <f t="shared" si="1933"/>
        <v>-241903.37588167458</v>
      </c>
      <c r="CU158" s="6">
        <f t="shared" si="1933"/>
        <v>-258318.00370420306</v>
      </c>
      <c r="CV158" s="6">
        <f t="shared" si="1933"/>
        <v>-260457.1692160769</v>
      </c>
      <c r="CW158" s="6">
        <f t="shared" si="1933"/>
        <v>-260572.28934713651</v>
      </c>
      <c r="CX158" s="6">
        <f t="shared" ref="CX158:DI158" si="1934">IF(CX145&gt;Constr_End,-CX154*Prop_Mgmt_Fee_Pct,0)</f>
        <v>-183549.6591822159</v>
      </c>
      <c r="CY158" s="6">
        <f t="shared" si="1934"/>
        <v>-183641.30940592359</v>
      </c>
      <c r="CZ158" s="6">
        <f t="shared" si="1934"/>
        <v>-183733.14841408632</v>
      </c>
      <c r="DA158" s="6">
        <f t="shared" si="1934"/>
        <v>-183825.17659556892</v>
      </c>
      <c r="DB158" s="6">
        <f t="shared" si="1934"/>
        <v>-183917.3943400376</v>
      </c>
      <c r="DC158" s="6">
        <f t="shared" si="1934"/>
        <v>-184009.8020379612</v>
      </c>
      <c r="DD158" s="6">
        <f t="shared" si="1934"/>
        <v>-184102.40008061245</v>
      </c>
      <c r="DE158" s="6">
        <f t="shared" si="1934"/>
        <v>-231139.92473494526</v>
      </c>
      <c r="DF158" s="6">
        <f t="shared" si="1934"/>
        <v>-266651.71181616629</v>
      </c>
      <c r="DG158" s="6">
        <f t="shared" si="1934"/>
        <v>-279760.32958491368</v>
      </c>
      <c r="DH158" s="6">
        <f t="shared" si="1934"/>
        <v>-281947.91352952935</v>
      </c>
      <c r="DI158" s="6">
        <f t="shared" si="1934"/>
        <v>-282065.9116638655</v>
      </c>
    </row>
    <row r="159" spans="2:113" outlineLevel="1" x14ac:dyDescent="0.25">
      <c r="C159" s="144" t="s">
        <v>129</v>
      </c>
      <c r="D159" s="130" t="s">
        <v>107</v>
      </c>
      <c r="E159" s="7"/>
      <c r="F159" s="26">
        <f>IF(F145&gt;Constr_End,-Reserves_per_RSM*Rentable_Sq_M/Months*Monthly!F$40,0)</f>
        <v>0</v>
      </c>
      <c r="G159" s="26">
        <f>IF(G145&gt;Constr_End,-Reserves_per_RSM*Rentable_Sq_M/Months*Monthly!G$40,0)</f>
        <v>0</v>
      </c>
      <c r="H159" s="26">
        <f>IF(H145&gt;Constr_End,-Reserves_per_RSM*Rentable_Sq_M/Months*Monthly!H$40,0)</f>
        <v>0</v>
      </c>
      <c r="I159" s="26">
        <f>IF(I145&gt;Constr_End,-Reserves_per_RSM*Rentable_Sq_M/Months*Monthly!I$40,0)</f>
        <v>0</v>
      </c>
      <c r="J159" s="26">
        <f>IF(J145&gt;Constr_End,-Reserves_per_RSM*Rentable_Sq_M/Months*Monthly!J$40,0)</f>
        <v>0</v>
      </c>
      <c r="K159" s="26">
        <f>IF(K145&gt;Constr_End,-Reserves_per_RSM*Rentable_Sq_M/Months*Monthly!K$40,0)</f>
        <v>0</v>
      </c>
      <c r="L159" s="26">
        <f>IF(L145&gt;Constr_End,-Reserves_per_RSM*Rentable_Sq_M/Months*Monthly!L$40,0)</f>
        <v>0</v>
      </c>
      <c r="M159" s="26">
        <f>IF(M145&gt;Constr_End,-Reserves_per_RSM*Rentable_Sq_M/Months*Monthly!M$40,0)</f>
        <v>0</v>
      </c>
      <c r="N159" s="26">
        <f>IF(N145&gt;Constr_End,-Reserves_per_RSM*Rentable_Sq_M/Months*Monthly!N$40,0)</f>
        <v>0</v>
      </c>
      <c r="O159" s="26">
        <f>IF(O145&gt;Constr_End,-Reserves_per_RSM*Rentable_Sq_M/Months*Monthly!O$40,0)</f>
        <v>0</v>
      </c>
      <c r="P159" s="26">
        <f>IF(P145&gt;Constr_End,-Reserves_per_RSM*Rentable_Sq_M/Months*Monthly!P$40,0)</f>
        <v>0</v>
      </c>
      <c r="Q159" s="26">
        <f>IF(Q145&gt;Constr_End,-Reserves_per_RSM*Rentable_Sq_M/Months*Monthly!Q$40,0)</f>
        <v>0</v>
      </c>
      <c r="R159" s="26">
        <f>IF(R145&gt;Constr_End,-Reserves_per_RSM*Rentable_Sq_M/Months*Monthly!R$40,0)</f>
        <v>0</v>
      </c>
      <c r="S159" s="26">
        <f>IF(S145&gt;Constr_End,-Reserves_per_RSM*Rentable_Sq_M/Months*Monthly!S$40,0)</f>
        <v>0</v>
      </c>
      <c r="T159" s="26">
        <f>IF(T145&gt;Constr_End,-Reserves_per_RSM*Rentable_Sq_M/Months*Monthly!T$40,0)</f>
        <v>0</v>
      </c>
      <c r="U159" s="26">
        <f>IF(U145&gt;Constr_End,-Reserves_per_RSM*Rentable_Sq_M/Months*Monthly!U$40,0)</f>
        <v>0</v>
      </c>
      <c r="V159" s="26">
        <f>IF(V145&gt;Constr_End,-Reserves_per_RSM*Rentable_Sq_M/Months*Monthly!V$40,0)</f>
        <v>0</v>
      </c>
      <c r="W159" s="26">
        <f>IF(W145&gt;Constr_End,-Reserves_per_RSM*Rentable_Sq_M/Months*Monthly!W$40,0)</f>
        <v>0</v>
      </c>
      <c r="X159" s="26">
        <f>IF(X145&gt;Constr_End,-Reserves_per_RSM*Rentable_Sq_M/Months*Monthly!X$40,0)</f>
        <v>0</v>
      </c>
      <c r="Y159" s="26">
        <f>IF(Y145&gt;Constr_End,-Reserves_per_RSM*Rentable_Sq_M/Months*Monthly!Y$40,0)</f>
        <v>0</v>
      </c>
      <c r="Z159" s="26">
        <f>IF(Z145&gt;Constr_End,-Reserves_per_RSM*Rentable_Sq_M/Months*Monthly!Z$40,0)</f>
        <v>0</v>
      </c>
      <c r="AA159" s="26">
        <f>IF(AA145&gt;Constr_End,-Reserves_per_RSM*Rentable_Sq_M/Months*Monthly!AA$40,0)</f>
        <v>0</v>
      </c>
      <c r="AB159" s="26">
        <f>IF(AB145&gt;Constr_End,-Reserves_per_RSM*Rentable_Sq_M/Months*Monthly!AB$40,0)</f>
        <v>0</v>
      </c>
      <c r="AC159" s="26">
        <f>IF(AC145&gt;Constr_End,-Reserves_per_RSM*Rentable_Sq_M/Months*Monthly!AC$40,0)</f>
        <v>0</v>
      </c>
      <c r="AD159" s="26">
        <f>IF(AD145&gt;Constr_End,-Reserves_per_RSM*Rentable_Sq_M/Months*Monthly!AD$40,0)</f>
        <v>0</v>
      </c>
      <c r="AE159" s="26">
        <f>IF(AE145&gt;Constr_End,-Reserves_per_RSM*Rentable_Sq_M/Months*Monthly!AE$40,0)</f>
        <v>0</v>
      </c>
      <c r="AF159" s="26">
        <f>IF(AF145&gt;Constr_End,-Reserves_per_RSM*Rentable_Sq_M/Months*Monthly!AF$40,0)</f>
        <v>0</v>
      </c>
      <c r="AG159" s="26">
        <f>IF(AG145&gt;Constr_End,-Reserves_per_RSM*Rentable_Sq_M/Months*Monthly!AG$40,0)</f>
        <v>0</v>
      </c>
      <c r="AH159" s="26">
        <f>IF(AH145&gt;Constr_End,-Reserves_per_RSM*Rentable_Sq_M/Months*Monthly!AH$40,0)</f>
        <v>0</v>
      </c>
      <c r="AI159" s="26">
        <f>IF(AI145&gt;Constr_End,-Reserves_per_RSM*Rentable_Sq_M/Months*Monthly!AI$40,0)</f>
        <v>0</v>
      </c>
      <c r="AJ159" s="26">
        <f>IF(AJ145&gt;Constr_End,-Reserves_per_RSM*Rentable_Sq_M/Months*Monthly!AJ$40,0)</f>
        <v>0</v>
      </c>
      <c r="AK159" s="26">
        <f>IF(AK145&gt;Constr_End,-Reserves_per_RSM*Rentable_Sq_M/Months*Monthly!AK$40,0)</f>
        <v>0</v>
      </c>
      <c r="AL159" s="26">
        <f>IF(AL145&gt;Constr_End,-Reserves_per_RSM*Rentable_Sq_M/Months*Monthly!AL$40,0)</f>
        <v>0</v>
      </c>
      <c r="AM159" s="26">
        <f>IF(AM145&gt;Constr_End,-Reserves_per_RSM*Rentable_Sq_M/Months*Monthly!AM$40,0)</f>
        <v>0</v>
      </c>
      <c r="AN159" s="26">
        <f>IF(AN145&gt;Constr_End,-Reserves_per_RSM*Rentable_Sq_M/Months*Monthly!AN$40,0)</f>
        <v>0</v>
      </c>
      <c r="AO159" s="26">
        <f>IF(AO145&gt;Constr_End,-Reserves_per_RSM*Rentable_Sq_M/Months*Monthly!AO$40,0)</f>
        <v>0</v>
      </c>
      <c r="AP159" s="26">
        <f>IF(AP145&gt;Constr_End,-Reserves_per_RSM*Rentable_Sq_M/Months*Monthly!AP$40,0)</f>
        <v>0</v>
      </c>
      <c r="AQ159" s="26">
        <f>IF(AQ145&gt;Constr_End,-Reserves_per_RSM*Rentable_Sq_M/Months*Monthly!AQ$40,0)</f>
        <v>0</v>
      </c>
      <c r="AR159" s="26">
        <f>IF(AR145&gt;Constr_End,-Reserves_per_RSM*Rentable_Sq_M/Months*Monthly!AR$40,0)</f>
        <v>0</v>
      </c>
      <c r="AS159" s="26">
        <f>IF(AS145&gt;Constr_End,-Reserves_per_RSM*Rentable_Sq_M/Months*Monthly!AS$40,0)</f>
        <v>0</v>
      </c>
      <c r="AT159" s="26">
        <f>IF(AT145&gt;Constr_End,-Reserves_per_RSM*Rentable_Sq_M/Months*Monthly!AT$40,0)</f>
        <v>0</v>
      </c>
      <c r="AU159" s="26">
        <f>IF(AU145&gt;Constr_End,-Reserves_per_RSM*Rentable_Sq_M/Months*Monthly!AU$40,0)</f>
        <v>0</v>
      </c>
      <c r="AV159" s="26">
        <f>IF(AV145&gt;Constr_End,-Reserves_per_RSM*Rentable_Sq_M/Months*Monthly!AV$40,0)</f>
        <v>0</v>
      </c>
      <c r="AW159" s="26">
        <f>IF(AW145&gt;Constr_End,-Reserves_per_RSM*Rentable_Sq_M/Months*Monthly!AW$40,0)</f>
        <v>0</v>
      </c>
      <c r="AX159" s="26">
        <f>IF(AX145&gt;Constr_End,-Reserves_per_RSM*Rentable_Sq_M/Months*Monthly!AX$40,0)</f>
        <v>0</v>
      </c>
      <c r="AY159" s="26">
        <f>IF(AY145&gt;Constr_End,-Reserves_per_RSM*Rentable_Sq_M/Months*Monthly!AY$40,0)</f>
        <v>0</v>
      </c>
      <c r="AZ159" s="26">
        <f>IF(AZ145&gt;Constr_End,-Reserves_per_RSM*Rentable_Sq_M/Months*Monthly!AZ$40,0)</f>
        <v>0</v>
      </c>
      <c r="BA159" s="26">
        <f>IF(BA145&gt;Constr_End,-Reserves_per_RSM*Rentable_Sq_M/Months*Monthly!BA$40,0)</f>
        <v>0</v>
      </c>
      <c r="BB159" s="26">
        <f>IF(BB145&gt;Constr_End,-Reserves_per_RSM*Rentable_Sq_M/Months*Monthly!BB$40,0)</f>
        <v>-151650.31472888697</v>
      </c>
      <c r="BC159" s="26">
        <f>IF(BC145&gt;Constr_End,-Reserves_per_RSM*Rentable_Sq_M/Months*Monthly!BC$40,0)</f>
        <v>-151931.76824023787</v>
      </c>
      <c r="BD159" s="26">
        <f>IF(BD145&gt;Constr_End,-Reserves_per_RSM*Rentable_Sq_M/Months*Monthly!BD$40,0)</f>
        <v>-152213.74411172493</v>
      </c>
      <c r="BE159" s="26">
        <f>IF(BE145&gt;Constr_End,-Reserves_per_RSM*Rentable_Sq_M/Months*Monthly!BE$40,0)</f>
        <v>-152496.24331281593</v>
      </c>
      <c r="BF159" s="26">
        <f>IF(BF145&gt;Constr_End,-Reserves_per_RSM*Rentable_Sq_M/Months*Monthly!BF$40,0)</f>
        <v>-152779.26681477795</v>
      </c>
      <c r="BG159" s="26">
        <f>IF(BG145&gt;Constr_End,-Reserves_per_RSM*Rentable_Sq_M/Months*Monthly!BG$40,0)</f>
        <v>-153062.81559068064</v>
      </c>
      <c r="BH159" s="26">
        <f>IF(BH145&gt;Constr_End,-Reserves_per_RSM*Rentable_Sq_M/Months*Monthly!BH$40,0)</f>
        <v>-153346.89061539964</v>
      </c>
      <c r="BI159" s="26">
        <f>IF(BI145&gt;Constr_End,-Reserves_per_RSM*Rentable_Sq_M/Months*Monthly!BI$40,0)</f>
        <v>-153631.49286561986</v>
      </c>
      <c r="BJ159" s="26">
        <f>IF(BJ145&gt;Constr_End,-Reserves_per_RSM*Rentable_Sq_M/Months*Monthly!BJ$40,0)</f>
        <v>-153916.62331983892</v>
      </c>
      <c r="BK159" s="26">
        <f>IF(BK145&gt;Constr_End,-Reserves_per_RSM*Rentable_Sq_M/Months*Monthly!BK$40,0)</f>
        <v>-154202.2829583704</v>
      </c>
      <c r="BL159" s="26">
        <f>IF(BL145&gt;Constr_End,-Reserves_per_RSM*Rentable_Sq_M/Months*Monthly!BL$40,0)</f>
        <v>-154488.47276334738</v>
      </c>
      <c r="BM159" s="26">
        <f>IF(BM145&gt;Constr_End,-Reserves_per_RSM*Rentable_Sq_M/Months*Monthly!BM$40,0)</f>
        <v>-154775.19371872564</v>
      </c>
      <c r="BN159" s="26">
        <f>IF(BN145&gt;Constr_End,-Reserves_per_RSM*Rentable_Sq_M/Months*Monthly!BN$40,0)</f>
        <v>-155094.0052764194</v>
      </c>
      <c r="BO159" s="26">
        <f>IF(BO145&gt;Constr_End,-Reserves_per_RSM*Rentable_Sq_M/Months*Monthly!BO$40,0)</f>
        <v>-155413.47353372295</v>
      </c>
      <c r="BP159" s="26">
        <f>IF(BP145&gt;Constr_End,-Reserves_per_RSM*Rentable_Sq_M/Months*Monthly!BP$40,0)</f>
        <v>-155733.59984332995</v>
      </c>
      <c r="BQ159" s="26">
        <f>IF(BQ145&gt;Constr_End,-Reserves_per_RSM*Rentable_Sq_M/Months*Monthly!BQ$40,0)</f>
        <v>-156054.3855607204</v>
      </c>
      <c r="BR159" s="26">
        <f>IF(BR145&gt;Constr_End,-Reserves_per_RSM*Rentable_Sq_M/Months*Monthly!BR$40,0)</f>
        <v>-156375.83204416643</v>
      </c>
      <c r="BS159" s="26">
        <f>IF(BS145&gt;Constr_End,-Reserves_per_RSM*Rentable_Sq_M/Months*Monthly!BS$40,0)</f>
        <v>-156697.94065473782</v>
      </c>
      <c r="BT159" s="26">
        <f>IF(BT145&gt;Constr_End,-Reserves_per_RSM*Rentable_Sq_M/Months*Monthly!BT$40,0)</f>
        <v>-157020.71275630812</v>
      </c>
      <c r="BU159" s="26">
        <f>IF(BU145&gt;Constr_End,-Reserves_per_RSM*Rentable_Sq_M/Months*Monthly!BU$40,0)</f>
        <v>-157344.14971556011</v>
      </c>
      <c r="BV159" s="26">
        <f>IF(BV145&gt;Constr_End,-Reserves_per_RSM*Rentable_Sq_M/Months*Monthly!BV$40,0)</f>
        <v>-157668.2529019918</v>
      </c>
      <c r="BW159" s="26">
        <f>IF(BW145&gt;Constr_End,-Reserves_per_RSM*Rentable_Sq_M/Months*Monthly!BW$40,0)</f>
        <v>-157993.02368792208</v>
      </c>
      <c r="BX159" s="26">
        <f>IF(BX145&gt;Constr_End,-Reserves_per_RSM*Rentable_Sq_M/Months*Monthly!BX$40,0)</f>
        <v>-158318.46344849656</v>
      </c>
      <c r="BY159" s="26">
        <f>IF(BY145&gt;Constr_End,-Reserves_per_RSM*Rentable_Sq_M/Months*Monthly!BY$40,0)</f>
        <v>-158644.57356169357</v>
      </c>
      <c r="BZ159" s="26">
        <f>IF(BZ145&gt;Constr_End,-Reserves_per_RSM*Rentable_Sq_M/Months*Monthly!BZ$40,0)</f>
        <v>-158971.35540832966</v>
      </c>
      <c r="CA159" s="26">
        <f>IF(CA145&gt;Constr_End,-Reserves_per_RSM*Rentable_Sq_M/Months*Monthly!CA$40,0)</f>
        <v>-159298.81037206581</v>
      </c>
      <c r="CB159" s="26">
        <f>IF(CB145&gt;Constr_End,-Reserves_per_RSM*Rentable_Sq_M/Months*Monthly!CB$40,0)</f>
        <v>-159626.93983941301</v>
      </c>
      <c r="CC159" s="26">
        <f>IF(CC145&gt;Constr_End,-Reserves_per_RSM*Rentable_Sq_M/Months*Monthly!CC$40,0)</f>
        <v>-159955.74519973824</v>
      </c>
      <c r="CD159" s="26">
        <f>IF(CD145&gt;Constr_End,-Reserves_per_RSM*Rentable_Sq_M/Months*Monthly!CD$40,0)</f>
        <v>-160285.22784527039</v>
      </c>
      <c r="CE159" s="26">
        <f>IF(CE145&gt;Constr_End,-Reserves_per_RSM*Rentable_Sq_M/Months*Monthly!CE$40,0)</f>
        <v>-160615.38917110607</v>
      </c>
      <c r="CF159" s="26">
        <f>IF(CF145&gt;Constr_End,-Reserves_per_RSM*Rentable_Sq_M/Months*Monthly!CF$40,0)</f>
        <v>-160946.23057521565</v>
      </c>
      <c r="CG159" s="26">
        <f>IF(CG145&gt;Constr_End,-Reserves_per_RSM*Rentable_Sq_M/Months*Monthly!CG$40,0)</f>
        <v>-161277.75345844895</v>
      </c>
      <c r="CH159" s="26">
        <f>IF(CH145&gt;Constr_End,-Reserves_per_RSM*Rentable_Sq_M/Months*Monthly!CH$40,0)</f>
        <v>-161609.95922454144</v>
      </c>
      <c r="CI159" s="26">
        <f>IF(CI145&gt;Constr_End,-Reserves_per_RSM*Rentable_Sq_M/Months*Monthly!CI$40,0)</f>
        <v>-161942.84928011993</v>
      </c>
      <c r="CJ159" s="26">
        <f>IF(CJ145&gt;Constr_End,-Reserves_per_RSM*Rentable_Sq_M/Months*Monthly!CJ$40,0)</f>
        <v>-162276.42503470881</v>
      </c>
      <c r="CK159" s="26">
        <f>IF(CK145&gt;Constr_End,-Reserves_per_RSM*Rentable_Sq_M/Months*Monthly!CK$40,0)</f>
        <v>-162610.68790073573</v>
      </c>
      <c r="CL159" s="26">
        <f>IF(CL145&gt;Constr_End,-Reserves_per_RSM*Rentable_Sq_M/Months*Monthly!CL$40,0)</f>
        <v>-162945.63929353771</v>
      </c>
      <c r="CM159" s="26">
        <f>IF(CM145&gt;Constr_End,-Reserves_per_RSM*Rentable_Sq_M/Months*Monthly!CM$40,0)</f>
        <v>-163281.28063136726</v>
      </c>
      <c r="CN159" s="26">
        <f>IF(CN145&gt;Constr_End,-Reserves_per_RSM*Rentable_Sq_M/Months*Monthly!CN$40,0)</f>
        <v>-163617.61333539811</v>
      </c>
      <c r="CO159" s="26">
        <f>IF(CO145&gt;Constr_End,-Reserves_per_RSM*Rentable_Sq_M/Months*Monthly!CO$40,0)</f>
        <v>-163954.63882973147</v>
      </c>
      <c r="CP159" s="26">
        <f>IF(CP145&gt;Constr_End,-Reserves_per_RSM*Rentable_Sq_M/Months*Monthly!CP$40,0)</f>
        <v>-164292.35854140192</v>
      </c>
      <c r="CQ159" s="26">
        <f>IF(CQ145&gt;Constr_End,-Reserves_per_RSM*Rentable_Sq_M/Months*Monthly!CQ$40,0)</f>
        <v>-164630.77390038353</v>
      </c>
      <c r="CR159" s="26">
        <f>IF(CR145&gt;Constr_End,-Reserves_per_RSM*Rentable_Sq_M/Months*Monthly!CR$40,0)</f>
        <v>-164969.88633959583</v>
      </c>
      <c r="CS159" s="26">
        <f>IF(CS145&gt;Constr_End,-Reserves_per_RSM*Rentable_Sq_M/Months*Monthly!CS$40,0)</f>
        <v>-165309.69729490997</v>
      </c>
      <c r="CT159" s="26">
        <f>IF(CT145&gt;Constr_End,-Reserves_per_RSM*Rentable_Sq_M/Months*Monthly!CT$40,0)</f>
        <v>-165650.20820515475</v>
      </c>
      <c r="CU159" s="26">
        <f>IF(CU145&gt;Constr_End,-Reserves_per_RSM*Rentable_Sq_M/Months*Monthly!CU$40,0)</f>
        <v>-165991.42051212274</v>
      </c>
      <c r="CV159" s="26">
        <f>IF(CV145&gt;Constr_End,-Reserves_per_RSM*Rentable_Sq_M/Months*Monthly!CV$40,0)</f>
        <v>-166333.33566057633</v>
      </c>
      <c r="CW159" s="26">
        <f>IF(CW145&gt;Constr_End,-Reserves_per_RSM*Rentable_Sq_M/Months*Monthly!CW$40,0)</f>
        <v>-166675.95509825388</v>
      </c>
      <c r="CX159" s="26">
        <f>IF(CX145&gt;Constr_End,-Reserves_per_RSM*Rentable_Sq_M/Months*Monthly!CX$40,0)</f>
        <v>-167019.28027587596</v>
      </c>
      <c r="CY159" s="26">
        <f>IF(CY145&gt;Constr_End,-Reserves_per_RSM*Rentable_Sq_M/Months*Monthly!CY$40,0)</f>
        <v>-167363.31264715124</v>
      </c>
      <c r="CZ159" s="26">
        <f>IF(CZ145&gt;Constr_End,-Reserves_per_RSM*Rentable_Sq_M/Months*Monthly!CZ$40,0)</f>
        <v>-167708.05366878287</v>
      </c>
      <c r="DA159" s="26">
        <f>IF(DA145&gt;Constr_End,-Reserves_per_RSM*Rentable_Sq_M/Months*Monthly!DA$40,0)</f>
        <v>-168053.50480047456</v>
      </c>
      <c r="DB159" s="26">
        <f>IF(DB145&gt;Constr_End,-Reserves_per_RSM*Rentable_Sq_M/Months*Monthly!DB$40,0)</f>
        <v>-168399.66750493675</v>
      </c>
      <c r="DC159" s="26">
        <f>IF(DC145&gt;Constr_End,-Reserves_per_RSM*Rentable_Sq_M/Months*Monthly!DC$40,0)</f>
        <v>-168746.5432478929</v>
      </c>
      <c r="DD159" s="26">
        <f>IF(DD145&gt;Constr_End,-Reserves_per_RSM*Rentable_Sq_M/Months*Monthly!DD$40,0)</f>
        <v>-169094.13349808549</v>
      </c>
      <c r="DE159" s="26">
        <f>IF(DE145&gt;Constr_End,-Reserves_per_RSM*Rentable_Sq_M/Months*Monthly!DE$40,0)</f>
        <v>-169442.43972728247</v>
      </c>
      <c r="DF159" s="26">
        <f>IF(DF145&gt;Constr_End,-Reserves_per_RSM*Rentable_Sq_M/Months*Monthly!DF$40,0)</f>
        <v>-169791.46341028335</v>
      </c>
      <c r="DG159" s="26">
        <f>IF(DG145&gt;Constr_End,-Reserves_per_RSM*Rentable_Sq_M/Months*Monthly!DG$40,0)</f>
        <v>-170141.20602492554</v>
      </c>
      <c r="DH159" s="26">
        <f>IF(DH145&gt;Constr_End,-Reserves_per_RSM*Rentable_Sq_M/Months*Monthly!DH$40,0)</f>
        <v>-170491.66905209047</v>
      </c>
      <c r="DI159" s="26">
        <f>IF(DI145&gt;Constr_End,-Reserves_per_RSM*Rentable_Sq_M/Months*Monthly!DI$40,0)</f>
        <v>-170842.85397570999</v>
      </c>
    </row>
    <row r="160" spans="2:113" outlineLevel="1" x14ac:dyDescent="0.25">
      <c r="C160" s="106" t="s">
        <v>17</v>
      </c>
      <c r="D160" s="47" t="s">
        <v>107</v>
      </c>
      <c r="F160" s="30">
        <f>SUM(F157:F159)</f>
        <v>0</v>
      </c>
      <c r="G160" s="30">
        <f t="shared" ref="G160:BR160" si="1935">SUM(G157:G159)</f>
        <v>0</v>
      </c>
      <c r="H160" s="30">
        <f t="shared" si="1935"/>
        <v>0</v>
      </c>
      <c r="I160" s="30">
        <f t="shared" si="1935"/>
        <v>0</v>
      </c>
      <c r="J160" s="30">
        <f t="shared" si="1935"/>
        <v>0</v>
      </c>
      <c r="K160" s="30">
        <f t="shared" si="1935"/>
        <v>0</v>
      </c>
      <c r="L160" s="30">
        <f t="shared" si="1935"/>
        <v>0</v>
      </c>
      <c r="M160" s="30">
        <f t="shared" si="1935"/>
        <v>0</v>
      </c>
      <c r="N160" s="30">
        <f t="shared" si="1935"/>
        <v>0</v>
      </c>
      <c r="O160" s="30">
        <f t="shared" si="1935"/>
        <v>0</v>
      </c>
      <c r="P160" s="30">
        <f t="shared" si="1935"/>
        <v>0</v>
      </c>
      <c r="Q160" s="30">
        <f t="shared" si="1935"/>
        <v>0</v>
      </c>
      <c r="R160" s="30">
        <f t="shared" si="1935"/>
        <v>0</v>
      </c>
      <c r="S160" s="30">
        <f t="shared" si="1935"/>
        <v>0</v>
      </c>
      <c r="T160" s="30">
        <f t="shared" si="1935"/>
        <v>0</v>
      </c>
      <c r="U160" s="30">
        <f t="shared" si="1935"/>
        <v>0</v>
      </c>
      <c r="V160" s="30">
        <f t="shared" si="1935"/>
        <v>0</v>
      </c>
      <c r="W160" s="30">
        <f t="shared" si="1935"/>
        <v>0</v>
      </c>
      <c r="X160" s="30">
        <f t="shared" si="1935"/>
        <v>0</v>
      </c>
      <c r="Y160" s="30">
        <f t="shared" si="1935"/>
        <v>0</v>
      </c>
      <c r="Z160" s="30">
        <f t="shared" si="1935"/>
        <v>0</v>
      </c>
      <c r="AA160" s="30">
        <f t="shared" si="1935"/>
        <v>0</v>
      </c>
      <c r="AB160" s="30">
        <f t="shared" si="1935"/>
        <v>0</v>
      </c>
      <c r="AC160" s="30">
        <f t="shared" si="1935"/>
        <v>0</v>
      </c>
      <c r="AD160" s="30">
        <f t="shared" si="1935"/>
        <v>0</v>
      </c>
      <c r="AE160" s="30">
        <f t="shared" si="1935"/>
        <v>0</v>
      </c>
      <c r="AF160" s="30">
        <f t="shared" si="1935"/>
        <v>0</v>
      </c>
      <c r="AG160" s="30">
        <f t="shared" si="1935"/>
        <v>0</v>
      </c>
      <c r="AH160" s="30">
        <f t="shared" si="1935"/>
        <v>0</v>
      </c>
      <c r="AI160" s="30">
        <f t="shared" si="1935"/>
        <v>0</v>
      </c>
      <c r="AJ160" s="30">
        <f t="shared" si="1935"/>
        <v>0</v>
      </c>
      <c r="AK160" s="30">
        <f t="shared" si="1935"/>
        <v>0</v>
      </c>
      <c r="AL160" s="30">
        <f t="shared" si="1935"/>
        <v>0</v>
      </c>
      <c r="AM160" s="30">
        <f t="shared" si="1935"/>
        <v>0</v>
      </c>
      <c r="AN160" s="30">
        <f t="shared" si="1935"/>
        <v>0</v>
      </c>
      <c r="AO160" s="30">
        <f t="shared" si="1935"/>
        <v>0</v>
      </c>
      <c r="AP160" s="30">
        <f t="shared" si="1935"/>
        <v>0</v>
      </c>
      <c r="AQ160" s="30">
        <f t="shared" si="1935"/>
        <v>0</v>
      </c>
      <c r="AR160" s="30">
        <f t="shared" si="1935"/>
        <v>0</v>
      </c>
      <c r="AS160" s="30">
        <f t="shared" si="1935"/>
        <v>0</v>
      </c>
      <c r="AT160" s="30">
        <f t="shared" si="1935"/>
        <v>0</v>
      </c>
      <c r="AU160" s="30">
        <f t="shared" si="1935"/>
        <v>0</v>
      </c>
      <c r="AV160" s="30">
        <f t="shared" si="1935"/>
        <v>0</v>
      </c>
      <c r="AW160" s="30">
        <f t="shared" si="1935"/>
        <v>0</v>
      </c>
      <c r="AX160" s="30">
        <f t="shared" si="1935"/>
        <v>0</v>
      </c>
      <c r="AY160" s="30">
        <f t="shared" si="1935"/>
        <v>0</v>
      </c>
      <c r="AZ160" s="30">
        <f t="shared" si="1935"/>
        <v>0</v>
      </c>
      <c r="BA160" s="30">
        <f t="shared" si="1935"/>
        <v>0</v>
      </c>
      <c r="BB160" s="30">
        <f t="shared" si="1935"/>
        <v>-2629009.8561399844</v>
      </c>
      <c r="BC160" s="30">
        <f t="shared" si="1935"/>
        <v>-2633889.134212764</v>
      </c>
      <c r="BD160" s="30">
        <f t="shared" si="1935"/>
        <v>-2638777.4679208635</v>
      </c>
      <c r="BE160" s="30">
        <f t="shared" si="1935"/>
        <v>-2643674.8740709773</v>
      </c>
      <c r="BF160" s="30">
        <f t="shared" si="1935"/>
        <v>-2648581.3695009905</v>
      </c>
      <c r="BG160" s="30">
        <f t="shared" si="1935"/>
        <v>-2653496.9710800396</v>
      </c>
      <c r="BH160" s="30">
        <f t="shared" si="1935"/>
        <v>-2741683.5949659827</v>
      </c>
      <c r="BI160" s="30">
        <f t="shared" si="1935"/>
        <v>-2746617.4595758007</v>
      </c>
      <c r="BJ160" s="30">
        <f t="shared" si="1935"/>
        <v>-2751560.4811301427</v>
      </c>
      <c r="BK160" s="30">
        <f t="shared" si="1935"/>
        <v>-2818869.5079183737</v>
      </c>
      <c r="BL160" s="30">
        <f t="shared" si="1935"/>
        <v>-2823830.8943774546</v>
      </c>
      <c r="BM160" s="30">
        <f t="shared" si="1935"/>
        <v>-2828801.4888598924</v>
      </c>
      <c r="BN160" s="30">
        <f t="shared" si="1935"/>
        <v>-2837604.8274614923</v>
      </c>
      <c r="BO160" s="30">
        <f t="shared" si="1935"/>
        <v>-2843143.1291701072</v>
      </c>
      <c r="BP160" s="30">
        <f t="shared" si="1935"/>
        <v>-2848692.8388734539</v>
      </c>
      <c r="BQ160" s="30">
        <f t="shared" si="1935"/>
        <v>-2854253.9800701346</v>
      </c>
      <c r="BR160" s="30">
        <f t="shared" si="1935"/>
        <v>-2859826.5763071552</v>
      </c>
      <c r="BS160" s="30">
        <f t="shared" ref="BS160:DI160" si="1936">SUM(BS157:BS159)</f>
        <v>-2865410.6511800205</v>
      </c>
      <c r="BT160" s="30">
        <f t="shared" si="1936"/>
        <v>-2871006.2283328436</v>
      </c>
      <c r="BU160" s="30">
        <f t="shared" si="1936"/>
        <v>-2876613.3314584359</v>
      </c>
      <c r="BV160" s="30">
        <f t="shared" si="1936"/>
        <v>-2882231.9842984155</v>
      </c>
      <c r="BW160" s="30">
        <f t="shared" si="1936"/>
        <v>-2887862.2106433026</v>
      </c>
      <c r="BX160" s="30">
        <f t="shared" si="1936"/>
        <v>-2893504.0343326223</v>
      </c>
      <c r="BY160" s="30">
        <f t="shared" si="1936"/>
        <v>-2899157.4792550057</v>
      </c>
      <c r="BZ160" s="30">
        <f t="shared" si="1936"/>
        <v>-2908172.7102680523</v>
      </c>
      <c r="CA160" s="30">
        <f t="shared" si="1936"/>
        <v>-3001837.8214669353</v>
      </c>
      <c r="CB160" s="30">
        <f t="shared" si="1936"/>
        <v>-3007526.2739128666</v>
      </c>
      <c r="CC160" s="30">
        <f t="shared" si="1936"/>
        <v>-3013226.4436394647</v>
      </c>
      <c r="CD160" s="30">
        <f t="shared" si="1936"/>
        <v>-3018938.35478241</v>
      </c>
      <c r="CE160" s="30">
        <f t="shared" si="1936"/>
        <v>-3024662.0315270978</v>
      </c>
      <c r="CF160" s="30">
        <f t="shared" si="1936"/>
        <v>-3030397.4981087414</v>
      </c>
      <c r="CG160" s="30">
        <f t="shared" si="1936"/>
        <v>-3036144.7788124736</v>
      </c>
      <c r="CH160" s="30">
        <f t="shared" si="1936"/>
        <v>-3041903.8979734527</v>
      </c>
      <c r="CI160" s="30">
        <f t="shared" si="1936"/>
        <v>-3047674.8799769618</v>
      </c>
      <c r="CJ160" s="30">
        <f t="shared" si="1936"/>
        <v>-3055437.4871773343</v>
      </c>
      <c r="CK160" s="30">
        <f t="shared" si="1936"/>
        <v>-3061232.2682227772</v>
      </c>
      <c r="CL160" s="30">
        <f t="shared" si="1936"/>
        <v>-2965421.1738805072</v>
      </c>
      <c r="CM160" s="30">
        <f t="shared" si="1936"/>
        <v>-2971206.8250054778</v>
      </c>
      <c r="CN160" s="30">
        <f t="shared" si="1936"/>
        <v>-2977004.3936244803</v>
      </c>
      <c r="CO160" s="30">
        <f t="shared" si="1936"/>
        <v>-2982813.9042856009</v>
      </c>
      <c r="CP160" s="30">
        <f t="shared" si="1936"/>
        <v>-2988635.3815874914</v>
      </c>
      <c r="CQ160" s="30">
        <f t="shared" si="1936"/>
        <v>-2994468.8501794729</v>
      </c>
      <c r="CR160" s="30">
        <f t="shared" si="1936"/>
        <v>-3000314.3347616391</v>
      </c>
      <c r="CS160" s="30">
        <f t="shared" si="1936"/>
        <v>-3006171.8600849616</v>
      </c>
      <c r="CT160" s="30">
        <f t="shared" si="1936"/>
        <v>-3057956.9153693053</v>
      </c>
      <c r="CU160" s="30">
        <f t="shared" si="1936"/>
        <v>-3080172.1524102897</v>
      </c>
      <c r="CV160" s="30">
        <f t="shared" si="1936"/>
        <v>-3088123.8754458744</v>
      </c>
      <c r="CW160" s="30">
        <f t="shared" si="1936"/>
        <v>-3094063.5260174521</v>
      </c>
      <c r="CX160" s="30">
        <f t="shared" si="1936"/>
        <v>-3022877.4238721076</v>
      </c>
      <c r="CY160" s="30">
        <f t="shared" si="1936"/>
        <v>-3028817.6244074949</v>
      </c>
      <c r="CZ160" s="30">
        <f t="shared" si="1936"/>
        <v>-3034770.0607833955</v>
      </c>
      <c r="DA160" s="30">
        <f t="shared" si="1936"/>
        <v>-3040734.7582036369</v>
      </c>
      <c r="DB160" s="30">
        <f t="shared" si="1936"/>
        <v>-3046711.7419239623</v>
      </c>
      <c r="DC160" s="30">
        <f t="shared" si="1936"/>
        <v>-3052701.0372521407</v>
      </c>
      <c r="DD160" s="30">
        <f t="shared" si="1936"/>
        <v>-3058702.6695480659</v>
      </c>
      <c r="DE160" s="30">
        <f t="shared" si="1936"/>
        <v>-3111661.4000987476</v>
      </c>
      <c r="DF160" s="30">
        <f t="shared" si="1936"/>
        <v>-3153106.5897909831</v>
      </c>
      <c r="DG160" s="30">
        <f t="shared" si="1936"/>
        <v>-3172160.8320086482</v>
      </c>
      <c r="DH160" s="30">
        <f t="shared" si="1936"/>
        <v>-3180306.2874150672</v>
      </c>
      <c r="DI160" s="30">
        <f t="shared" si="1936"/>
        <v>-3186394.4292509356</v>
      </c>
    </row>
    <row r="161" spans="3:113" outlineLevel="1" x14ac:dyDescent="0.25">
      <c r="C161" s="103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  <c r="BX161" s="6"/>
      <c r="BY161" s="6"/>
      <c r="BZ161" s="6"/>
      <c r="CA161" s="6"/>
      <c r="CB161" s="6"/>
      <c r="CC161" s="6"/>
      <c r="CD161" s="6"/>
      <c r="CE161" s="6"/>
      <c r="CF161" s="6"/>
      <c r="CG161" s="6"/>
      <c r="CH161" s="6"/>
      <c r="CI161" s="6"/>
      <c r="CJ161" s="6"/>
      <c r="CK161" s="6"/>
      <c r="CL161" s="6"/>
      <c r="CM161" s="6"/>
      <c r="CN161" s="6"/>
      <c r="CO161" s="6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</row>
    <row r="162" spans="3:113" outlineLevel="1" x14ac:dyDescent="0.25">
      <c r="C162" s="104" t="s">
        <v>18</v>
      </c>
      <c r="D162" s="47" t="s">
        <v>107</v>
      </c>
      <c r="F162" s="30">
        <f>+F154+F160</f>
        <v>0</v>
      </c>
      <c r="G162" s="30">
        <f t="shared" ref="G162:BR162" si="1937">+G154+G160</f>
        <v>0</v>
      </c>
      <c r="H162" s="30">
        <f t="shared" si="1937"/>
        <v>0</v>
      </c>
      <c r="I162" s="30">
        <f t="shared" si="1937"/>
        <v>0</v>
      </c>
      <c r="J162" s="30">
        <f t="shared" si="1937"/>
        <v>0</v>
      </c>
      <c r="K162" s="30">
        <f t="shared" si="1937"/>
        <v>0</v>
      </c>
      <c r="L162" s="30">
        <f t="shared" si="1937"/>
        <v>0</v>
      </c>
      <c r="M162" s="30">
        <f t="shared" si="1937"/>
        <v>0</v>
      </c>
      <c r="N162" s="30">
        <f t="shared" si="1937"/>
        <v>0</v>
      </c>
      <c r="O162" s="30">
        <f t="shared" si="1937"/>
        <v>0</v>
      </c>
      <c r="P162" s="30">
        <f t="shared" si="1937"/>
        <v>0</v>
      </c>
      <c r="Q162" s="30">
        <f t="shared" si="1937"/>
        <v>0</v>
      </c>
      <c r="R162" s="30">
        <f t="shared" si="1937"/>
        <v>0</v>
      </c>
      <c r="S162" s="30">
        <f t="shared" si="1937"/>
        <v>0</v>
      </c>
      <c r="T162" s="30">
        <f t="shared" si="1937"/>
        <v>0</v>
      </c>
      <c r="U162" s="30">
        <f t="shared" si="1937"/>
        <v>0</v>
      </c>
      <c r="V162" s="30">
        <f t="shared" si="1937"/>
        <v>0</v>
      </c>
      <c r="W162" s="30">
        <f t="shared" si="1937"/>
        <v>0</v>
      </c>
      <c r="X162" s="30">
        <f t="shared" si="1937"/>
        <v>0</v>
      </c>
      <c r="Y162" s="30">
        <f t="shared" si="1937"/>
        <v>0</v>
      </c>
      <c r="Z162" s="30">
        <f t="shared" si="1937"/>
        <v>0</v>
      </c>
      <c r="AA162" s="30">
        <f t="shared" si="1937"/>
        <v>0</v>
      </c>
      <c r="AB162" s="30">
        <f t="shared" si="1937"/>
        <v>0</v>
      </c>
      <c r="AC162" s="30">
        <f t="shared" si="1937"/>
        <v>0</v>
      </c>
      <c r="AD162" s="30">
        <f t="shared" si="1937"/>
        <v>0</v>
      </c>
      <c r="AE162" s="30">
        <f t="shared" si="1937"/>
        <v>0</v>
      </c>
      <c r="AF162" s="30">
        <f t="shared" si="1937"/>
        <v>0</v>
      </c>
      <c r="AG162" s="30">
        <f t="shared" si="1937"/>
        <v>0</v>
      </c>
      <c r="AH162" s="30">
        <f t="shared" si="1937"/>
        <v>0</v>
      </c>
      <c r="AI162" s="30">
        <f t="shared" si="1937"/>
        <v>0</v>
      </c>
      <c r="AJ162" s="30">
        <f t="shared" si="1937"/>
        <v>0</v>
      </c>
      <c r="AK162" s="30">
        <f t="shared" si="1937"/>
        <v>0</v>
      </c>
      <c r="AL162" s="30">
        <f t="shared" si="1937"/>
        <v>0</v>
      </c>
      <c r="AM162" s="30">
        <f t="shared" si="1937"/>
        <v>0</v>
      </c>
      <c r="AN162" s="30">
        <f t="shared" si="1937"/>
        <v>0</v>
      </c>
      <c r="AO162" s="30">
        <f t="shared" si="1937"/>
        <v>0</v>
      </c>
      <c r="AP162" s="30">
        <f t="shared" si="1937"/>
        <v>0</v>
      </c>
      <c r="AQ162" s="30">
        <f t="shared" si="1937"/>
        <v>0</v>
      </c>
      <c r="AR162" s="30">
        <f t="shared" si="1937"/>
        <v>0</v>
      </c>
      <c r="AS162" s="30">
        <f t="shared" si="1937"/>
        <v>0</v>
      </c>
      <c r="AT162" s="30">
        <f t="shared" si="1937"/>
        <v>0</v>
      </c>
      <c r="AU162" s="30">
        <f t="shared" si="1937"/>
        <v>0</v>
      </c>
      <c r="AV162" s="30">
        <f t="shared" si="1937"/>
        <v>0</v>
      </c>
      <c r="AW162" s="30">
        <f t="shared" si="1937"/>
        <v>0</v>
      </c>
      <c r="AX162" s="30">
        <f t="shared" si="1937"/>
        <v>0</v>
      </c>
      <c r="AY162" s="30">
        <f t="shared" si="1937"/>
        <v>0</v>
      </c>
      <c r="AZ162" s="30">
        <f t="shared" si="1937"/>
        <v>0</v>
      </c>
      <c r="BA162" s="30">
        <f t="shared" si="1937"/>
        <v>0</v>
      </c>
      <c r="BB162" s="30">
        <f t="shared" si="1937"/>
        <v>-930526.33117645071</v>
      </c>
      <c r="BC162" s="30">
        <f t="shared" si="1937"/>
        <v>-932253.32992209983</v>
      </c>
      <c r="BD162" s="30">
        <f t="shared" si="1937"/>
        <v>-933983.53386954404</v>
      </c>
      <c r="BE162" s="30">
        <f t="shared" si="1937"/>
        <v>-935716.94896743889</v>
      </c>
      <c r="BF162" s="30">
        <f t="shared" si="1937"/>
        <v>-937453.58117547771</v>
      </c>
      <c r="BG162" s="30">
        <f t="shared" si="1937"/>
        <v>-939193.43646441679</v>
      </c>
      <c r="BH162" s="30">
        <f t="shared" si="1937"/>
        <v>1751198.2218403262</v>
      </c>
      <c r="BI162" s="30">
        <f t="shared" si="1937"/>
        <v>1749451.9024329749</v>
      </c>
      <c r="BJ162" s="30">
        <f t="shared" si="1937"/>
        <v>1747702.3419658868</v>
      </c>
      <c r="BK162" s="30">
        <f t="shared" si="1937"/>
        <v>3762153.7462841878</v>
      </c>
      <c r="BL162" s="30">
        <f t="shared" si="1937"/>
        <v>3760397.6856408478</v>
      </c>
      <c r="BM162" s="30">
        <f t="shared" si="1937"/>
        <v>3758638.3658586466</v>
      </c>
      <c r="BN162" s="30">
        <f t="shared" si="1937"/>
        <v>3862619.7646172652</v>
      </c>
      <c r="BO162" s="30">
        <f t="shared" si="1937"/>
        <v>3860659.5073904502</v>
      </c>
      <c r="BP162" s="30">
        <f t="shared" si="1937"/>
        <v>3858695.2123547024</v>
      </c>
      <c r="BQ162" s="30">
        <f t="shared" si="1937"/>
        <v>3856726.8711927934</v>
      </c>
      <c r="BR162" s="30">
        <f t="shared" si="1937"/>
        <v>3854754.4755703686</v>
      </c>
      <c r="BS162" s="30">
        <f t="shared" ref="BS162:DI162" si="1938">+BS154+BS160</f>
        <v>3852778.0171359042</v>
      </c>
      <c r="BT162" s="30">
        <f t="shared" si="1938"/>
        <v>3850797.4875206677</v>
      </c>
      <c r="BU162" s="30">
        <f t="shared" si="1938"/>
        <v>3848812.8783386978</v>
      </c>
      <c r="BV162" s="30">
        <f t="shared" si="1938"/>
        <v>3846824.1811867524</v>
      </c>
      <c r="BW162" s="30">
        <f t="shared" si="1938"/>
        <v>3844831.3876442853</v>
      </c>
      <c r="BX162" s="30">
        <f t="shared" si="1938"/>
        <v>3842834.4892734005</v>
      </c>
      <c r="BY162" s="30">
        <f t="shared" si="1938"/>
        <v>3840833.4776188228</v>
      </c>
      <c r="BZ162" s="30">
        <f t="shared" si="1938"/>
        <v>3947149.5672802143</v>
      </c>
      <c r="CA162" s="30">
        <f t="shared" si="1938"/>
        <v>6790097.0165936202</v>
      </c>
      <c r="CB162" s="30">
        <f t="shared" si="1938"/>
        <v>6788083.6141819777</v>
      </c>
      <c r="CC162" s="30">
        <f t="shared" si="1938"/>
        <v>6786066.0644910224</v>
      </c>
      <c r="CD162" s="30">
        <f t="shared" si="1938"/>
        <v>6784044.3589780368</v>
      </c>
      <c r="CE162" s="30">
        <f t="shared" si="1938"/>
        <v>6782018.4890827071</v>
      </c>
      <c r="CF162" s="30">
        <f t="shared" si="1938"/>
        <v>6779988.4462270942</v>
      </c>
      <c r="CG162" s="30">
        <f t="shared" si="1938"/>
        <v>6777954.2218155712</v>
      </c>
      <c r="CH162" s="30">
        <f t="shared" si="1938"/>
        <v>6775915.8072348284</v>
      </c>
      <c r="CI162" s="30">
        <f t="shared" si="1938"/>
        <v>6773873.1938538011</v>
      </c>
      <c r="CJ162" s="30">
        <f t="shared" si="1938"/>
        <v>6835837.8990654871</v>
      </c>
      <c r="CK162" s="30">
        <f t="shared" si="1938"/>
        <v>6833786.8621195462</v>
      </c>
      <c r="CL162" s="30">
        <f t="shared" si="1938"/>
        <v>3546089.0224650325</v>
      </c>
      <c r="CM162" s="30">
        <f t="shared" si="1938"/>
        <v>3542961.650735673</v>
      </c>
      <c r="CN162" s="30">
        <f t="shared" si="1938"/>
        <v>3539827.8371325969</v>
      </c>
      <c r="CO162" s="30">
        <f t="shared" si="1938"/>
        <v>3536687.5683865952</v>
      </c>
      <c r="CP162" s="30">
        <f t="shared" si="1938"/>
        <v>3533540.8312011361</v>
      </c>
      <c r="CQ162" s="30">
        <f t="shared" si="1938"/>
        <v>3530387.6122522866</v>
      </c>
      <c r="CR162" s="30">
        <f t="shared" si="1938"/>
        <v>3527227.8981886813</v>
      </c>
      <c r="CS162" s="30">
        <f t="shared" si="1938"/>
        <v>3524061.6756314482</v>
      </c>
      <c r="CT162" s="30">
        <f t="shared" si="1938"/>
        <v>5005488.9473531786</v>
      </c>
      <c r="CU162" s="30">
        <f t="shared" si="1938"/>
        <v>5530427.9710631445</v>
      </c>
      <c r="CV162" s="30">
        <f t="shared" si="1938"/>
        <v>5593781.7650900204</v>
      </c>
      <c r="CW162" s="30">
        <f t="shared" si="1938"/>
        <v>5591679.4522204306</v>
      </c>
      <c r="CX162" s="30">
        <f t="shared" si="1938"/>
        <v>3095444.5488684215</v>
      </c>
      <c r="CY162" s="30">
        <f t="shared" si="1938"/>
        <v>3092559.3557899571</v>
      </c>
      <c r="CZ162" s="30">
        <f t="shared" si="1938"/>
        <v>3089668.2196861468</v>
      </c>
      <c r="DA162" s="30">
        <f t="shared" si="1938"/>
        <v>3086771.1283153258</v>
      </c>
      <c r="DB162" s="30">
        <f t="shared" si="1938"/>
        <v>3083868.0694106235</v>
      </c>
      <c r="DC162" s="30">
        <f t="shared" si="1938"/>
        <v>3080959.0306798979</v>
      </c>
      <c r="DD162" s="30">
        <f t="shared" si="1938"/>
        <v>3078043.9998056809</v>
      </c>
      <c r="DE162" s="30">
        <f t="shared" si="1938"/>
        <v>4593002.7577327592</v>
      </c>
      <c r="DF162" s="30">
        <f t="shared" si="1938"/>
        <v>5735283.8040812258</v>
      </c>
      <c r="DG162" s="30">
        <f t="shared" si="1938"/>
        <v>6153183.4874884728</v>
      </c>
      <c r="DH162" s="30">
        <f t="shared" si="1938"/>
        <v>6217957.4969025757</v>
      </c>
      <c r="DI162" s="30">
        <f t="shared" si="1938"/>
        <v>6215802.6262112465</v>
      </c>
    </row>
    <row r="163" spans="3:113" outlineLevel="1" x14ac:dyDescent="0.25">
      <c r="C163" s="107" t="s">
        <v>61</v>
      </c>
      <c r="D163" s="46" t="s">
        <v>39</v>
      </c>
      <c r="F163" s="145" t="str">
        <f>IFERROR(+F162/F$154,"N/A")</f>
        <v>N/A</v>
      </c>
      <c r="G163" s="73" t="str">
        <f t="shared" ref="G163:BR163" si="1939">IFERROR(+G162/G$154,"N/A")</f>
        <v>N/A</v>
      </c>
      <c r="H163" s="73" t="str">
        <f t="shared" si="1939"/>
        <v>N/A</v>
      </c>
      <c r="I163" s="73" t="str">
        <f t="shared" si="1939"/>
        <v>N/A</v>
      </c>
      <c r="J163" s="73" t="str">
        <f t="shared" si="1939"/>
        <v>N/A</v>
      </c>
      <c r="K163" s="73" t="str">
        <f t="shared" si="1939"/>
        <v>N/A</v>
      </c>
      <c r="L163" s="73" t="str">
        <f t="shared" si="1939"/>
        <v>N/A</v>
      </c>
      <c r="M163" s="73" t="str">
        <f t="shared" si="1939"/>
        <v>N/A</v>
      </c>
      <c r="N163" s="73" t="str">
        <f t="shared" si="1939"/>
        <v>N/A</v>
      </c>
      <c r="O163" s="73" t="str">
        <f t="shared" si="1939"/>
        <v>N/A</v>
      </c>
      <c r="P163" s="73" t="str">
        <f t="shared" si="1939"/>
        <v>N/A</v>
      </c>
      <c r="Q163" s="73" t="str">
        <f t="shared" si="1939"/>
        <v>N/A</v>
      </c>
      <c r="R163" s="73" t="str">
        <f t="shared" si="1939"/>
        <v>N/A</v>
      </c>
      <c r="S163" s="73" t="str">
        <f t="shared" si="1939"/>
        <v>N/A</v>
      </c>
      <c r="T163" s="73" t="str">
        <f t="shared" si="1939"/>
        <v>N/A</v>
      </c>
      <c r="U163" s="73" t="str">
        <f t="shared" si="1939"/>
        <v>N/A</v>
      </c>
      <c r="V163" s="73" t="str">
        <f t="shared" si="1939"/>
        <v>N/A</v>
      </c>
      <c r="W163" s="73" t="str">
        <f t="shared" si="1939"/>
        <v>N/A</v>
      </c>
      <c r="X163" s="73" t="str">
        <f t="shared" si="1939"/>
        <v>N/A</v>
      </c>
      <c r="Y163" s="73" t="str">
        <f t="shared" si="1939"/>
        <v>N/A</v>
      </c>
      <c r="Z163" s="73" t="str">
        <f t="shared" si="1939"/>
        <v>N/A</v>
      </c>
      <c r="AA163" s="73" t="str">
        <f t="shared" si="1939"/>
        <v>N/A</v>
      </c>
      <c r="AB163" s="73" t="str">
        <f t="shared" si="1939"/>
        <v>N/A</v>
      </c>
      <c r="AC163" s="73" t="str">
        <f t="shared" si="1939"/>
        <v>N/A</v>
      </c>
      <c r="AD163" s="73" t="str">
        <f t="shared" si="1939"/>
        <v>N/A</v>
      </c>
      <c r="AE163" s="73" t="str">
        <f t="shared" si="1939"/>
        <v>N/A</v>
      </c>
      <c r="AF163" s="73" t="str">
        <f t="shared" si="1939"/>
        <v>N/A</v>
      </c>
      <c r="AG163" s="73" t="str">
        <f t="shared" si="1939"/>
        <v>N/A</v>
      </c>
      <c r="AH163" s="73" t="str">
        <f t="shared" si="1939"/>
        <v>N/A</v>
      </c>
      <c r="AI163" s="73" t="str">
        <f t="shared" si="1939"/>
        <v>N/A</v>
      </c>
      <c r="AJ163" s="73" t="str">
        <f t="shared" si="1939"/>
        <v>N/A</v>
      </c>
      <c r="AK163" s="73" t="str">
        <f t="shared" si="1939"/>
        <v>N/A</v>
      </c>
      <c r="AL163" s="73" t="str">
        <f t="shared" si="1939"/>
        <v>N/A</v>
      </c>
      <c r="AM163" s="73" t="str">
        <f t="shared" si="1939"/>
        <v>N/A</v>
      </c>
      <c r="AN163" s="73" t="str">
        <f t="shared" si="1939"/>
        <v>N/A</v>
      </c>
      <c r="AO163" s="73" t="str">
        <f t="shared" si="1939"/>
        <v>N/A</v>
      </c>
      <c r="AP163" s="73" t="str">
        <f t="shared" si="1939"/>
        <v>N/A</v>
      </c>
      <c r="AQ163" s="73" t="str">
        <f t="shared" si="1939"/>
        <v>N/A</v>
      </c>
      <c r="AR163" s="73" t="str">
        <f t="shared" si="1939"/>
        <v>N/A</v>
      </c>
      <c r="AS163" s="73" t="str">
        <f t="shared" si="1939"/>
        <v>N/A</v>
      </c>
      <c r="AT163" s="73" t="str">
        <f t="shared" si="1939"/>
        <v>N/A</v>
      </c>
      <c r="AU163" s="73" t="str">
        <f t="shared" si="1939"/>
        <v>N/A</v>
      </c>
      <c r="AV163" s="73" t="str">
        <f t="shared" si="1939"/>
        <v>N/A</v>
      </c>
      <c r="AW163" s="73" t="str">
        <f t="shared" si="1939"/>
        <v>N/A</v>
      </c>
      <c r="AX163" s="73" t="str">
        <f t="shared" si="1939"/>
        <v>N/A</v>
      </c>
      <c r="AY163" s="73" t="str">
        <f t="shared" si="1939"/>
        <v>N/A</v>
      </c>
      <c r="AZ163" s="73" t="str">
        <f t="shared" si="1939"/>
        <v>N/A</v>
      </c>
      <c r="BA163" s="73" t="str">
        <f t="shared" si="1939"/>
        <v>N/A</v>
      </c>
      <c r="BB163" s="73">
        <f t="shared" si="1939"/>
        <v>-0.54785714285714315</v>
      </c>
      <c r="BC163" s="73">
        <f t="shared" si="1939"/>
        <v>-0.54785714285714304</v>
      </c>
      <c r="BD163" s="73">
        <f t="shared" si="1939"/>
        <v>-0.54785714285714271</v>
      </c>
      <c r="BE163" s="73">
        <f t="shared" si="1939"/>
        <v>-0.54785714285714304</v>
      </c>
      <c r="BF163" s="73">
        <f t="shared" si="1939"/>
        <v>-0.54785714285714304</v>
      </c>
      <c r="BG163" s="73">
        <f t="shared" si="1939"/>
        <v>-0.54785714285714315</v>
      </c>
      <c r="BH163" s="73">
        <f t="shared" si="1939"/>
        <v>0.38977170850337139</v>
      </c>
      <c r="BI163" s="73">
        <f t="shared" si="1939"/>
        <v>0.38910696467799738</v>
      </c>
      <c r="BJ163" s="73">
        <f t="shared" si="1939"/>
        <v>0.3884419316414281</v>
      </c>
      <c r="BK163" s="73">
        <f t="shared" si="1939"/>
        <v>0.57166698869840982</v>
      </c>
      <c r="BL163" s="73">
        <f t="shared" si="1939"/>
        <v>0.57112198337901487</v>
      </c>
      <c r="BM163" s="73">
        <f t="shared" si="1939"/>
        <v>0.57057649842015012</v>
      </c>
      <c r="BN163" s="73">
        <f t="shared" si="1939"/>
        <v>0.57649108795305026</v>
      </c>
      <c r="BO163" s="73">
        <f t="shared" si="1939"/>
        <v>0.57589098556326146</v>
      </c>
      <c r="BP163" s="73">
        <f t="shared" si="1939"/>
        <v>0.57529028928752024</v>
      </c>
      <c r="BQ163" s="73">
        <f t="shared" si="1939"/>
        <v>0.5746889995174107</v>
      </c>
      <c r="BR163" s="73">
        <f t="shared" si="1939"/>
        <v>0.57408711664780732</v>
      </c>
      <c r="BS163" s="73">
        <f t="shared" ref="BS163:DI163" si="1940">IFERROR(+BS162/BS$154,"N/A")</f>
        <v>0.57348464107687758</v>
      </c>
      <c r="BT163" s="73">
        <f t="shared" si="1940"/>
        <v>0.57288157320608502</v>
      </c>
      <c r="BU163" s="73">
        <f t="shared" si="1940"/>
        <v>0.5722779134401943</v>
      </c>
      <c r="BV163" s="73">
        <f t="shared" si="1940"/>
        <v>0.57167366218727267</v>
      </c>
      <c r="BW163" s="73">
        <f t="shared" si="1940"/>
        <v>0.57106881985869529</v>
      </c>
      <c r="BX163" s="73">
        <f t="shared" si="1940"/>
        <v>0.57046338686914688</v>
      </c>
      <c r="BY163" s="73">
        <f t="shared" si="1940"/>
        <v>0.56985736363662642</v>
      </c>
      <c r="BZ163" s="73">
        <f t="shared" si="1940"/>
        <v>0.57577884853166528</v>
      </c>
      <c r="CA163" s="73">
        <f t="shared" si="1940"/>
        <v>0.69343772491224054</v>
      </c>
      <c r="CB163" s="73">
        <f t="shared" si="1940"/>
        <v>0.69297202437919847</v>
      </c>
      <c r="CC163" s="73">
        <f t="shared" si="1940"/>
        <v>0.69250571496468893</v>
      </c>
      <c r="CD163" s="73">
        <f t="shared" si="1940"/>
        <v>0.69203879646296573</v>
      </c>
      <c r="CE163" s="73">
        <f t="shared" si="1940"/>
        <v>0.69157126867032714</v>
      </c>
      <c r="CF163" s="73">
        <f t="shared" si="1940"/>
        <v>0.69110313138512314</v>
      </c>
      <c r="CG163" s="73">
        <f t="shared" si="1940"/>
        <v>0.69063438440776093</v>
      </c>
      <c r="CH163" s="73">
        <f t="shared" si="1940"/>
        <v>0.69016502754071307</v>
      </c>
      <c r="CI163" s="73">
        <f t="shared" si="1940"/>
        <v>0.68969506058852315</v>
      </c>
      <c r="CJ163" s="73">
        <f t="shared" si="1940"/>
        <v>0.69109772320898488</v>
      </c>
      <c r="CK163" s="73">
        <f t="shared" si="1940"/>
        <v>0.69062896919160655</v>
      </c>
      <c r="CL163" s="73">
        <f t="shared" si="1940"/>
        <v>0.54458780152954489</v>
      </c>
      <c r="CM163" s="73">
        <f t="shared" si="1940"/>
        <v>0.54388548038475037</v>
      </c>
      <c r="CN163" s="73">
        <f t="shared" si="1940"/>
        <v>0.54318228731221552</v>
      </c>
      <c r="CO163" s="73">
        <f t="shared" si="1940"/>
        <v>0.54247822217869479</v>
      </c>
      <c r="CP163" s="73">
        <f t="shared" si="1940"/>
        <v>0.54177328485430976</v>
      </c>
      <c r="CQ163" s="73">
        <f t="shared" si="1940"/>
        <v>0.54106747521255671</v>
      </c>
      <c r="CR163" s="73">
        <f t="shared" si="1940"/>
        <v>0.54036079313031793</v>
      </c>
      <c r="CS163" s="73">
        <f t="shared" si="1940"/>
        <v>0.53965323848786906</v>
      </c>
      <c r="CT163" s="73">
        <f t="shared" si="1940"/>
        <v>0.62076301280742541</v>
      </c>
      <c r="CU163" s="73">
        <f t="shared" si="1940"/>
        <v>0.64228136154953885</v>
      </c>
      <c r="CV163" s="73">
        <f t="shared" si="1940"/>
        <v>0.64430345095811725</v>
      </c>
      <c r="CW163" s="73">
        <f t="shared" si="1940"/>
        <v>0.64377675763954523</v>
      </c>
      <c r="CX163" s="73">
        <f t="shared" si="1940"/>
        <v>0.5059303127000857</v>
      </c>
      <c r="CY163" s="73">
        <f t="shared" si="1940"/>
        <v>0.50520648635010268</v>
      </c>
      <c r="CZ163" s="73">
        <f t="shared" si="1940"/>
        <v>0.50448189339076355</v>
      </c>
      <c r="DA163" s="73">
        <f t="shared" si="1940"/>
        <v>0.50375653414001387</v>
      </c>
      <c r="DB163" s="73">
        <f t="shared" si="1940"/>
        <v>0.50303040891972117</v>
      </c>
      <c r="DC163" s="73">
        <f t="shared" si="1940"/>
        <v>0.50230351805567897</v>
      </c>
      <c r="DD163" s="73">
        <f t="shared" si="1940"/>
        <v>0.50157586187761372</v>
      </c>
      <c r="DE163" s="73">
        <f t="shared" si="1940"/>
        <v>0.59613276628860468</v>
      </c>
      <c r="DF163" s="73">
        <f t="shared" si="1940"/>
        <v>0.64525561433881407</v>
      </c>
      <c r="DG163" s="73">
        <f t="shared" si="1940"/>
        <v>0.65983445507996952</v>
      </c>
      <c r="DH163" s="73">
        <f t="shared" si="1940"/>
        <v>0.66160704142802784</v>
      </c>
      <c r="DI163" s="73">
        <f t="shared" si="1940"/>
        <v>0.66110107983752509</v>
      </c>
    </row>
    <row r="164" spans="3:113" outlineLevel="1" x14ac:dyDescent="0.25">
      <c r="C164" s="103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  <c r="BX164" s="6"/>
      <c r="BY164" s="6"/>
      <c r="BZ164" s="6"/>
      <c r="CA164" s="6"/>
      <c r="CB164" s="6"/>
      <c r="CC164" s="6"/>
      <c r="CD164" s="6"/>
      <c r="CE164" s="6"/>
      <c r="CF164" s="6"/>
      <c r="CG164" s="6"/>
      <c r="CH164" s="6"/>
      <c r="CI164" s="6"/>
      <c r="CJ164" s="6"/>
      <c r="CK164" s="6"/>
      <c r="CL164" s="6"/>
      <c r="CM164" s="6"/>
      <c r="CN164" s="6"/>
      <c r="CO164" s="6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</row>
    <row r="165" spans="3:113" outlineLevel="1" x14ac:dyDescent="0.25">
      <c r="C165" s="101" t="s">
        <v>62</v>
      </c>
      <c r="D165" s="47" t="s">
        <v>107</v>
      </c>
      <c r="F165" s="6">
        <f>+F142</f>
        <v>0</v>
      </c>
      <c r="G165" s="6">
        <f t="shared" ref="G165:BR165" si="1941">+G142</f>
        <v>0</v>
      </c>
      <c r="H165" s="6">
        <f t="shared" si="1941"/>
        <v>0</v>
      </c>
      <c r="I165" s="6">
        <f t="shared" si="1941"/>
        <v>0</v>
      </c>
      <c r="J165" s="6">
        <f t="shared" si="1941"/>
        <v>0</v>
      </c>
      <c r="K165" s="6">
        <f t="shared" si="1941"/>
        <v>0</v>
      </c>
      <c r="L165" s="6">
        <f t="shared" si="1941"/>
        <v>0</v>
      </c>
      <c r="M165" s="6">
        <f t="shared" si="1941"/>
        <v>0</v>
      </c>
      <c r="N165" s="6">
        <f t="shared" si="1941"/>
        <v>0</v>
      </c>
      <c r="O165" s="6">
        <f t="shared" si="1941"/>
        <v>0</v>
      </c>
      <c r="P165" s="6">
        <f t="shared" si="1941"/>
        <v>0</v>
      </c>
      <c r="Q165" s="6">
        <f t="shared" si="1941"/>
        <v>0</v>
      </c>
      <c r="R165" s="6">
        <f t="shared" si="1941"/>
        <v>0</v>
      </c>
      <c r="S165" s="6">
        <f t="shared" si="1941"/>
        <v>0</v>
      </c>
      <c r="T165" s="6">
        <f t="shared" si="1941"/>
        <v>0</v>
      </c>
      <c r="U165" s="6">
        <f t="shared" si="1941"/>
        <v>0</v>
      </c>
      <c r="V165" s="6">
        <f t="shared" si="1941"/>
        <v>0</v>
      </c>
      <c r="W165" s="6">
        <f t="shared" si="1941"/>
        <v>0</v>
      </c>
      <c r="X165" s="6">
        <f t="shared" si="1941"/>
        <v>0</v>
      </c>
      <c r="Y165" s="6">
        <f t="shared" si="1941"/>
        <v>0</v>
      </c>
      <c r="Z165" s="6">
        <f t="shared" si="1941"/>
        <v>0</v>
      </c>
      <c r="AA165" s="6">
        <f t="shared" si="1941"/>
        <v>0</v>
      </c>
      <c r="AB165" s="6">
        <f t="shared" si="1941"/>
        <v>0</v>
      </c>
      <c r="AC165" s="6">
        <f t="shared" si="1941"/>
        <v>0</v>
      </c>
      <c r="AD165" s="6">
        <f t="shared" si="1941"/>
        <v>0</v>
      </c>
      <c r="AE165" s="6">
        <f t="shared" si="1941"/>
        <v>0</v>
      </c>
      <c r="AF165" s="6">
        <f t="shared" si="1941"/>
        <v>0</v>
      </c>
      <c r="AG165" s="6">
        <f t="shared" si="1941"/>
        <v>0</v>
      </c>
      <c r="AH165" s="6">
        <f t="shared" si="1941"/>
        <v>0</v>
      </c>
      <c r="AI165" s="6">
        <f t="shared" si="1941"/>
        <v>0</v>
      </c>
      <c r="AJ165" s="6">
        <f t="shared" si="1941"/>
        <v>0</v>
      </c>
      <c r="AK165" s="6">
        <f t="shared" si="1941"/>
        <v>0</v>
      </c>
      <c r="AL165" s="6">
        <f t="shared" si="1941"/>
        <v>0</v>
      </c>
      <c r="AM165" s="6">
        <f t="shared" si="1941"/>
        <v>0</v>
      </c>
      <c r="AN165" s="6">
        <f t="shared" si="1941"/>
        <v>0</v>
      </c>
      <c r="AO165" s="6">
        <f t="shared" si="1941"/>
        <v>0</v>
      </c>
      <c r="AP165" s="6">
        <f t="shared" si="1941"/>
        <v>0</v>
      </c>
      <c r="AQ165" s="6">
        <f t="shared" si="1941"/>
        <v>0</v>
      </c>
      <c r="AR165" s="6">
        <f t="shared" si="1941"/>
        <v>0</v>
      </c>
      <c r="AS165" s="6">
        <f t="shared" si="1941"/>
        <v>0</v>
      </c>
      <c r="AT165" s="6">
        <f t="shared" si="1941"/>
        <v>0</v>
      </c>
      <c r="AU165" s="6">
        <f t="shared" si="1941"/>
        <v>0</v>
      </c>
      <c r="AV165" s="6">
        <f t="shared" si="1941"/>
        <v>0</v>
      </c>
      <c r="AW165" s="6">
        <f t="shared" si="1941"/>
        <v>0</v>
      </c>
      <c r="AX165" s="6">
        <f t="shared" si="1941"/>
        <v>0</v>
      </c>
      <c r="AY165" s="6">
        <f t="shared" si="1941"/>
        <v>0</v>
      </c>
      <c r="AZ165" s="6">
        <f t="shared" si="1941"/>
        <v>0</v>
      </c>
      <c r="BA165" s="6">
        <f t="shared" si="1941"/>
        <v>0</v>
      </c>
      <c r="BB165" s="6">
        <f t="shared" si="1941"/>
        <v>-6089602.058578454</v>
      </c>
      <c r="BC165" s="6">
        <f t="shared" si="1941"/>
        <v>0</v>
      </c>
      <c r="BD165" s="6">
        <f t="shared" si="1941"/>
        <v>0</v>
      </c>
      <c r="BE165" s="6">
        <f t="shared" si="1941"/>
        <v>0</v>
      </c>
      <c r="BF165" s="6">
        <f t="shared" si="1941"/>
        <v>0</v>
      </c>
      <c r="BG165" s="6">
        <f t="shared" si="1941"/>
        <v>0</v>
      </c>
      <c r="BH165" s="6">
        <f t="shared" si="1941"/>
        <v>0</v>
      </c>
      <c r="BI165" s="6">
        <f t="shared" si="1941"/>
        <v>0</v>
      </c>
      <c r="BJ165" s="6">
        <f t="shared" si="1941"/>
        <v>0</v>
      </c>
      <c r="BK165" s="6">
        <f t="shared" si="1941"/>
        <v>0</v>
      </c>
      <c r="BL165" s="6">
        <f t="shared" si="1941"/>
        <v>-5810016.9803532939</v>
      </c>
      <c r="BM165" s="6">
        <f t="shared" si="1941"/>
        <v>0</v>
      </c>
      <c r="BN165" s="6">
        <f t="shared" si="1941"/>
        <v>0</v>
      </c>
      <c r="BO165" s="6">
        <f t="shared" si="1941"/>
        <v>0</v>
      </c>
      <c r="BP165" s="6">
        <f t="shared" si="1941"/>
        <v>0</v>
      </c>
      <c r="BQ165" s="6">
        <f t="shared" si="1941"/>
        <v>0</v>
      </c>
      <c r="BR165" s="6">
        <f t="shared" si="1941"/>
        <v>0</v>
      </c>
      <c r="BS165" s="6">
        <f t="shared" ref="BS165:DI165" si="1942">+BS142</f>
        <v>0</v>
      </c>
      <c r="BT165" s="6">
        <f t="shared" si="1942"/>
        <v>0</v>
      </c>
      <c r="BU165" s="6">
        <f t="shared" si="1942"/>
        <v>0</v>
      </c>
      <c r="BV165" s="6">
        <f t="shared" si="1942"/>
        <v>0</v>
      </c>
      <c r="BW165" s="6">
        <f t="shared" si="1942"/>
        <v>0</v>
      </c>
      <c r="BX165" s="6">
        <f t="shared" si="1942"/>
        <v>0</v>
      </c>
      <c r="BY165" s="6">
        <f t="shared" si="1942"/>
        <v>0</v>
      </c>
      <c r="BZ165" s="6">
        <f t="shared" si="1942"/>
        <v>0</v>
      </c>
      <c r="CA165" s="6">
        <f t="shared" si="1942"/>
        <v>0</v>
      </c>
      <c r="CB165" s="6">
        <f t="shared" si="1942"/>
        <v>0</v>
      </c>
      <c r="CC165" s="6">
        <f t="shared" si="1942"/>
        <v>0</v>
      </c>
      <c r="CD165" s="6">
        <f t="shared" si="1942"/>
        <v>0</v>
      </c>
      <c r="CE165" s="6">
        <f t="shared" si="1942"/>
        <v>0</v>
      </c>
      <c r="CF165" s="6">
        <f t="shared" si="1942"/>
        <v>0</v>
      </c>
      <c r="CG165" s="6">
        <f t="shared" si="1942"/>
        <v>0</v>
      </c>
      <c r="CH165" s="6">
        <f t="shared" si="1942"/>
        <v>0</v>
      </c>
      <c r="CI165" s="6">
        <f t="shared" si="1942"/>
        <v>0</v>
      </c>
      <c r="CJ165" s="6">
        <f t="shared" si="1942"/>
        <v>0</v>
      </c>
      <c r="CK165" s="6">
        <f t="shared" si="1942"/>
        <v>0</v>
      </c>
      <c r="CL165" s="6">
        <f t="shared" si="1942"/>
        <v>-1588376.7849998253</v>
      </c>
      <c r="CM165" s="6">
        <f t="shared" si="1942"/>
        <v>0</v>
      </c>
      <c r="CN165" s="6">
        <f t="shared" si="1942"/>
        <v>0</v>
      </c>
      <c r="CO165" s="6">
        <f t="shared" si="1942"/>
        <v>0</v>
      </c>
      <c r="CP165" s="6">
        <f t="shared" si="1942"/>
        <v>0</v>
      </c>
      <c r="CQ165" s="6">
        <f t="shared" si="1942"/>
        <v>0</v>
      </c>
      <c r="CR165" s="6">
        <f t="shared" si="1942"/>
        <v>0</v>
      </c>
      <c r="CS165" s="6">
        <f t="shared" si="1942"/>
        <v>0</v>
      </c>
      <c r="CT165" s="6">
        <f t="shared" si="1942"/>
        <v>0</v>
      </c>
      <c r="CU165" s="6">
        <f t="shared" si="1942"/>
        <v>-2773823.7092207414</v>
      </c>
      <c r="CV165" s="6">
        <f t="shared" si="1942"/>
        <v>0</v>
      </c>
      <c r="CW165" s="6">
        <f t="shared" si="1942"/>
        <v>0</v>
      </c>
      <c r="CX165" s="6">
        <f t="shared" si="1942"/>
        <v>-1218752.0584558405</v>
      </c>
      <c r="CY165" s="6">
        <f t="shared" si="1942"/>
        <v>0</v>
      </c>
      <c r="CZ165" s="6">
        <f t="shared" si="1942"/>
        <v>0</v>
      </c>
      <c r="DA165" s="6">
        <f t="shared" si="1942"/>
        <v>0</v>
      </c>
      <c r="DB165" s="6">
        <f t="shared" si="1942"/>
        <v>0</v>
      </c>
      <c r="DC165" s="6">
        <f t="shared" si="1942"/>
        <v>0</v>
      </c>
      <c r="DD165" s="6">
        <f t="shared" si="1942"/>
        <v>0</v>
      </c>
      <c r="DE165" s="6">
        <f t="shared" si="1942"/>
        <v>0</v>
      </c>
      <c r="DF165" s="6">
        <f t="shared" si="1942"/>
        <v>0</v>
      </c>
      <c r="DG165" s="6">
        <f t="shared" si="1942"/>
        <v>-2125496.8821884571</v>
      </c>
      <c r="DH165" s="6">
        <f t="shared" si="1942"/>
        <v>0</v>
      </c>
      <c r="DI165" s="6">
        <f t="shared" si="1942"/>
        <v>0</v>
      </c>
    </row>
    <row r="166" spans="3:113" outlineLevel="1" x14ac:dyDescent="0.25">
      <c r="C166" s="101" t="s">
        <v>63</v>
      </c>
      <c r="D166" s="47" t="s">
        <v>107</v>
      </c>
      <c r="F166" s="6">
        <f t="shared" ref="F166:BQ166" si="1943">MIN(-F165,E143+F19-F159)</f>
        <v>0</v>
      </c>
      <c r="G166" s="6">
        <f t="shared" si="1943"/>
        <v>0</v>
      </c>
      <c r="H166" s="6">
        <f t="shared" si="1943"/>
        <v>0</v>
      </c>
      <c r="I166" s="6">
        <f t="shared" si="1943"/>
        <v>0</v>
      </c>
      <c r="J166" s="6">
        <f t="shared" si="1943"/>
        <v>0</v>
      </c>
      <c r="K166" s="6">
        <f t="shared" si="1943"/>
        <v>0</v>
      </c>
      <c r="L166" s="6">
        <f t="shared" si="1943"/>
        <v>0</v>
      </c>
      <c r="M166" s="6">
        <f t="shared" si="1943"/>
        <v>0</v>
      </c>
      <c r="N166" s="6">
        <f t="shared" si="1943"/>
        <v>0</v>
      </c>
      <c r="O166" s="6">
        <f t="shared" si="1943"/>
        <v>0</v>
      </c>
      <c r="P166" s="6">
        <f t="shared" si="1943"/>
        <v>0</v>
      </c>
      <c r="Q166" s="6">
        <f t="shared" si="1943"/>
        <v>0</v>
      </c>
      <c r="R166" s="6">
        <f t="shared" si="1943"/>
        <v>0</v>
      </c>
      <c r="S166" s="6">
        <f t="shared" si="1943"/>
        <v>0</v>
      </c>
      <c r="T166" s="6">
        <f t="shared" si="1943"/>
        <v>0</v>
      </c>
      <c r="U166" s="6">
        <f t="shared" si="1943"/>
        <v>0</v>
      </c>
      <c r="V166" s="6">
        <f t="shared" si="1943"/>
        <v>0</v>
      </c>
      <c r="W166" s="6">
        <f t="shared" si="1943"/>
        <v>0</v>
      </c>
      <c r="X166" s="6">
        <f t="shared" si="1943"/>
        <v>0</v>
      </c>
      <c r="Y166" s="6">
        <f t="shared" si="1943"/>
        <v>0</v>
      </c>
      <c r="Z166" s="6">
        <f t="shared" si="1943"/>
        <v>0</v>
      </c>
      <c r="AA166" s="6">
        <f t="shared" si="1943"/>
        <v>0</v>
      </c>
      <c r="AB166" s="6">
        <f t="shared" si="1943"/>
        <v>0</v>
      </c>
      <c r="AC166" s="6">
        <f t="shared" si="1943"/>
        <v>0</v>
      </c>
      <c r="AD166" s="6">
        <f t="shared" si="1943"/>
        <v>0</v>
      </c>
      <c r="AE166" s="6">
        <f t="shared" si="1943"/>
        <v>0</v>
      </c>
      <c r="AF166" s="6">
        <f t="shared" si="1943"/>
        <v>0</v>
      </c>
      <c r="AG166" s="6">
        <f t="shared" si="1943"/>
        <v>0</v>
      </c>
      <c r="AH166" s="6">
        <f t="shared" si="1943"/>
        <v>0</v>
      </c>
      <c r="AI166" s="6">
        <f t="shared" si="1943"/>
        <v>0</v>
      </c>
      <c r="AJ166" s="6">
        <f t="shared" si="1943"/>
        <v>0</v>
      </c>
      <c r="AK166" s="6">
        <f t="shared" si="1943"/>
        <v>0</v>
      </c>
      <c r="AL166" s="6">
        <f t="shared" si="1943"/>
        <v>0</v>
      </c>
      <c r="AM166" s="6">
        <f t="shared" si="1943"/>
        <v>0</v>
      </c>
      <c r="AN166" s="6">
        <f t="shared" si="1943"/>
        <v>0</v>
      </c>
      <c r="AO166" s="6">
        <f t="shared" si="1943"/>
        <v>0</v>
      </c>
      <c r="AP166" s="6">
        <f t="shared" si="1943"/>
        <v>0</v>
      </c>
      <c r="AQ166" s="6">
        <f t="shared" si="1943"/>
        <v>0</v>
      </c>
      <c r="AR166" s="6">
        <f t="shared" si="1943"/>
        <v>0</v>
      </c>
      <c r="AS166" s="6">
        <f t="shared" si="1943"/>
        <v>0</v>
      </c>
      <c r="AT166" s="6">
        <f t="shared" si="1943"/>
        <v>0</v>
      </c>
      <c r="AU166" s="6">
        <f t="shared" si="1943"/>
        <v>0</v>
      </c>
      <c r="AV166" s="6">
        <f t="shared" si="1943"/>
        <v>0</v>
      </c>
      <c r="AW166" s="6">
        <f t="shared" si="1943"/>
        <v>0</v>
      </c>
      <c r="AX166" s="6">
        <f t="shared" si="1943"/>
        <v>0</v>
      </c>
      <c r="AY166" s="6">
        <f t="shared" si="1943"/>
        <v>0</v>
      </c>
      <c r="AZ166" s="6">
        <f t="shared" si="1943"/>
        <v>0</v>
      </c>
      <c r="BA166" s="6">
        <f t="shared" si="1943"/>
        <v>0</v>
      </c>
      <c r="BB166" s="6">
        <f t="shared" si="1943"/>
        <v>6089602.058578454</v>
      </c>
      <c r="BC166" s="6">
        <f t="shared" si="1943"/>
        <v>0</v>
      </c>
      <c r="BD166" s="6">
        <f t="shared" si="1943"/>
        <v>0</v>
      </c>
      <c r="BE166" s="6">
        <f t="shared" si="1943"/>
        <v>0</v>
      </c>
      <c r="BF166" s="6">
        <f t="shared" si="1943"/>
        <v>0</v>
      </c>
      <c r="BG166" s="6">
        <f t="shared" si="1943"/>
        <v>0</v>
      </c>
      <c r="BH166" s="6">
        <f t="shared" si="1943"/>
        <v>0</v>
      </c>
      <c r="BI166" s="6">
        <f t="shared" si="1943"/>
        <v>0</v>
      </c>
      <c r="BJ166" s="6">
        <f t="shared" si="1943"/>
        <v>0</v>
      </c>
      <c r="BK166" s="6">
        <f t="shared" si="1943"/>
        <v>0</v>
      </c>
      <c r="BL166" s="6">
        <f t="shared" si="1943"/>
        <v>3964117.8567432482</v>
      </c>
      <c r="BM166" s="6">
        <f t="shared" si="1943"/>
        <v>0</v>
      </c>
      <c r="BN166" s="6">
        <f t="shared" si="1943"/>
        <v>0</v>
      </c>
      <c r="BO166" s="6">
        <f t="shared" si="1943"/>
        <v>0</v>
      </c>
      <c r="BP166" s="6">
        <f t="shared" si="1943"/>
        <v>0</v>
      </c>
      <c r="BQ166" s="6">
        <f t="shared" si="1943"/>
        <v>0</v>
      </c>
      <c r="BR166" s="6">
        <f t="shared" ref="BR166:DI166" si="1944">MIN(-BR165,BQ143+BR19-BR159)</f>
        <v>0</v>
      </c>
      <c r="BS166" s="6">
        <f t="shared" si="1944"/>
        <v>0</v>
      </c>
      <c r="BT166" s="6">
        <f t="shared" si="1944"/>
        <v>0</v>
      </c>
      <c r="BU166" s="6">
        <f t="shared" si="1944"/>
        <v>0</v>
      </c>
      <c r="BV166" s="6">
        <f t="shared" si="1944"/>
        <v>0</v>
      </c>
      <c r="BW166" s="6">
        <f t="shared" si="1944"/>
        <v>0</v>
      </c>
      <c r="BX166" s="6">
        <f t="shared" si="1944"/>
        <v>0</v>
      </c>
      <c r="BY166" s="6">
        <f t="shared" si="1944"/>
        <v>0</v>
      </c>
      <c r="BZ166" s="6">
        <f t="shared" si="1944"/>
        <v>0</v>
      </c>
      <c r="CA166" s="6">
        <f t="shared" si="1944"/>
        <v>0</v>
      </c>
      <c r="CB166" s="6">
        <f t="shared" si="1944"/>
        <v>0</v>
      </c>
      <c r="CC166" s="6">
        <f t="shared" si="1944"/>
        <v>0</v>
      </c>
      <c r="CD166" s="6">
        <f t="shared" si="1944"/>
        <v>0</v>
      </c>
      <c r="CE166" s="6">
        <f t="shared" si="1944"/>
        <v>0</v>
      </c>
      <c r="CF166" s="6">
        <f t="shared" si="1944"/>
        <v>0</v>
      </c>
      <c r="CG166" s="6">
        <f t="shared" si="1944"/>
        <v>0</v>
      </c>
      <c r="CH166" s="6">
        <f t="shared" si="1944"/>
        <v>0</v>
      </c>
      <c r="CI166" s="6">
        <f t="shared" si="1944"/>
        <v>0</v>
      </c>
      <c r="CJ166" s="6">
        <f t="shared" si="1944"/>
        <v>0</v>
      </c>
      <c r="CK166" s="6">
        <f t="shared" si="1944"/>
        <v>0</v>
      </c>
      <c r="CL166" s="6">
        <f t="shared" si="1944"/>
        <v>1588376.7849998253</v>
      </c>
      <c r="CM166" s="6">
        <f t="shared" si="1944"/>
        <v>0</v>
      </c>
      <c r="CN166" s="6">
        <f t="shared" si="1944"/>
        <v>0</v>
      </c>
      <c r="CO166" s="6">
        <f t="shared" si="1944"/>
        <v>0</v>
      </c>
      <c r="CP166" s="6">
        <f t="shared" si="1944"/>
        <v>0</v>
      </c>
      <c r="CQ166" s="6">
        <f t="shared" si="1944"/>
        <v>0</v>
      </c>
      <c r="CR166" s="6">
        <f t="shared" si="1944"/>
        <v>0</v>
      </c>
      <c r="CS166" s="6">
        <f t="shared" si="1944"/>
        <v>0</v>
      </c>
      <c r="CT166" s="6">
        <f t="shared" si="1944"/>
        <v>0</v>
      </c>
      <c r="CU166" s="6">
        <f t="shared" si="1944"/>
        <v>2773823.7092207414</v>
      </c>
      <c r="CV166" s="6">
        <f t="shared" si="1944"/>
        <v>0</v>
      </c>
      <c r="CW166" s="6">
        <f t="shared" si="1944"/>
        <v>0</v>
      </c>
      <c r="CX166" s="6">
        <f t="shared" si="1944"/>
        <v>1218752.0584558405</v>
      </c>
      <c r="CY166" s="6">
        <f t="shared" si="1944"/>
        <v>0</v>
      </c>
      <c r="CZ166" s="6">
        <f t="shared" si="1944"/>
        <v>0</v>
      </c>
      <c r="DA166" s="6">
        <f t="shared" si="1944"/>
        <v>0</v>
      </c>
      <c r="DB166" s="6">
        <f t="shared" si="1944"/>
        <v>0</v>
      </c>
      <c r="DC166" s="6">
        <f t="shared" si="1944"/>
        <v>0</v>
      </c>
      <c r="DD166" s="6">
        <f t="shared" si="1944"/>
        <v>0</v>
      </c>
      <c r="DE166" s="6">
        <f t="shared" si="1944"/>
        <v>0</v>
      </c>
      <c r="DF166" s="6">
        <f t="shared" si="1944"/>
        <v>0</v>
      </c>
      <c r="DG166" s="6">
        <f t="shared" si="1944"/>
        <v>2049010.839785205</v>
      </c>
      <c r="DH166" s="6">
        <f t="shared" si="1944"/>
        <v>0</v>
      </c>
      <c r="DI166" s="6">
        <f t="shared" si="1944"/>
        <v>0</v>
      </c>
    </row>
    <row r="167" spans="3:113" outlineLevel="1" x14ac:dyDescent="0.25">
      <c r="C167" s="108"/>
      <c r="D167" s="62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  <c r="BX167" s="6"/>
      <c r="BY167" s="6"/>
      <c r="BZ167" s="6"/>
      <c r="CA167" s="6"/>
      <c r="CB167" s="6"/>
      <c r="CC167" s="6"/>
      <c r="CD167" s="6"/>
      <c r="CE167" s="6"/>
      <c r="CF167" s="6"/>
      <c r="CG167" s="6"/>
      <c r="CH167" s="6"/>
      <c r="CI167" s="6"/>
      <c r="CJ167" s="6"/>
      <c r="CK167" s="6"/>
      <c r="CL167" s="6"/>
      <c r="CM167" s="6"/>
      <c r="CN167" s="6"/>
      <c r="CO167" s="6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</row>
    <row r="168" spans="3:113" outlineLevel="1" x14ac:dyDescent="0.25">
      <c r="C168" s="100" t="s">
        <v>64</v>
      </c>
      <c r="D168" s="47" t="s">
        <v>107</v>
      </c>
      <c r="F168" s="30">
        <f>+F162+F165+F166</f>
        <v>0</v>
      </c>
      <c r="G168" s="30">
        <f t="shared" ref="G168:BR168" si="1945">+G162+G165+G166</f>
        <v>0</v>
      </c>
      <c r="H168" s="30">
        <f t="shared" si="1945"/>
        <v>0</v>
      </c>
      <c r="I168" s="30">
        <f t="shared" si="1945"/>
        <v>0</v>
      </c>
      <c r="J168" s="30">
        <f t="shared" si="1945"/>
        <v>0</v>
      </c>
      <c r="K168" s="30">
        <f t="shared" si="1945"/>
        <v>0</v>
      </c>
      <c r="L168" s="30">
        <f t="shared" si="1945"/>
        <v>0</v>
      </c>
      <c r="M168" s="30">
        <f t="shared" si="1945"/>
        <v>0</v>
      </c>
      <c r="N168" s="30">
        <f t="shared" si="1945"/>
        <v>0</v>
      </c>
      <c r="O168" s="30">
        <f t="shared" si="1945"/>
        <v>0</v>
      </c>
      <c r="P168" s="30">
        <f t="shared" si="1945"/>
        <v>0</v>
      </c>
      <c r="Q168" s="30">
        <f t="shared" si="1945"/>
        <v>0</v>
      </c>
      <c r="R168" s="30">
        <f t="shared" si="1945"/>
        <v>0</v>
      </c>
      <c r="S168" s="30">
        <f t="shared" si="1945"/>
        <v>0</v>
      </c>
      <c r="T168" s="30">
        <f t="shared" si="1945"/>
        <v>0</v>
      </c>
      <c r="U168" s="30">
        <f t="shared" si="1945"/>
        <v>0</v>
      </c>
      <c r="V168" s="30">
        <f t="shared" si="1945"/>
        <v>0</v>
      </c>
      <c r="W168" s="30">
        <f t="shared" si="1945"/>
        <v>0</v>
      </c>
      <c r="X168" s="30">
        <f t="shared" si="1945"/>
        <v>0</v>
      </c>
      <c r="Y168" s="30">
        <f t="shared" si="1945"/>
        <v>0</v>
      </c>
      <c r="Z168" s="30">
        <f t="shared" si="1945"/>
        <v>0</v>
      </c>
      <c r="AA168" s="30">
        <f t="shared" si="1945"/>
        <v>0</v>
      </c>
      <c r="AB168" s="30">
        <f t="shared" si="1945"/>
        <v>0</v>
      </c>
      <c r="AC168" s="30">
        <f t="shared" si="1945"/>
        <v>0</v>
      </c>
      <c r="AD168" s="30">
        <f t="shared" si="1945"/>
        <v>0</v>
      </c>
      <c r="AE168" s="30">
        <f t="shared" si="1945"/>
        <v>0</v>
      </c>
      <c r="AF168" s="30">
        <f t="shared" si="1945"/>
        <v>0</v>
      </c>
      <c r="AG168" s="30">
        <f t="shared" si="1945"/>
        <v>0</v>
      </c>
      <c r="AH168" s="30">
        <f t="shared" si="1945"/>
        <v>0</v>
      </c>
      <c r="AI168" s="30">
        <f t="shared" si="1945"/>
        <v>0</v>
      </c>
      <c r="AJ168" s="30">
        <f t="shared" si="1945"/>
        <v>0</v>
      </c>
      <c r="AK168" s="30">
        <f t="shared" si="1945"/>
        <v>0</v>
      </c>
      <c r="AL168" s="30">
        <f t="shared" si="1945"/>
        <v>0</v>
      </c>
      <c r="AM168" s="30">
        <f t="shared" si="1945"/>
        <v>0</v>
      </c>
      <c r="AN168" s="30">
        <f t="shared" si="1945"/>
        <v>0</v>
      </c>
      <c r="AO168" s="30">
        <f t="shared" si="1945"/>
        <v>0</v>
      </c>
      <c r="AP168" s="30">
        <f t="shared" si="1945"/>
        <v>0</v>
      </c>
      <c r="AQ168" s="30">
        <f t="shared" si="1945"/>
        <v>0</v>
      </c>
      <c r="AR168" s="30">
        <f t="shared" si="1945"/>
        <v>0</v>
      </c>
      <c r="AS168" s="30">
        <f t="shared" si="1945"/>
        <v>0</v>
      </c>
      <c r="AT168" s="30">
        <f t="shared" si="1945"/>
        <v>0</v>
      </c>
      <c r="AU168" s="30">
        <f t="shared" si="1945"/>
        <v>0</v>
      </c>
      <c r="AV168" s="30">
        <f t="shared" si="1945"/>
        <v>0</v>
      </c>
      <c r="AW168" s="30">
        <f t="shared" si="1945"/>
        <v>0</v>
      </c>
      <c r="AX168" s="30">
        <f t="shared" si="1945"/>
        <v>0</v>
      </c>
      <c r="AY168" s="30">
        <f t="shared" si="1945"/>
        <v>0</v>
      </c>
      <c r="AZ168" s="30">
        <f t="shared" si="1945"/>
        <v>0</v>
      </c>
      <c r="BA168" s="30">
        <f t="shared" si="1945"/>
        <v>0</v>
      </c>
      <c r="BB168" s="30">
        <f t="shared" si="1945"/>
        <v>-930526.33117645048</v>
      </c>
      <c r="BC168" s="30">
        <f t="shared" si="1945"/>
        <v>-932253.32992209983</v>
      </c>
      <c r="BD168" s="30">
        <f t="shared" si="1945"/>
        <v>-933983.53386954404</v>
      </c>
      <c r="BE168" s="30">
        <f t="shared" si="1945"/>
        <v>-935716.94896743889</v>
      </c>
      <c r="BF168" s="30">
        <f t="shared" si="1945"/>
        <v>-937453.58117547771</v>
      </c>
      <c r="BG168" s="30">
        <f t="shared" si="1945"/>
        <v>-939193.43646441679</v>
      </c>
      <c r="BH168" s="30">
        <f t="shared" si="1945"/>
        <v>1751198.2218403262</v>
      </c>
      <c r="BI168" s="30">
        <f t="shared" si="1945"/>
        <v>1749451.9024329749</v>
      </c>
      <c r="BJ168" s="30">
        <f t="shared" si="1945"/>
        <v>1747702.3419658868</v>
      </c>
      <c r="BK168" s="30">
        <f t="shared" si="1945"/>
        <v>3762153.7462841878</v>
      </c>
      <c r="BL168" s="30">
        <f t="shared" si="1945"/>
        <v>1914498.562030802</v>
      </c>
      <c r="BM168" s="30">
        <f t="shared" si="1945"/>
        <v>3758638.3658586466</v>
      </c>
      <c r="BN168" s="30">
        <f t="shared" si="1945"/>
        <v>3862619.7646172652</v>
      </c>
      <c r="BO168" s="30">
        <f t="shared" si="1945"/>
        <v>3860659.5073904502</v>
      </c>
      <c r="BP168" s="30">
        <f t="shared" si="1945"/>
        <v>3858695.2123547024</v>
      </c>
      <c r="BQ168" s="30">
        <f t="shared" si="1945"/>
        <v>3856726.8711927934</v>
      </c>
      <c r="BR168" s="30">
        <f t="shared" si="1945"/>
        <v>3854754.4755703686</v>
      </c>
      <c r="BS168" s="30">
        <f t="shared" ref="BS168:DI168" si="1946">+BS162+BS165+BS166</f>
        <v>3852778.0171359042</v>
      </c>
      <c r="BT168" s="30">
        <f t="shared" si="1946"/>
        <v>3850797.4875206677</v>
      </c>
      <c r="BU168" s="30">
        <f t="shared" si="1946"/>
        <v>3848812.8783386978</v>
      </c>
      <c r="BV168" s="30">
        <f t="shared" si="1946"/>
        <v>3846824.1811867524</v>
      </c>
      <c r="BW168" s="30">
        <f t="shared" si="1946"/>
        <v>3844831.3876442853</v>
      </c>
      <c r="BX168" s="30">
        <f t="shared" si="1946"/>
        <v>3842834.4892734005</v>
      </c>
      <c r="BY168" s="30">
        <f t="shared" si="1946"/>
        <v>3840833.4776188228</v>
      </c>
      <c r="BZ168" s="30">
        <f t="shared" si="1946"/>
        <v>3947149.5672802143</v>
      </c>
      <c r="CA168" s="30">
        <f t="shared" si="1946"/>
        <v>6790097.0165936202</v>
      </c>
      <c r="CB168" s="30">
        <f t="shared" si="1946"/>
        <v>6788083.6141819777</v>
      </c>
      <c r="CC168" s="30">
        <f t="shared" si="1946"/>
        <v>6786066.0644910224</v>
      </c>
      <c r="CD168" s="30">
        <f t="shared" si="1946"/>
        <v>6784044.3589780368</v>
      </c>
      <c r="CE168" s="30">
        <f t="shared" si="1946"/>
        <v>6782018.4890827071</v>
      </c>
      <c r="CF168" s="30">
        <f t="shared" si="1946"/>
        <v>6779988.4462270942</v>
      </c>
      <c r="CG168" s="30">
        <f t="shared" si="1946"/>
        <v>6777954.2218155712</v>
      </c>
      <c r="CH168" s="30">
        <f t="shared" si="1946"/>
        <v>6775915.8072348284</v>
      </c>
      <c r="CI168" s="30">
        <f t="shared" si="1946"/>
        <v>6773873.1938538011</v>
      </c>
      <c r="CJ168" s="30">
        <f t="shared" si="1946"/>
        <v>6835837.8990654871</v>
      </c>
      <c r="CK168" s="30">
        <f t="shared" si="1946"/>
        <v>6833786.8621195462</v>
      </c>
      <c r="CL168" s="30">
        <f t="shared" si="1946"/>
        <v>3546089.0224650325</v>
      </c>
      <c r="CM168" s="30">
        <f t="shared" si="1946"/>
        <v>3542961.650735673</v>
      </c>
      <c r="CN168" s="30">
        <f t="shared" si="1946"/>
        <v>3539827.8371325969</v>
      </c>
      <c r="CO168" s="30">
        <f t="shared" si="1946"/>
        <v>3536687.5683865952</v>
      </c>
      <c r="CP168" s="30">
        <f t="shared" si="1946"/>
        <v>3533540.8312011361</v>
      </c>
      <c r="CQ168" s="30">
        <f t="shared" si="1946"/>
        <v>3530387.6122522866</v>
      </c>
      <c r="CR168" s="30">
        <f t="shared" si="1946"/>
        <v>3527227.8981886813</v>
      </c>
      <c r="CS168" s="30">
        <f t="shared" si="1946"/>
        <v>3524061.6756314482</v>
      </c>
      <c r="CT168" s="30">
        <f t="shared" si="1946"/>
        <v>5005488.9473531786</v>
      </c>
      <c r="CU168" s="30">
        <f t="shared" si="1946"/>
        <v>5530427.9710631445</v>
      </c>
      <c r="CV168" s="30">
        <f t="shared" si="1946"/>
        <v>5593781.7650900204</v>
      </c>
      <c r="CW168" s="30">
        <f t="shared" si="1946"/>
        <v>5591679.4522204306</v>
      </c>
      <c r="CX168" s="30">
        <f t="shared" si="1946"/>
        <v>3095444.5488684215</v>
      </c>
      <c r="CY168" s="30">
        <f t="shared" si="1946"/>
        <v>3092559.3557899571</v>
      </c>
      <c r="CZ168" s="30">
        <f t="shared" si="1946"/>
        <v>3089668.2196861468</v>
      </c>
      <c r="DA168" s="30">
        <f t="shared" si="1946"/>
        <v>3086771.1283153258</v>
      </c>
      <c r="DB168" s="30">
        <f t="shared" si="1946"/>
        <v>3083868.0694106235</v>
      </c>
      <c r="DC168" s="30">
        <f t="shared" si="1946"/>
        <v>3080959.0306798979</v>
      </c>
      <c r="DD168" s="30">
        <f t="shared" si="1946"/>
        <v>3078043.9998056809</v>
      </c>
      <c r="DE168" s="30">
        <f t="shared" si="1946"/>
        <v>4593002.7577327592</v>
      </c>
      <c r="DF168" s="30">
        <f t="shared" si="1946"/>
        <v>5735283.8040812258</v>
      </c>
      <c r="DG168" s="30">
        <f t="shared" si="1946"/>
        <v>6076697.445085221</v>
      </c>
      <c r="DH168" s="30">
        <f t="shared" si="1946"/>
        <v>6217957.4969025757</v>
      </c>
      <c r="DI168" s="30">
        <f t="shared" si="1946"/>
        <v>6215802.6262112465</v>
      </c>
    </row>
    <row r="169" spans="3:113" outlineLevel="1" x14ac:dyDescent="0.25">
      <c r="C169" s="109" t="s">
        <v>65</v>
      </c>
      <c r="D169" s="46" t="s">
        <v>39</v>
      </c>
      <c r="F169" s="145" t="str">
        <f>IFERROR(+F168/F$154,"N/A")</f>
        <v>N/A</v>
      </c>
      <c r="G169" s="73" t="str">
        <f t="shared" ref="G169:BR169" si="1947">IFERROR(+G168/G$154,"N/A")</f>
        <v>N/A</v>
      </c>
      <c r="H169" s="73" t="str">
        <f t="shared" si="1947"/>
        <v>N/A</v>
      </c>
      <c r="I169" s="73" t="str">
        <f t="shared" si="1947"/>
        <v>N/A</v>
      </c>
      <c r="J169" s="73" t="str">
        <f t="shared" si="1947"/>
        <v>N/A</v>
      </c>
      <c r="K169" s="73" t="str">
        <f t="shared" si="1947"/>
        <v>N/A</v>
      </c>
      <c r="L169" s="73" t="str">
        <f t="shared" si="1947"/>
        <v>N/A</v>
      </c>
      <c r="M169" s="73" t="str">
        <f t="shared" si="1947"/>
        <v>N/A</v>
      </c>
      <c r="N169" s="73" t="str">
        <f t="shared" si="1947"/>
        <v>N/A</v>
      </c>
      <c r="O169" s="73" t="str">
        <f t="shared" si="1947"/>
        <v>N/A</v>
      </c>
      <c r="P169" s="73" t="str">
        <f t="shared" si="1947"/>
        <v>N/A</v>
      </c>
      <c r="Q169" s="73" t="str">
        <f t="shared" si="1947"/>
        <v>N/A</v>
      </c>
      <c r="R169" s="73" t="str">
        <f t="shared" si="1947"/>
        <v>N/A</v>
      </c>
      <c r="S169" s="73" t="str">
        <f t="shared" si="1947"/>
        <v>N/A</v>
      </c>
      <c r="T169" s="73" t="str">
        <f t="shared" si="1947"/>
        <v>N/A</v>
      </c>
      <c r="U169" s="73" t="str">
        <f t="shared" si="1947"/>
        <v>N/A</v>
      </c>
      <c r="V169" s="73" t="str">
        <f t="shared" si="1947"/>
        <v>N/A</v>
      </c>
      <c r="W169" s="73" t="str">
        <f t="shared" si="1947"/>
        <v>N/A</v>
      </c>
      <c r="X169" s="73" t="str">
        <f t="shared" si="1947"/>
        <v>N/A</v>
      </c>
      <c r="Y169" s="73" t="str">
        <f t="shared" si="1947"/>
        <v>N/A</v>
      </c>
      <c r="Z169" s="73" t="str">
        <f t="shared" si="1947"/>
        <v>N/A</v>
      </c>
      <c r="AA169" s="73" t="str">
        <f t="shared" si="1947"/>
        <v>N/A</v>
      </c>
      <c r="AB169" s="73" t="str">
        <f t="shared" si="1947"/>
        <v>N/A</v>
      </c>
      <c r="AC169" s="73" t="str">
        <f t="shared" si="1947"/>
        <v>N/A</v>
      </c>
      <c r="AD169" s="73" t="str">
        <f t="shared" si="1947"/>
        <v>N/A</v>
      </c>
      <c r="AE169" s="73" t="str">
        <f t="shared" si="1947"/>
        <v>N/A</v>
      </c>
      <c r="AF169" s="73" t="str">
        <f t="shared" si="1947"/>
        <v>N/A</v>
      </c>
      <c r="AG169" s="73" t="str">
        <f t="shared" si="1947"/>
        <v>N/A</v>
      </c>
      <c r="AH169" s="73" t="str">
        <f t="shared" si="1947"/>
        <v>N/A</v>
      </c>
      <c r="AI169" s="73" t="str">
        <f t="shared" si="1947"/>
        <v>N/A</v>
      </c>
      <c r="AJ169" s="73" t="str">
        <f t="shared" si="1947"/>
        <v>N/A</v>
      </c>
      <c r="AK169" s="73" t="str">
        <f t="shared" si="1947"/>
        <v>N/A</v>
      </c>
      <c r="AL169" s="73" t="str">
        <f t="shared" si="1947"/>
        <v>N/A</v>
      </c>
      <c r="AM169" s="73" t="str">
        <f t="shared" si="1947"/>
        <v>N/A</v>
      </c>
      <c r="AN169" s="73" t="str">
        <f t="shared" si="1947"/>
        <v>N/A</v>
      </c>
      <c r="AO169" s="73" t="str">
        <f t="shared" si="1947"/>
        <v>N/A</v>
      </c>
      <c r="AP169" s="73" t="str">
        <f t="shared" si="1947"/>
        <v>N/A</v>
      </c>
      <c r="AQ169" s="73" t="str">
        <f t="shared" si="1947"/>
        <v>N/A</v>
      </c>
      <c r="AR169" s="73" t="str">
        <f t="shared" si="1947"/>
        <v>N/A</v>
      </c>
      <c r="AS169" s="73" t="str">
        <f t="shared" si="1947"/>
        <v>N/A</v>
      </c>
      <c r="AT169" s="73" t="str">
        <f t="shared" si="1947"/>
        <v>N/A</v>
      </c>
      <c r="AU169" s="73" t="str">
        <f t="shared" si="1947"/>
        <v>N/A</v>
      </c>
      <c r="AV169" s="73" t="str">
        <f t="shared" si="1947"/>
        <v>N/A</v>
      </c>
      <c r="AW169" s="73" t="str">
        <f t="shared" si="1947"/>
        <v>N/A</v>
      </c>
      <c r="AX169" s="73" t="str">
        <f t="shared" si="1947"/>
        <v>N/A</v>
      </c>
      <c r="AY169" s="73" t="str">
        <f t="shared" si="1947"/>
        <v>N/A</v>
      </c>
      <c r="AZ169" s="73" t="str">
        <f t="shared" si="1947"/>
        <v>N/A</v>
      </c>
      <c r="BA169" s="73" t="str">
        <f t="shared" si="1947"/>
        <v>N/A</v>
      </c>
      <c r="BB169" s="73">
        <f t="shared" si="1947"/>
        <v>-0.54785714285714293</v>
      </c>
      <c r="BC169" s="73">
        <f t="shared" si="1947"/>
        <v>-0.54785714285714304</v>
      </c>
      <c r="BD169" s="73">
        <f t="shared" si="1947"/>
        <v>-0.54785714285714271</v>
      </c>
      <c r="BE169" s="73">
        <f t="shared" si="1947"/>
        <v>-0.54785714285714304</v>
      </c>
      <c r="BF169" s="73">
        <f t="shared" si="1947"/>
        <v>-0.54785714285714304</v>
      </c>
      <c r="BG169" s="73">
        <f t="shared" si="1947"/>
        <v>-0.54785714285714315</v>
      </c>
      <c r="BH169" s="73">
        <f t="shared" si="1947"/>
        <v>0.38977170850337139</v>
      </c>
      <c r="BI169" s="73">
        <f t="shared" si="1947"/>
        <v>0.38910696467799738</v>
      </c>
      <c r="BJ169" s="73">
        <f t="shared" si="1947"/>
        <v>0.3884419316414281</v>
      </c>
      <c r="BK169" s="73">
        <f t="shared" si="1947"/>
        <v>0.57166698869840982</v>
      </c>
      <c r="BL169" s="73">
        <f t="shared" si="1947"/>
        <v>0.29077036721369115</v>
      </c>
      <c r="BM169" s="73">
        <f t="shared" si="1947"/>
        <v>0.57057649842015012</v>
      </c>
      <c r="BN169" s="73">
        <f t="shared" si="1947"/>
        <v>0.57649108795305026</v>
      </c>
      <c r="BO169" s="73">
        <f t="shared" si="1947"/>
        <v>0.57589098556326146</v>
      </c>
      <c r="BP169" s="73">
        <f t="shared" si="1947"/>
        <v>0.57529028928752024</v>
      </c>
      <c r="BQ169" s="73">
        <f t="shared" si="1947"/>
        <v>0.5746889995174107</v>
      </c>
      <c r="BR169" s="73">
        <f t="shared" si="1947"/>
        <v>0.57408711664780732</v>
      </c>
      <c r="BS169" s="73">
        <f t="shared" ref="BS169:DI169" si="1948">IFERROR(+BS168/BS$154,"N/A")</f>
        <v>0.57348464107687758</v>
      </c>
      <c r="BT169" s="73">
        <f t="shared" si="1948"/>
        <v>0.57288157320608502</v>
      </c>
      <c r="BU169" s="73">
        <f t="shared" si="1948"/>
        <v>0.5722779134401943</v>
      </c>
      <c r="BV169" s="73">
        <f t="shared" si="1948"/>
        <v>0.57167366218727267</v>
      </c>
      <c r="BW169" s="73">
        <f t="shared" si="1948"/>
        <v>0.57106881985869529</v>
      </c>
      <c r="BX169" s="73">
        <f t="shared" si="1948"/>
        <v>0.57046338686914688</v>
      </c>
      <c r="BY169" s="73">
        <f t="shared" si="1948"/>
        <v>0.56985736363662642</v>
      </c>
      <c r="BZ169" s="73">
        <f t="shared" si="1948"/>
        <v>0.57577884853166528</v>
      </c>
      <c r="CA169" s="73">
        <f t="shared" si="1948"/>
        <v>0.69343772491224054</v>
      </c>
      <c r="CB169" s="73">
        <f t="shared" si="1948"/>
        <v>0.69297202437919847</v>
      </c>
      <c r="CC169" s="73">
        <f t="shared" si="1948"/>
        <v>0.69250571496468893</v>
      </c>
      <c r="CD169" s="73">
        <f t="shared" si="1948"/>
        <v>0.69203879646296573</v>
      </c>
      <c r="CE169" s="73">
        <f t="shared" si="1948"/>
        <v>0.69157126867032714</v>
      </c>
      <c r="CF169" s="73">
        <f t="shared" si="1948"/>
        <v>0.69110313138512314</v>
      </c>
      <c r="CG169" s="73">
        <f t="shared" si="1948"/>
        <v>0.69063438440776093</v>
      </c>
      <c r="CH169" s="73">
        <f t="shared" si="1948"/>
        <v>0.69016502754071307</v>
      </c>
      <c r="CI169" s="73">
        <f t="shared" si="1948"/>
        <v>0.68969506058852315</v>
      </c>
      <c r="CJ169" s="73">
        <f t="shared" si="1948"/>
        <v>0.69109772320898488</v>
      </c>
      <c r="CK169" s="73">
        <f t="shared" si="1948"/>
        <v>0.69062896919160655</v>
      </c>
      <c r="CL169" s="73">
        <f t="shared" si="1948"/>
        <v>0.54458780152954489</v>
      </c>
      <c r="CM169" s="73">
        <f t="shared" si="1948"/>
        <v>0.54388548038475037</v>
      </c>
      <c r="CN169" s="73">
        <f t="shared" si="1948"/>
        <v>0.54318228731221552</v>
      </c>
      <c r="CO169" s="73">
        <f t="shared" si="1948"/>
        <v>0.54247822217869479</v>
      </c>
      <c r="CP169" s="73">
        <f t="shared" si="1948"/>
        <v>0.54177328485430976</v>
      </c>
      <c r="CQ169" s="73">
        <f t="shared" si="1948"/>
        <v>0.54106747521255671</v>
      </c>
      <c r="CR169" s="73">
        <f t="shared" si="1948"/>
        <v>0.54036079313031793</v>
      </c>
      <c r="CS169" s="73">
        <f t="shared" si="1948"/>
        <v>0.53965323848786906</v>
      </c>
      <c r="CT169" s="73">
        <f t="shared" si="1948"/>
        <v>0.62076301280742541</v>
      </c>
      <c r="CU169" s="73">
        <f t="shared" si="1948"/>
        <v>0.64228136154953885</v>
      </c>
      <c r="CV169" s="73">
        <f t="shared" si="1948"/>
        <v>0.64430345095811725</v>
      </c>
      <c r="CW169" s="73">
        <f t="shared" si="1948"/>
        <v>0.64377675763954523</v>
      </c>
      <c r="CX169" s="73">
        <f t="shared" si="1948"/>
        <v>0.5059303127000857</v>
      </c>
      <c r="CY169" s="73">
        <f t="shared" si="1948"/>
        <v>0.50520648635010268</v>
      </c>
      <c r="CZ169" s="73">
        <f t="shared" si="1948"/>
        <v>0.50448189339076355</v>
      </c>
      <c r="DA169" s="73">
        <f t="shared" si="1948"/>
        <v>0.50375653414001387</v>
      </c>
      <c r="DB169" s="73">
        <f t="shared" si="1948"/>
        <v>0.50303040891972117</v>
      </c>
      <c r="DC169" s="73">
        <f t="shared" si="1948"/>
        <v>0.50230351805567897</v>
      </c>
      <c r="DD169" s="73">
        <f t="shared" si="1948"/>
        <v>0.50157586187761372</v>
      </c>
      <c r="DE169" s="73">
        <f t="shared" si="1948"/>
        <v>0.59613276628860468</v>
      </c>
      <c r="DF169" s="73">
        <f t="shared" si="1948"/>
        <v>0.64525561433881407</v>
      </c>
      <c r="DG169" s="73">
        <f t="shared" si="1948"/>
        <v>0.65163250137373085</v>
      </c>
      <c r="DH169" s="73">
        <f t="shared" si="1948"/>
        <v>0.66160704142802784</v>
      </c>
      <c r="DI169" s="73">
        <f t="shared" si="1948"/>
        <v>0.66110107983752509</v>
      </c>
    </row>
    <row r="170" spans="3:113" outlineLevel="1" x14ac:dyDescent="0.25">
      <c r="C170" s="103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223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  <c r="BX170" s="6"/>
      <c r="BY170" s="6"/>
      <c r="BZ170" s="6"/>
      <c r="CA170" s="6"/>
      <c r="CB170" s="6"/>
      <c r="CC170" s="6"/>
      <c r="CD170" s="6"/>
      <c r="CE170" s="6"/>
      <c r="CF170" s="6"/>
      <c r="CG170" s="6"/>
      <c r="CH170" s="6"/>
      <c r="CI170" s="6"/>
      <c r="CJ170" s="6"/>
      <c r="CK170" s="6"/>
      <c r="CL170" s="6"/>
      <c r="CM170" s="6"/>
      <c r="CN170" s="6"/>
      <c r="CO170" s="6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</row>
    <row r="171" spans="3:113" outlineLevel="1" x14ac:dyDescent="0.25">
      <c r="C171" s="101" t="s">
        <v>135</v>
      </c>
      <c r="D171" s="47" t="s">
        <v>107</v>
      </c>
      <c r="F171" s="67">
        <f t="shared" ref="F171:AK171" si="1949">IF(F$5&gt;Refi_Date,IPMT(Senior_Loan_Monthly_Interest,F$7-Refi_Month,Senior_Loan_Amort_Period*Months,Senior_Loan_Balance),0)</f>
        <v>0</v>
      </c>
      <c r="G171" s="67">
        <f t="shared" si="1949"/>
        <v>0</v>
      </c>
      <c r="H171" s="67">
        <f t="shared" si="1949"/>
        <v>0</v>
      </c>
      <c r="I171" s="67">
        <f t="shared" si="1949"/>
        <v>0</v>
      </c>
      <c r="J171" s="67">
        <f t="shared" si="1949"/>
        <v>0</v>
      </c>
      <c r="K171" s="67">
        <f t="shared" si="1949"/>
        <v>0</v>
      </c>
      <c r="L171" s="67">
        <f t="shared" si="1949"/>
        <v>0</v>
      </c>
      <c r="M171" s="67">
        <f t="shared" si="1949"/>
        <v>0</v>
      </c>
      <c r="N171" s="67">
        <f t="shared" si="1949"/>
        <v>0</v>
      </c>
      <c r="O171" s="67">
        <f t="shared" si="1949"/>
        <v>0</v>
      </c>
      <c r="P171" s="67">
        <f t="shared" si="1949"/>
        <v>0</v>
      </c>
      <c r="Q171" s="67">
        <f t="shared" si="1949"/>
        <v>0</v>
      </c>
      <c r="R171" s="67">
        <f t="shared" si="1949"/>
        <v>0</v>
      </c>
      <c r="S171" s="67">
        <f t="shared" si="1949"/>
        <v>0</v>
      </c>
      <c r="T171" s="67">
        <f t="shared" si="1949"/>
        <v>0</v>
      </c>
      <c r="U171" s="67">
        <f t="shared" si="1949"/>
        <v>0</v>
      </c>
      <c r="V171" s="67">
        <f t="shared" si="1949"/>
        <v>0</v>
      </c>
      <c r="W171" s="67">
        <f t="shared" si="1949"/>
        <v>0</v>
      </c>
      <c r="X171" s="67">
        <f t="shared" si="1949"/>
        <v>0</v>
      </c>
      <c r="Y171" s="67">
        <f t="shared" si="1949"/>
        <v>0</v>
      </c>
      <c r="Z171" s="67">
        <f t="shared" si="1949"/>
        <v>0</v>
      </c>
      <c r="AA171" s="67">
        <f t="shared" si="1949"/>
        <v>0</v>
      </c>
      <c r="AB171" s="67">
        <f t="shared" si="1949"/>
        <v>0</v>
      </c>
      <c r="AC171" s="67">
        <f t="shared" si="1949"/>
        <v>0</v>
      </c>
      <c r="AD171" s="67">
        <f t="shared" si="1949"/>
        <v>0</v>
      </c>
      <c r="AE171" s="67">
        <f t="shared" si="1949"/>
        <v>0</v>
      </c>
      <c r="AF171" s="67">
        <f t="shared" si="1949"/>
        <v>0</v>
      </c>
      <c r="AG171" s="67">
        <f t="shared" si="1949"/>
        <v>0</v>
      </c>
      <c r="AH171" s="67">
        <f t="shared" si="1949"/>
        <v>0</v>
      </c>
      <c r="AI171" s="67">
        <f t="shared" si="1949"/>
        <v>0</v>
      </c>
      <c r="AJ171" s="67">
        <f t="shared" si="1949"/>
        <v>0</v>
      </c>
      <c r="AK171" s="67">
        <f t="shared" si="1949"/>
        <v>0</v>
      </c>
      <c r="AL171" s="67">
        <f t="shared" ref="AL171:BQ171" si="1950">IF(AL$5&gt;Refi_Date,IPMT(Senior_Loan_Monthly_Interest,AL$7-Refi_Month,Senior_Loan_Amort_Period*Months,Senior_Loan_Balance),0)</f>
        <v>0</v>
      </c>
      <c r="AM171" s="67">
        <f t="shared" si="1950"/>
        <v>0</v>
      </c>
      <c r="AN171" s="67">
        <f t="shared" si="1950"/>
        <v>0</v>
      </c>
      <c r="AO171" s="67">
        <f t="shared" si="1950"/>
        <v>0</v>
      </c>
      <c r="AP171" s="67">
        <f t="shared" si="1950"/>
        <v>0</v>
      </c>
      <c r="AQ171" s="67">
        <f t="shared" si="1950"/>
        <v>0</v>
      </c>
      <c r="AR171" s="67">
        <f t="shared" si="1950"/>
        <v>0</v>
      </c>
      <c r="AS171" s="67">
        <f t="shared" si="1950"/>
        <v>0</v>
      </c>
      <c r="AT171" s="67">
        <f t="shared" si="1950"/>
        <v>0</v>
      </c>
      <c r="AU171" s="67">
        <f t="shared" si="1950"/>
        <v>0</v>
      </c>
      <c r="AV171" s="67">
        <f t="shared" si="1950"/>
        <v>0</v>
      </c>
      <c r="AW171" s="67">
        <f t="shared" si="1950"/>
        <v>0</v>
      </c>
      <c r="AX171" s="67">
        <f t="shared" si="1950"/>
        <v>0</v>
      </c>
      <c r="AY171" s="67">
        <f t="shared" si="1950"/>
        <v>0</v>
      </c>
      <c r="AZ171" s="67">
        <f t="shared" si="1950"/>
        <v>0</v>
      </c>
      <c r="BA171" s="67">
        <f t="shared" si="1950"/>
        <v>0</v>
      </c>
      <c r="BB171" s="67">
        <f t="shared" si="1950"/>
        <v>-2001861.7835607091</v>
      </c>
      <c r="BC171" s="67">
        <f t="shared" si="1950"/>
        <v>-1998680.9320804132</v>
      </c>
      <c r="BD171" s="67">
        <f t="shared" si="1950"/>
        <v>-1995490.9486976764</v>
      </c>
      <c r="BE171" s="67">
        <f t="shared" si="1950"/>
        <v>-1992291.8071957328</v>
      </c>
      <c r="BF171" s="67">
        <f t="shared" si="1950"/>
        <v>-1989083.481282549</v>
      </c>
      <c r="BG171" s="67">
        <f t="shared" si="1950"/>
        <v>-1985865.9445906107</v>
      </c>
      <c r="BH171" s="67">
        <f t="shared" si="1950"/>
        <v>-1982639.1706767045</v>
      </c>
      <c r="BI171" s="67">
        <f t="shared" si="1950"/>
        <v>-1979403.133021703</v>
      </c>
      <c r="BJ171" s="67">
        <f t="shared" si="1950"/>
        <v>-1976157.8050303424</v>
      </c>
      <c r="BK171" s="67">
        <f t="shared" si="1950"/>
        <v>-1972903.1600310085</v>
      </c>
      <c r="BL171" s="67">
        <f t="shared" si="1950"/>
        <v>-1969639.1712755146</v>
      </c>
      <c r="BM171" s="67">
        <f t="shared" si="1950"/>
        <v>-1966365.8119388842</v>
      </c>
      <c r="BN171" s="67">
        <f t="shared" si="1950"/>
        <v>-1963083.0551191261</v>
      </c>
      <c r="BO171" s="67">
        <f t="shared" si="1950"/>
        <v>-1959790.8738370205</v>
      </c>
      <c r="BP171" s="67">
        <f t="shared" si="1950"/>
        <v>-1956489.2410358873</v>
      </c>
      <c r="BQ171" s="67">
        <f t="shared" si="1950"/>
        <v>-1953178.1295813762</v>
      </c>
      <c r="BR171" s="67">
        <f t="shared" ref="BR171:CW171" si="1951">IF(BR$5&gt;Refi_Date,IPMT(Senior_Loan_Monthly_Interest,BR$7-Refi_Month,Senior_Loan_Amort_Period*Months,Senior_Loan_Balance),0)</f>
        <v>-1949857.5122612307</v>
      </c>
      <c r="BS171" s="67">
        <f t="shared" si="1951"/>
        <v>-1946527.3617850745</v>
      </c>
      <c r="BT171" s="67">
        <f t="shared" si="1951"/>
        <v>-1943187.6507841821</v>
      </c>
      <c r="BU171" s="67">
        <f t="shared" si="1951"/>
        <v>-1939838.3518112549</v>
      </c>
      <c r="BV171" s="67">
        <f t="shared" si="1951"/>
        <v>-1936479.4373401967</v>
      </c>
      <c r="BW171" s="67">
        <f t="shared" si="1951"/>
        <v>-1933110.8797658861</v>
      </c>
      <c r="BX171" s="67">
        <f t="shared" si="1951"/>
        <v>-1929732.6514039496</v>
      </c>
      <c r="BY171" s="67">
        <f t="shared" si="1951"/>
        <v>-1926344.7244905371</v>
      </c>
      <c r="BZ171" s="67">
        <f t="shared" si="1951"/>
        <v>-1922947.0711820882</v>
      </c>
      <c r="CA171" s="67">
        <f t="shared" si="1951"/>
        <v>-1919539.663555108</v>
      </c>
      <c r="CB171" s="67">
        <f t="shared" si="1951"/>
        <v>-1916122.4736059364</v>
      </c>
      <c r="CC171" s="67">
        <f t="shared" si="1951"/>
        <v>-1912695.4732505169</v>
      </c>
      <c r="CD171" s="67">
        <f t="shared" si="1951"/>
        <v>-1909258.6343241665</v>
      </c>
      <c r="CE171" s="67">
        <f t="shared" si="1951"/>
        <v>-1905811.9285813447</v>
      </c>
      <c r="CF171" s="67">
        <f t="shared" si="1951"/>
        <v>-1902355.3276954207</v>
      </c>
      <c r="CG171" s="67">
        <f t="shared" si="1951"/>
        <v>-1898888.8032584416</v>
      </c>
      <c r="CH171" s="67">
        <f t="shared" si="1951"/>
        <v>-1895412.3267808962</v>
      </c>
      <c r="CI171" s="67">
        <f t="shared" si="1951"/>
        <v>-1891925.8696914844</v>
      </c>
      <c r="CJ171" s="67">
        <f t="shared" si="1951"/>
        <v>-1888429.403336881</v>
      </c>
      <c r="CK171" s="67">
        <f t="shared" si="1951"/>
        <v>-1884922.8989814988</v>
      </c>
      <c r="CL171" s="67">
        <f t="shared" si="1951"/>
        <v>-1881406.3278072537</v>
      </c>
      <c r="CM171" s="67">
        <f t="shared" si="1951"/>
        <v>-1877879.6609133291</v>
      </c>
      <c r="CN171" s="67">
        <f t="shared" si="1951"/>
        <v>-1874342.8693159365</v>
      </c>
      <c r="CO171" s="67">
        <f t="shared" si="1951"/>
        <v>-1870795.923948077</v>
      </c>
      <c r="CP171" s="67">
        <f t="shared" si="1951"/>
        <v>-1867238.7956593044</v>
      </c>
      <c r="CQ171" s="67">
        <f t="shared" si="1951"/>
        <v>-1863671.4552154841</v>
      </c>
      <c r="CR171" s="67">
        <f t="shared" si="1951"/>
        <v>-1860093.8732985531</v>
      </c>
      <c r="CS171" s="67">
        <f t="shared" si="1951"/>
        <v>-1856506.0205062793</v>
      </c>
      <c r="CT171" s="67">
        <f t="shared" si="1951"/>
        <v>-1852907.86735202</v>
      </c>
      <c r="CU171" s="67">
        <f t="shared" si="1951"/>
        <v>-1849299.3842644787</v>
      </c>
      <c r="CV171" s="67">
        <f t="shared" si="1951"/>
        <v>-1845680.5415874643</v>
      </c>
      <c r="CW171" s="67">
        <f t="shared" si="1951"/>
        <v>-1842051.309579643</v>
      </c>
      <c r="CX171" s="67">
        <f t="shared" ref="CX171:DI171" si="1952">IF(CX$5&gt;Refi_Date,IPMT(Senior_Loan_Monthly_Interest,CX$7-Refi_Month,Senior_Loan_Amort_Period*Months,Senior_Loan_Balance),0)</f>
        <v>-1838411.6584143001</v>
      </c>
      <c r="CY171" s="67">
        <f t="shared" si="1952"/>
        <v>-1834761.5581790884</v>
      </c>
      <c r="CZ171" s="67">
        <f t="shared" si="1952"/>
        <v>-1831100.978875787</v>
      </c>
      <c r="DA171" s="67">
        <f t="shared" si="1952"/>
        <v>-1827429.8904200522</v>
      </c>
      <c r="DB171" s="67">
        <f t="shared" si="1952"/>
        <v>-1823748.2626411724</v>
      </c>
      <c r="DC171" s="67">
        <f t="shared" si="1952"/>
        <v>-1820056.0652818189</v>
      </c>
      <c r="DD171" s="67">
        <f t="shared" si="1952"/>
        <v>-1816353.267997795</v>
      </c>
      <c r="DE171" s="67">
        <f t="shared" si="1952"/>
        <v>-1812639.8403577916</v>
      </c>
      <c r="DF171" s="67">
        <f t="shared" si="1952"/>
        <v>-1808915.751843133</v>
      </c>
      <c r="DG171" s="67">
        <f t="shared" si="1952"/>
        <v>-1805180.9718475284</v>
      </c>
      <c r="DH171" s="67">
        <f t="shared" si="1952"/>
        <v>-1801435.4696768175</v>
      </c>
      <c r="DI171" s="67">
        <f t="shared" si="1952"/>
        <v>-1797679.2145487233</v>
      </c>
    </row>
    <row r="172" spans="3:113" outlineLevel="1" x14ac:dyDescent="0.25">
      <c r="C172" s="101" t="s">
        <v>136</v>
      </c>
      <c r="D172" s="47" t="s">
        <v>107</v>
      </c>
      <c r="F172" s="67">
        <f t="shared" ref="F172:AK172" si="1953">IF(F$5&gt;Refi_Date,-E180*Mezz_Monthly_Cash_Interest,0)</f>
        <v>0</v>
      </c>
      <c r="G172" s="67">
        <f t="shared" si="1953"/>
        <v>0</v>
      </c>
      <c r="H172" s="67">
        <f t="shared" si="1953"/>
        <v>0</v>
      </c>
      <c r="I172" s="67">
        <f t="shared" si="1953"/>
        <v>0</v>
      </c>
      <c r="J172" s="67">
        <f t="shared" si="1953"/>
        <v>0</v>
      </c>
      <c r="K172" s="67">
        <f t="shared" si="1953"/>
        <v>0</v>
      </c>
      <c r="L172" s="67">
        <f t="shared" si="1953"/>
        <v>0</v>
      </c>
      <c r="M172" s="67">
        <f t="shared" si="1953"/>
        <v>0</v>
      </c>
      <c r="N172" s="67">
        <f t="shared" si="1953"/>
        <v>0</v>
      </c>
      <c r="O172" s="67">
        <f t="shared" si="1953"/>
        <v>0</v>
      </c>
      <c r="P172" s="67">
        <f t="shared" si="1953"/>
        <v>0</v>
      </c>
      <c r="Q172" s="67">
        <f t="shared" si="1953"/>
        <v>0</v>
      </c>
      <c r="R172" s="67">
        <f t="shared" si="1953"/>
        <v>0</v>
      </c>
      <c r="S172" s="67">
        <f t="shared" si="1953"/>
        <v>0</v>
      </c>
      <c r="T172" s="67">
        <f t="shared" si="1953"/>
        <v>0</v>
      </c>
      <c r="U172" s="67">
        <f t="shared" si="1953"/>
        <v>0</v>
      </c>
      <c r="V172" s="67">
        <f t="shared" si="1953"/>
        <v>0</v>
      </c>
      <c r="W172" s="67">
        <f t="shared" si="1953"/>
        <v>0</v>
      </c>
      <c r="X172" s="67">
        <f t="shared" si="1953"/>
        <v>0</v>
      </c>
      <c r="Y172" s="67">
        <f t="shared" si="1953"/>
        <v>0</v>
      </c>
      <c r="Z172" s="67">
        <f t="shared" si="1953"/>
        <v>0</v>
      </c>
      <c r="AA172" s="67">
        <f t="shared" si="1953"/>
        <v>0</v>
      </c>
      <c r="AB172" s="67">
        <f t="shared" si="1953"/>
        <v>0</v>
      </c>
      <c r="AC172" s="67">
        <f t="shared" si="1953"/>
        <v>0</v>
      </c>
      <c r="AD172" s="67">
        <f t="shared" si="1953"/>
        <v>0</v>
      </c>
      <c r="AE172" s="67">
        <f t="shared" si="1953"/>
        <v>0</v>
      </c>
      <c r="AF172" s="67">
        <f t="shared" si="1953"/>
        <v>0</v>
      </c>
      <c r="AG172" s="67">
        <f t="shared" si="1953"/>
        <v>0</v>
      </c>
      <c r="AH172" s="67">
        <f t="shared" si="1953"/>
        <v>0</v>
      </c>
      <c r="AI172" s="67">
        <f t="shared" si="1953"/>
        <v>0</v>
      </c>
      <c r="AJ172" s="67">
        <f t="shared" si="1953"/>
        <v>0</v>
      </c>
      <c r="AK172" s="67">
        <f t="shared" si="1953"/>
        <v>0</v>
      </c>
      <c r="AL172" s="67">
        <f t="shared" ref="AL172:BQ172" si="1954">IF(AL$5&gt;Refi_Date,-AK180*Mezz_Monthly_Cash_Interest,0)</f>
        <v>0</v>
      </c>
      <c r="AM172" s="67">
        <f t="shared" si="1954"/>
        <v>0</v>
      </c>
      <c r="AN172" s="67">
        <f t="shared" si="1954"/>
        <v>0</v>
      </c>
      <c r="AO172" s="67">
        <f t="shared" si="1954"/>
        <v>0</v>
      </c>
      <c r="AP172" s="67">
        <f t="shared" si="1954"/>
        <v>0</v>
      </c>
      <c r="AQ172" s="67">
        <f t="shared" si="1954"/>
        <v>0</v>
      </c>
      <c r="AR172" s="67">
        <f t="shared" si="1954"/>
        <v>0</v>
      </c>
      <c r="AS172" s="67">
        <f t="shared" si="1954"/>
        <v>0</v>
      </c>
      <c r="AT172" s="67">
        <f t="shared" si="1954"/>
        <v>0</v>
      </c>
      <c r="AU172" s="67">
        <f t="shared" si="1954"/>
        <v>0</v>
      </c>
      <c r="AV172" s="67">
        <f t="shared" si="1954"/>
        <v>0</v>
      </c>
      <c r="AW172" s="67">
        <f t="shared" si="1954"/>
        <v>0</v>
      </c>
      <c r="AX172" s="67">
        <f t="shared" si="1954"/>
        <v>0</v>
      </c>
      <c r="AY172" s="67">
        <f t="shared" si="1954"/>
        <v>0</v>
      </c>
      <c r="AZ172" s="67">
        <f t="shared" si="1954"/>
        <v>0</v>
      </c>
      <c r="BA172" s="67">
        <f t="shared" si="1954"/>
        <v>0</v>
      </c>
      <c r="BB172" s="67">
        <f t="shared" si="1954"/>
        <v>-380460.10445898346</v>
      </c>
      <c r="BC172" s="67">
        <f t="shared" si="1954"/>
        <v>-381705.63183849043</v>
      </c>
      <c r="BD172" s="67">
        <f t="shared" si="1954"/>
        <v>-382955.23675052944</v>
      </c>
      <c r="BE172" s="67">
        <f t="shared" si="1954"/>
        <v>-384208.93254388106</v>
      </c>
      <c r="BF172" s="67">
        <f t="shared" si="1954"/>
        <v>-385466.73261102615</v>
      </c>
      <c r="BG172" s="67">
        <f t="shared" si="1954"/>
        <v>-386728.65038828907</v>
      </c>
      <c r="BH172" s="67">
        <f t="shared" si="1954"/>
        <v>-387994.69935598131</v>
      </c>
      <c r="BI172" s="67">
        <f t="shared" si="1954"/>
        <v>-389264.89303854527</v>
      </c>
      <c r="BJ172" s="67">
        <f t="shared" si="1954"/>
        <v>-390539.24500469893</v>
      </c>
      <c r="BK172" s="67">
        <f t="shared" si="1954"/>
        <v>-391817.76886758074</v>
      </c>
      <c r="BL172" s="67">
        <f t="shared" si="1954"/>
        <v>-393100.47828489501</v>
      </c>
      <c r="BM172" s="67">
        <f t="shared" si="1954"/>
        <v>-394387.38695905765</v>
      </c>
      <c r="BN172" s="67">
        <f t="shared" si="1954"/>
        <v>-395678.50863734301</v>
      </c>
      <c r="BO172" s="67">
        <f t="shared" si="1954"/>
        <v>-396973.85711203021</v>
      </c>
      <c r="BP172" s="67">
        <f t="shared" si="1954"/>
        <v>-398273.44622055086</v>
      </c>
      <c r="BQ172" s="67">
        <f t="shared" si="1954"/>
        <v>-399577.28984563652</v>
      </c>
      <c r="BR172" s="67">
        <f t="shared" ref="BR172:CW172" si="1955">IF(BR$5&gt;Refi_Date,-BQ180*Mezz_Monthly_Cash_Interest,0)</f>
        <v>-400885.40191546734</v>
      </c>
      <c r="BS172" s="67">
        <f t="shared" si="1955"/>
        <v>-402197.7964038208</v>
      </c>
      <c r="BT172" s="67">
        <f t="shared" si="1955"/>
        <v>-403514.48733022076</v>
      </c>
      <c r="BU172" s="67">
        <f t="shared" si="1955"/>
        <v>-404835.48876008735</v>
      </c>
      <c r="BV172" s="67">
        <f t="shared" si="1955"/>
        <v>-406160.81480488717</v>
      </c>
      <c r="BW172" s="67">
        <f t="shared" si="1955"/>
        <v>-407490.47962228424</v>
      </c>
      <c r="BX172" s="67">
        <f t="shared" si="1955"/>
        <v>-408824.49741629104</v>
      </c>
      <c r="BY172" s="67">
        <f t="shared" si="1955"/>
        <v>-410162.88243742019</v>
      </c>
      <c r="BZ172" s="67">
        <f t="shared" si="1955"/>
        <v>-411505.64898283698</v>
      </c>
      <c r="CA172" s="67">
        <f t="shared" si="1955"/>
        <v>-412852.81139651168</v>
      </c>
      <c r="CB172" s="67">
        <f t="shared" si="1955"/>
        <v>-414204.38406937307</v>
      </c>
      <c r="CC172" s="67">
        <f t="shared" si="1955"/>
        <v>-415560.38143946219</v>
      </c>
      <c r="CD172" s="67">
        <f t="shared" si="1955"/>
        <v>-416920.81799208629</v>
      </c>
      <c r="CE172" s="67">
        <f t="shared" si="1955"/>
        <v>-418285.70825997391</v>
      </c>
      <c r="CF172" s="67">
        <f t="shared" si="1955"/>
        <v>-419655.06682342984</v>
      </c>
      <c r="CG172" s="67">
        <f t="shared" si="1955"/>
        <v>-421028.90831049101</v>
      </c>
      <c r="CH172" s="67">
        <f t="shared" si="1955"/>
        <v>-422407.24739708286</v>
      </c>
      <c r="CI172" s="67">
        <f t="shared" si="1955"/>
        <v>-423790.09880717582</v>
      </c>
      <c r="CJ172" s="67">
        <f t="shared" si="1955"/>
        <v>-425177.47731294285</v>
      </c>
      <c r="CK172" s="67">
        <f t="shared" si="1955"/>
        <v>-426569.39773491718</v>
      </c>
      <c r="CL172" s="67">
        <f t="shared" si="1955"/>
        <v>-427965.87494215061</v>
      </c>
      <c r="CM172" s="67">
        <f t="shared" si="1955"/>
        <v>-429366.92385237227</v>
      </c>
      <c r="CN172" s="67">
        <f t="shared" si="1955"/>
        <v>-430772.55943214818</v>
      </c>
      <c r="CO172" s="67">
        <f t="shared" si="1955"/>
        <v>-432182.79669704085</v>
      </c>
      <c r="CP172" s="67">
        <f t="shared" si="1955"/>
        <v>-433597.65071176988</v>
      </c>
      <c r="CQ172" s="67">
        <f t="shared" si="1955"/>
        <v>-435017.136590373</v>
      </c>
      <c r="CR172" s="67">
        <f t="shared" si="1955"/>
        <v>-436441.2694963672</v>
      </c>
      <c r="CS172" s="67">
        <f t="shared" si="1955"/>
        <v>-437870.06464291085</v>
      </c>
      <c r="CT172" s="67">
        <f t="shared" si="1955"/>
        <v>-439303.53729296633</v>
      </c>
      <c r="CU172" s="67">
        <f t="shared" si="1955"/>
        <v>-440741.70275946305</v>
      </c>
      <c r="CV172" s="67">
        <f t="shared" si="1955"/>
        <v>-442184.57640546083</v>
      </c>
      <c r="CW172" s="67">
        <f t="shared" si="1955"/>
        <v>-443632.17364431417</v>
      </c>
      <c r="CX172" s="67">
        <f t="shared" ref="CX172:DI172" si="1956">IF(CX$5&gt;Refi_Date,-CW180*Mezz_Monthly_Cash_Interest,0)</f>
        <v>-445084.50993983692</v>
      </c>
      <c r="CY172" s="67">
        <f t="shared" si="1956"/>
        <v>-446541.60080646753</v>
      </c>
      <c r="CZ172" s="67">
        <f t="shared" si="1956"/>
        <v>-448003.46180943446</v>
      </c>
      <c r="DA172" s="67">
        <f t="shared" si="1956"/>
        <v>-449470.10856492282</v>
      </c>
      <c r="DB172" s="67">
        <f t="shared" si="1956"/>
        <v>-450941.55674024101</v>
      </c>
      <c r="DC172" s="67">
        <f t="shared" si="1956"/>
        <v>-452417.82205398829</v>
      </c>
      <c r="DD172" s="67">
        <f t="shared" si="1956"/>
        <v>-453898.92027622228</v>
      </c>
      <c r="DE172" s="67">
        <f t="shared" si="1956"/>
        <v>-455384.86722862767</v>
      </c>
      <c r="DF172" s="67">
        <f t="shared" si="1956"/>
        <v>-456875.67878468538</v>
      </c>
      <c r="DG172" s="67">
        <f t="shared" si="1956"/>
        <v>-458371.37086984201</v>
      </c>
      <c r="DH172" s="67">
        <f t="shared" si="1956"/>
        <v>-459871.95946167968</v>
      </c>
      <c r="DI172" s="67">
        <f t="shared" si="1956"/>
        <v>-461377.46059008717</v>
      </c>
    </row>
    <row r="173" spans="3:113" outlineLevel="1" x14ac:dyDescent="0.25">
      <c r="C173" s="101" t="s">
        <v>132</v>
      </c>
      <c r="D173" s="47" t="s">
        <v>107</v>
      </c>
      <c r="F173" s="67">
        <f t="shared" ref="F173:AK173" si="1957">IF(F$5&gt;Refi_Date,PPMT(Senior_Loan_Monthly_Interest,F$7-Refi_Month,Senior_Loan_Amort_Period*Months,Senior_Loan_Balance),0)</f>
        <v>0</v>
      </c>
      <c r="G173" s="67">
        <f t="shared" si="1957"/>
        <v>0</v>
      </c>
      <c r="H173" s="67">
        <f t="shared" si="1957"/>
        <v>0</v>
      </c>
      <c r="I173" s="67">
        <f t="shared" si="1957"/>
        <v>0</v>
      </c>
      <c r="J173" s="67">
        <f t="shared" si="1957"/>
        <v>0</v>
      </c>
      <c r="K173" s="67">
        <f t="shared" si="1957"/>
        <v>0</v>
      </c>
      <c r="L173" s="67">
        <f t="shared" si="1957"/>
        <v>0</v>
      </c>
      <c r="M173" s="67">
        <f t="shared" si="1957"/>
        <v>0</v>
      </c>
      <c r="N173" s="67">
        <f t="shared" si="1957"/>
        <v>0</v>
      </c>
      <c r="O173" s="67">
        <f t="shared" si="1957"/>
        <v>0</v>
      </c>
      <c r="P173" s="67">
        <f t="shared" si="1957"/>
        <v>0</v>
      </c>
      <c r="Q173" s="67">
        <f t="shared" si="1957"/>
        <v>0</v>
      </c>
      <c r="R173" s="67">
        <f t="shared" si="1957"/>
        <v>0</v>
      </c>
      <c r="S173" s="67">
        <f t="shared" si="1957"/>
        <v>0</v>
      </c>
      <c r="T173" s="67">
        <f t="shared" si="1957"/>
        <v>0</v>
      </c>
      <c r="U173" s="67">
        <f t="shared" si="1957"/>
        <v>0</v>
      </c>
      <c r="V173" s="67">
        <f t="shared" si="1957"/>
        <v>0</v>
      </c>
      <c r="W173" s="67">
        <f t="shared" si="1957"/>
        <v>0</v>
      </c>
      <c r="X173" s="67">
        <f t="shared" si="1957"/>
        <v>0</v>
      </c>
      <c r="Y173" s="67">
        <f t="shared" si="1957"/>
        <v>0</v>
      </c>
      <c r="Z173" s="67">
        <f t="shared" si="1957"/>
        <v>0</v>
      </c>
      <c r="AA173" s="67">
        <f t="shared" si="1957"/>
        <v>0</v>
      </c>
      <c r="AB173" s="67">
        <f t="shared" si="1957"/>
        <v>0</v>
      </c>
      <c r="AC173" s="67">
        <f t="shared" si="1957"/>
        <v>0</v>
      </c>
      <c r="AD173" s="67">
        <f t="shared" si="1957"/>
        <v>0</v>
      </c>
      <c r="AE173" s="67">
        <f t="shared" si="1957"/>
        <v>0</v>
      </c>
      <c r="AF173" s="67">
        <f t="shared" si="1957"/>
        <v>0</v>
      </c>
      <c r="AG173" s="67">
        <f t="shared" si="1957"/>
        <v>0</v>
      </c>
      <c r="AH173" s="67">
        <f t="shared" si="1957"/>
        <v>0</v>
      </c>
      <c r="AI173" s="67">
        <f t="shared" si="1957"/>
        <v>0</v>
      </c>
      <c r="AJ173" s="67">
        <f t="shared" si="1957"/>
        <v>0</v>
      </c>
      <c r="AK173" s="67">
        <f t="shared" si="1957"/>
        <v>0</v>
      </c>
      <c r="AL173" s="67">
        <f t="shared" ref="AL173:BQ173" si="1958">IF(AL$5&gt;Refi_Date,PPMT(Senior_Loan_Monthly_Interest,AL$7-Refi_Month,Senior_Loan_Amort_Period*Months,Senior_Loan_Balance),0)</f>
        <v>0</v>
      </c>
      <c r="AM173" s="67">
        <f t="shared" si="1958"/>
        <v>0</v>
      </c>
      <c r="AN173" s="67">
        <f t="shared" si="1958"/>
        <v>0</v>
      </c>
      <c r="AO173" s="67">
        <f t="shared" si="1958"/>
        <v>0</v>
      </c>
      <c r="AP173" s="67">
        <f t="shared" si="1958"/>
        <v>0</v>
      </c>
      <c r="AQ173" s="67">
        <f t="shared" si="1958"/>
        <v>0</v>
      </c>
      <c r="AR173" s="67">
        <f t="shared" si="1958"/>
        <v>0</v>
      </c>
      <c r="AS173" s="67">
        <f t="shared" si="1958"/>
        <v>0</v>
      </c>
      <c r="AT173" s="67">
        <f t="shared" si="1958"/>
        <v>0</v>
      </c>
      <c r="AU173" s="67">
        <f t="shared" si="1958"/>
        <v>0</v>
      </c>
      <c r="AV173" s="67">
        <f t="shared" si="1958"/>
        <v>0</v>
      </c>
      <c r="AW173" s="67">
        <f t="shared" si="1958"/>
        <v>0</v>
      </c>
      <c r="AX173" s="67">
        <f t="shared" si="1958"/>
        <v>0</v>
      </c>
      <c r="AY173" s="67">
        <f t="shared" si="1958"/>
        <v>0</v>
      </c>
      <c r="AZ173" s="67">
        <f t="shared" si="1958"/>
        <v>0</v>
      </c>
      <c r="BA173" s="67">
        <f t="shared" si="1958"/>
        <v>0</v>
      </c>
      <c r="BB173" s="67">
        <f t="shared" si="1958"/>
        <v>-1107963.6697595001</v>
      </c>
      <c r="BC173" s="67">
        <f t="shared" si="1958"/>
        <v>-1111144.5212397962</v>
      </c>
      <c r="BD173" s="67">
        <f t="shared" si="1958"/>
        <v>-1114334.5046225323</v>
      </c>
      <c r="BE173" s="67">
        <f t="shared" si="1958"/>
        <v>-1117533.6461244761</v>
      </c>
      <c r="BF173" s="67">
        <f t="shared" si="1958"/>
        <v>-1120741.97203766</v>
      </c>
      <c r="BG173" s="67">
        <f t="shared" si="1958"/>
        <v>-1123959.5087295985</v>
      </c>
      <c r="BH173" s="67">
        <f t="shared" si="1958"/>
        <v>-1127186.2826435042</v>
      </c>
      <c r="BI173" s="67">
        <f t="shared" si="1958"/>
        <v>-1130422.3202985059</v>
      </c>
      <c r="BJ173" s="67">
        <f t="shared" si="1958"/>
        <v>-1133667.6482898667</v>
      </c>
      <c r="BK173" s="67">
        <f t="shared" si="1958"/>
        <v>-1136922.2932892006</v>
      </c>
      <c r="BL173" s="67">
        <f t="shared" si="1958"/>
        <v>-1140186.2820446945</v>
      </c>
      <c r="BM173" s="67">
        <f t="shared" si="1958"/>
        <v>-1143459.6413813252</v>
      </c>
      <c r="BN173" s="67">
        <f t="shared" si="1958"/>
        <v>-1146742.3982010828</v>
      </c>
      <c r="BO173" s="67">
        <f t="shared" si="1958"/>
        <v>-1150034.5794831894</v>
      </c>
      <c r="BP173" s="67">
        <f t="shared" si="1958"/>
        <v>-1153336.2122843214</v>
      </c>
      <c r="BQ173" s="67">
        <f t="shared" si="1958"/>
        <v>-1156647.3237388332</v>
      </c>
      <c r="BR173" s="67">
        <f t="shared" ref="BR173:CW173" si="1959">IF(BR$5&gt;Refi_Date,PPMT(Senior_Loan_Monthly_Interest,BR$7-Refi_Month,Senior_Loan_Amort_Period*Months,Senior_Loan_Balance),0)</f>
        <v>-1159967.9410589782</v>
      </c>
      <c r="BS173" s="67">
        <f t="shared" si="1959"/>
        <v>-1163298.0915351345</v>
      </c>
      <c r="BT173" s="67">
        <f t="shared" si="1959"/>
        <v>-1166637.802536027</v>
      </c>
      <c r="BU173" s="67">
        <f t="shared" si="1959"/>
        <v>-1169987.1015089541</v>
      </c>
      <c r="BV173" s="67">
        <f t="shared" si="1959"/>
        <v>-1173346.0159800122</v>
      </c>
      <c r="BW173" s="67">
        <f t="shared" si="1959"/>
        <v>-1176714.5735543231</v>
      </c>
      <c r="BX173" s="67">
        <f t="shared" si="1959"/>
        <v>-1180092.8019162589</v>
      </c>
      <c r="BY173" s="67">
        <f t="shared" si="1959"/>
        <v>-1183480.7288296721</v>
      </c>
      <c r="BZ173" s="67">
        <f t="shared" si="1959"/>
        <v>-1186878.3821381209</v>
      </c>
      <c r="CA173" s="67">
        <f t="shared" si="1959"/>
        <v>-1190285.7897651009</v>
      </c>
      <c r="CB173" s="67">
        <f t="shared" si="1959"/>
        <v>-1193702.9797142728</v>
      </c>
      <c r="CC173" s="67">
        <f t="shared" si="1959"/>
        <v>-1197129.9800696925</v>
      </c>
      <c r="CD173" s="67">
        <f t="shared" si="1959"/>
        <v>-1200566.8189960427</v>
      </c>
      <c r="CE173" s="67">
        <f t="shared" si="1959"/>
        <v>-1204013.5247388643</v>
      </c>
      <c r="CF173" s="67">
        <f t="shared" si="1959"/>
        <v>-1207470.125624788</v>
      </c>
      <c r="CG173" s="67">
        <f t="shared" si="1959"/>
        <v>-1210936.6500617678</v>
      </c>
      <c r="CH173" s="67">
        <f t="shared" si="1959"/>
        <v>-1214413.126539313</v>
      </c>
      <c r="CI173" s="67">
        <f t="shared" si="1959"/>
        <v>-1217899.5836287246</v>
      </c>
      <c r="CJ173" s="67">
        <f t="shared" si="1959"/>
        <v>-1221396.0499833282</v>
      </c>
      <c r="CK173" s="67">
        <f t="shared" si="1959"/>
        <v>-1224902.5543387106</v>
      </c>
      <c r="CL173" s="67">
        <f t="shared" si="1959"/>
        <v>-1228419.1255129552</v>
      </c>
      <c r="CM173" s="67">
        <f t="shared" si="1959"/>
        <v>-1231945.7924068798</v>
      </c>
      <c r="CN173" s="67">
        <f t="shared" si="1959"/>
        <v>-1235482.5840042725</v>
      </c>
      <c r="CO173" s="67">
        <f t="shared" si="1959"/>
        <v>-1239029.5293721319</v>
      </c>
      <c r="CP173" s="67">
        <f t="shared" si="1959"/>
        <v>-1242586.6576609043</v>
      </c>
      <c r="CQ173" s="67">
        <f t="shared" si="1959"/>
        <v>-1246153.998104725</v>
      </c>
      <c r="CR173" s="67">
        <f t="shared" si="1959"/>
        <v>-1249731.5800216561</v>
      </c>
      <c r="CS173" s="67">
        <f t="shared" si="1959"/>
        <v>-1253319.4328139299</v>
      </c>
      <c r="CT173" s="67">
        <f t="shared" si="1959"/>
        <v>-1256917.5859681892</v>
      </c>
      <c r="CU173" s="67">
        <f t="shared" si="1959"/>
        <v>-1260526.06905573</v>
      </c>
      <c r="CV173" s="67">
        <f t="shared" si="1959"/>
        <v>-1264144.9117327449</v>
      </c>
      <c r="CW173" s="67">
        <f t="shared" si="1959"/>
        <v>-1267774.1437405657</v>
      </c>
      <c r="CX173" s="67">
        <f t="shared" ref="CX173:DI173" si="1960">IF(CX$5&gt;Refi_Date,PPMT(Senior_Loan_Monthly_Interest,CX$7-Refi_Month,Senior_Loan_Amort_Period*Months,Senior_Loan_Balance),0)</f>
        <v>-1271413.7949059089</v>
      </c>
      <c r="CY173" s="67">
        <f t="shared" si="1960"/>
        <v>-1275063.8951411208</v>
      </c>
      <c r="CZ173" s="67">
        <f t="shared" si="1960"/>
        <v>-1278724.4744444222</v>
      </c>
      <c r="DA173" s="67">
        <f t="shared" si="1960"/>
        <v>-1282395.5629001567</v>
      </c>
      <c r="DB173" s="67">
        <f t="shared" si="1960"/>
        <v>-1286077.1906790365</v>
      </c>
      <c r="DC173" s="67">
        <f t="shared" si="1960"/>
        <v>-1289769.3880383905</v>
      </c>
      <c r="DD173" s="67">
        <f t="shared" si="1960"/>
        <v>-1293472.1853224142</v>
      </c>
      <c r="DE173" s="67">
        <f t="shared" si="1960"/>
        <v>-1297185.6129624175</v>
      </c>
      <c r="DF173" s="67">
        <f t="shared" si="1960"/>
        <v>-1300909.7014770759</v>
      </c>
      <c r="DG173" s="67">
        <f t="shared" si="1960"/>
        <v>-1304644.481472681</v>
      </c>
      <c r="DH173" s="67">
        <f t="shared" si="1960"/>
        <v>-1308389.9836433914</v>
      </c>
      <c r="DI173" s="67">
        <f t="shared" si="1960"/>
        <v>-1312146.2387714859</v>
      </c>
    </row>
    <row r="174" spans="3:113" outlineLevel="1" x14ac:dyDescent="0.25">
      <c r="C174" s="103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  <c r="AG174" s="77"/>
      <c r="AH174" s="77"/>
      <c r="AI174" s="77"/>
      <c r="AJ174" s="77"/>
      <c r="AK174" s="77"/>
      <c r="AL174" s="77"/>
      <c r="AM174" s="77"/>
      <c r="AN174" s="77"/>
      <c r="AO174" s="77"/>
      <c r="AP174" s="77"/>
      <c r="AQ174" s="77"/>
      <c r="AR174" s="77"/>
      <c r="AS174" s="77"/>
      <c r="AT174" s="77"/>
      <c r="AU174" s="77"/>
      <c r="AV174" s="77"/>
      <c r="AW174" s="77"/>
      <c r="AX174" s="77"/>
      <c r="AY174" s="77"/>
      <c r="AZ174" s="77"/>
      <c r="BA174" s="77"/>
      <c r="BB174" s="77"/>
      <c r="BC174" s="77"/>
      <c r="BD174" s="77"/>
      <c r="BE174" s="77"/>
      <c r="BF174" s="77"/>
      <c r="BG174" s="77"/>
      <c r="BH174" s="77"/>
      <c r="BI174" s="77"/>
      <c r="BJ174" s="77"/>
      <c r="BK174" s="77"/>
      <c r="BL174" s="77"/>
      <c r="BM174" s="77"/>
      <c r="BN174" s="77"/>
      <c r="BO174" s="77"/>
      <c r="BP174" s="77"/>
      <c r="BQ174" s="77"/>
      <c r="BR174" s="77"/>
      <c r="BS174" s="77"/>
      <c r="BT174" s="77"/>
      <c r="BU174" s="77"/>
      <c r="BV174" s="77"/>
      <c r="BW174" s="77"/>
      <c r="BX174" s="77"/>
      <c r="BY174" s="77"/>
      <c r="BZ174" s="77"/>
      <c r="CA174" s="77"/>
      <c r="CB174" s="77"/>
      <c r="CC174" s="77"/>
      <c r="CD174" s="77"/>
      <c r="CE174" s="77"/>
      <c r="CF174" s="77"/>
      <c r="CG174" s="77"/>
      <c r="CH174" s="77"/>
      <c r="CI174" s="77"/>
      <c r="CJ174" s="77"/>
      <c r="CK174" s="77"/>
      <c r="CL174" s="77"/>
      <c r="CM174" s="77"/>
      <c r="CN174" s="77"/>
      <c r="CO174" s="77"/>
      <c r="CP174" s="77"/>
      <c r="CQ174" s="77"/>
      <c r="CR174" s="77"/>
      <c r="CS174" s="77"/>
      <c r="CT174" s="77"/>
      <c r="CU174" s="77"/>
      <c r="CV174" s="77"/>
      <c r="CW174" s="77"/>
      <c r="CX174" s="77"/>
      <c r="CY174" s="77"/>
      <c r="CZ174" s="77"/>
      <c r="DA174" s="77"/>
      <c r="DB174" s="77"/>
      <c r="DC174" s="77"/>
      <c r="DD174" s="77"/>
      <c r="DE174" s="77"/>
      <c r="DF174" s="77"/>
      <c r="DG174" s="77"/>
      <c r="DH174" s="77"/>
      <c r="DI174" s="77"/>
    </row>
    <row r="175" spans="3:113" outlineLevel="1" x14ac:dyDescent="0.25">
      <c r="C175" s="110" t="s">
        <v>71</v>
      </c>
      <c r="D175" s="47" t="s">
        <v>107</v>
      </c>
      <c r="F175" s="30">
        <f>+F168+SUM(F171:F173)</f>
        <v>0</v>
      </c>
      <c r="G175" s="30">
        <f t="shared" ref="G175:BR175" si="1961">+G168+SUM(G171:G173)</f>
        <v>0</v>
      </c>
      <c r="H175" s="30">
        <f t="shared" si="1961"/>
        <v>0</v>
      </c>
      <c r="I175" s="30">
        <f t="shared" si="1961"/>
        <v>0</v>
      </c>
      <c r="J175" s="30">
        <f t="shared" si="1961"/>
        <v>0</v>
      </c>
      <c r="K175" s="30">
        <f t="shared" si="1961"/>
        <v>0</v>
      </c>
      <c r="L175" s="30">
        <f t="shared" si="1961"/>
        <v>0</v>
      </c>
      <c r="M175" s="30">
        <f t="shared" si="1961"/>
        <v>0</v>
      </c>
      <c r="N175" s="30">
        <f t="shared" si="1961"/>
        <v>0</v>
      </c>
      <c r="O175" s="30">
        <f t="shared" si="1961"/>
        <v>0</v>
      </c>
      <c r="P175" s="30">
        <f t="shared" si="1961"/>
        <v>0</v>
      </c>
      <c r="Q175" s="30">
        <f t="shared" si="1961"/>
        <v>0</v>
      </c>
      <c r="R175" s="30">
        <f t="shared" si="1961"/>
        <v>0</v>
      </c>
      <c r="S175" s="30">
        <f t="shared" si="1961"/>
        <v>0</v>
      </c>
      <c r="T175" s="30">
        <f t="shared" si="1961"/>
        <v>0</v>
      </c>
      <c r="U175" s="30">
        <f t="shared" si="1961"/>
        <v>0</v>
      </c>
      <c r="V175" s="30">
        <f t="shared" si="1961"/>
        <v>0</v>
      </c>
      <c r="W175" s="30">
        <f t="shared" si="1961"/>
        <v>0</v>
      </c>
      <c r="X175" s="30">
        <f t="shared" si="1961"/>
        <v>0</v>
      </c>
      <c r="Y175" s="30">
        <f t="shared" si="1961"/>
        <v>0</v>
      </c>
      <c r="Z175" s="30">
        <f t="shared" si="1961"/>
        <v>0</v>
      </c>
      <c r="AA175" s="30">
        <f t="shared" si="1961"/>
        <v>0</v>
      </c>
      <c r="AB175" s="30">
        <f t="shared" si="1961"/>
        <v>0</v>
      </c>
      <c r="AC175" s="30">
        <f t="shared" si="1961"/>
        <v>0</v>
      </c>
      <c r="AD175" s="30">
        <f t="shared" si="1961"/>
        <v>0</v>
      </c>
      <c r="AE175" s="30">
        <f t="shared" si="1961"/>
        <v>0</v>
      </c>
      <c r="AF175" s="30">
        <f t="shared" si="1961"/>
        <v>0</v>
      </c>
      <c r="AG175" s="30">
        <f t="shared" si="1961"/>
        <v>0</v>
      </c>
      <c r="AH175" s="30">
        <f t="shared" si="1961"/>
        <v>0</v>
      </c>
      <c r="AI175" s="30">
        <f t="shared" si="1961"/>
        <v>0</v>
      </c>
      <c r="AJ175" s="30">
        <f t="shared" si="1961"/>
        <v>0</v>
      </c>
      <c r="AK175" s="30">
        <f t="shared" si="1961"/>
        <v>0</v>
      </c>
      <c r="AL175" s="30">
        <f t="shared" si="1961"/>
        <v>0</v>
      </c>
      <c r="AM175" s="30">
        <f t="shared" si="1961"/>
        <v>0</v>
      </c>
      <c r="AN175" s="30">
        <f t="shared" si="1961"/>
        <v>0</v>
      </c>
      <c r="AO175" s="30">
        <f t="shared" si="1961"/>
        <v>0</v>
      </c>
      <c r="AP175" s="30">
        <f t="shared" si="1961"/>
        <v>0</v>
      </c>
      <c r="AQ175" s="30">
        <f t="shared" si="1961"/>
        <v>0</v>
      </c>
      <c r="AR175" s="30">
        <f t="shared" si="1961"/>
        <v>0</v>
      </c>
      <c r="AS175" s="30">
        <f t="shared" si="1961"/>
        <v>0</v>
      </c>
      <c r="AT175" s="30">
        <f t="shared" si="1961"/>
        <v>0</v>
      </c>
      <c r="AU175" s="30">
        <f t="shared" si="1961"/>
        <v>0</v>
      </c>
      <c r="AV175" s="30">
        <f t="shared" si="1961"/>
        <v>0</v>
      </c>
      <c r="AW175" s="30">
        <f t="shared" si="1961"/>
        <v>0</v>
      </c>
      <c r="AX175" s="30">
        <f t="shared" si="1961"/>
        <v>0</v>
      </c>
      <c r="AY175" s="30">
        <f t="shared" si="1961"/>
        <v>0</v>
      </c>
      <c r="AZ175" s="30">
        <f t="shared" si="1961"/>
        <v>0</v>
      </c>
      <c r="BA175" s="30">
        <f t="shared" si="1961"/>
        <v>0</v>
      </c>
      <c r="BB175" s="30">
        <f t="shared" si="1961"/>
        <v>-4420811.8889556434</v>
      </c>
      <c r="BC175" s="30">
        <f t="shared" si="1961"/>
        <v>-4423784.4150807997</v>
      </c>
      <c r="BD175" s="30">
        <f t="shared" si="1961"/>
        <v>-4426764.2239402821</v>
      </c>
      <c r="BE175" s="30">
        <f t="shared" si="1961"/>
        <v>-4429751.3348315293</v>
      </c>
      <c r="BF175" s="30">
        <f t="shared" si="1961"/>
        <v>-4432745.7671067128</v>
      </c>
      <c r="BG175" s="30">
        <f t="shared" si="1961"/>
        <v>-4435747.540172915</v>
      </c>
      <c r="BH175" s="30">
        <f t="shared" si="1961"/>
        <v>-1746621.930835864</v>
      </c>
      <c r="BI175" s="30">
        <f t="shared" si="1961"/>
        <v>-1749638.4439257793</v>
      </c>
      <c r="BJ175" s="30">
        <f t="shared" si="1961"/>
        <v>-1752662.3563590213</v>
      </c>
      <c r="BK175" s="30">
        <f t="shared" si="1961"/>
        <v>260510.52409639768</v>
      </c>
      <c r="BL175" s="30">
        <f t="shared" si="1961"/>
        <v>-1588427.3695743023</v>
      </c>
      <c r="BM175" s="30">
        <f t="shared" si="1961"/>
        <v>254425.52557937941</v>
      </c>
      <c r="BN175" s="30">
        <f t="shared" si="1961"/>
        <v>357115.8026597132</v>
      </c>
      <c r="BO175" s="30">
        <f t="shared" si="1961"/>
        <v>353860.19695820985</v>
      </c>
      <c r="BP175" s="30">
        <f t="shared" si="1961"/>
        <v>350596.31281394279</v>
      </c>
      <c r="BQ175" s="30">
        <f t="shared" si="1961"/>
        <v>347324.12802694738</v>
      </c>
      <c r="BR175" s="30">
        <f t="shared" si="1961"/>
        <v>344043.6203346923</v>
      </c>
      <c r="BS175" s="30">
        <f t="shared" ref="BS175:DI175" si="1962">+BS168+SUM(BS171:BS173)</f>
        <v>340754.76741187461</v>
      </c>
      <c r="BT175" s="30">
        <f t="shared" si="1962"/>
        <v>337457.54687023768</v>
      </c>
      <c r="BU175" s="30">
        <f t="shared" si="1962"/>
        <v>334151.93625840172</v>
      </c>
      <c r="BV175" s="30">
        <f t="shared" si="1962"/>
        <v>330837.91306165652</v>
      </c>
      <c r="BW175" s="30">
        <f t="shared" si="1962"/>
        <v>327515.45470179198</v>
      </c>
      <c r="BX175" s="30">
        <f t="shared" si="1962"/>
        <v>324184.53853690112</v>
      </c>
      <c r="BY175" s="30">
        <f t="shared" si="1962"/>
        <v>320845.14186119335</v>
      </c>
      <c r="BZ175" s="30">
        <f t="shared" si="1962"/>
        <v>425818.46497716801</v>
      </c>
      <c r="CA175" s="30">
        <f t="shared" si="1962"/>
        <v>3267418.7518768995</v>
      </c>
      <c r="CB175" s="30">
        <f t="shared" si="1962"/>
        <v>3264053.7767923959</v>
      </c>
      <c r="CC175" s="30">
        <f t="shared" si="1962"/>
        <v>3260680.2297313511</v>
      </c>
      <c r="CD175" s="30">
        <f t="shared" si="1962"/>
        <v>3257298.0876657413</v>
      </c>
      <c r="CE175" s="30">
        <f t="shared" si="1962"/>
        <v>3253907.3275025245</v>
      </c>
      <c r="CF175" s="30">
        <f t="shared" si="1962"/>
        <v>3250507.9260834558</v>
      </c>
      <c r="CG175" s="30">
        <f t="shared" si="1962"/>
        <v>3247099.8601848707</v>
      </c>
      <c r="CH175" s="30">
        <f t="shared" si="1962"/>
        <v>3243683.1065175366</v>
      </c>
      <c r="CI175" s="30">
        <f t="shared" si="1962"/>
        <v>3240257.6417264165</v>
      </c>
      <c r="CJ175" s="30">
        <f t="shared" si="1962"/>
        <v>3300834.9684323352</v>
      </c>
      <c r="CK175" s="30">
        <f t="shared" si="1962"/>
        <v>3297392.0110644195</v>
      </c>
      <c r="CL175" s="30">
        <f t="shared" si="1962"/>
        <v>8297.6942026731558</v>
      </c>
      <c r="CM175" s="30">
        <f t="shared" si="1962"/>
        <v>3769.2735630916432</v>
      </c>
      <c r="CN175" s="30">
        <f t="shared" si="1962"/>
        <v>-770.17561976006255</v>
      </c>
      <c r="CO175" s="30">
        <f t="shared" si="1962"/>
        <v>-5320.6816306547262</v>
      </c>
      <c r="CP175" s="30">
        <f t="shared" si="1962"/>
        <v>-9882.2728308425285</v>
      </c>
      <c r="CQ175" s="30">
        <f t="shared" si="1962"/>
        <v>-14454.977658295538</v>
      </c>
      <c r="CR175" s="30">
        <f t="shared" si="1962"/>
        <v>-19038.824627894908</v>
      </c>
      <c r="CS175" s="30">
        <f t="shared" si="1962"/>
        <v>-23633.842331672087</v>
      </c>
      <c r="CT175" s="30">
        <f t="shared" si="1962"/>
        <v>1456359.9567400031</v>
      </c>
      <c r="CU175" s="30">
        <f t="shared" si="1962"/>
        <v>1979860.8149834727</v>
      </c>
      <c r="CV175" s="30">
        <f t="shared" si="1962"/>
        <v>2041771.7353643505</v>
      </c>
      <c r="CW175" s="30">
        <f t="shared" si="1962"/>
        <v>2038221.8252559081</v>
      </c>
      <c r="CX175" s="30">
        <f t="shared" si="1962"/>
        <v>-459465.41439162428</v>
      </c>
      <c r="CY175" s="30">
        <f t="shared" si="1962"/>
        <v>-463807.69833672</v>
      </c>
      <c r="CZ175" s="30">
        <f t="shared" si="1962"/>
        <v>-468160.69544349704</v>
      </c>
      <c r="DA175" s="30">
        <f t="shared" si="1962"/>
        <v>-472524.4335698057</v>
      </c>
      <c r="DB175" s="30">
        <f t="shared" si="1962"/>
        <v>-476898.94064982655</v>
      </c>
      <c r="DC175" s="30">
        <f t="shared" si="1962"/>
        <v>-481284.24469429953</v>
      </c>
      <c r="DD175" s="30">
        <f t="shared" si="1962"/>
        <v>-485680.37379075075</v>
      </c>
      <c r="DE175" s="30">
        <f t="shared" si="1962"/>
        <v>1027792.4371839222</v>
      </c>
      <c r="DF175" s="30">
        <f t="shared" si="1962"/>
        <v>2168582.6719763316</v>
      </c>
      <c r="DG175" s="30">
        <f t="shared" si="1962"/>
        <v>2508500.6208951697</v>
      </c>
      <c r="DH175" s="30">
        <f t="shared" si="1962"/>
        <v>2648260.0841206871</v>
      </c>
      <c r="DI175" s="30">
        <f t="shared" si="1962"/>
        <v>2644599.7123009497</v>
      </c>
    </row>
    <row r="176" spans="3:113" outlineLevel="1" x14ac:dyDescent="0.25"/>
    <row r="177" spans="2:113" outlineLevel="1" x14ac:dyDescent="0.25">
      <c r="C177" s="62" t="s">
        <v>156</v>
      </c>
      <c r="D177" s="47" t="s">
        <v>107</v>
      </c>
      <c r="F177" s="67">
        <f t="shared" ref="F177:AK177" si="1963">IF(F$5&gt;Refi_Date,-E180*Mezz_Monthly_PIK_Interest,0)</f>
        <v>0</v>
      </c>
      <c r="G177" s="67">
        <f t="shared" si="1963"/>
        <v>0</v>
      </c>
      <c r="H177" s="67">
        <f t="shared" si="1963"/>
        <v>0</v>
      </c>
      <c r="I177" s="67">
        <f t="shared" si="1963"/>
        <v>0</v>
      </c>
      <c r="J177" s="67">
        <f t="shared" si="1963"/>
        <v>0</v>
      </c>
      <c r="K177" s="67">
        <f t="shared" si="1963"/>
        <v>0</v>
      </c>
      <c r="L177" s="67">
        <f t="shared" si="1963"/>
        <v>0</v>
      </c>
      <c r="M177" s="67">
        <f t="shared" si="1963"/>
        <v>0</v>
      </c>
      <c r="N177" s="67">
        <f t="shared" si="1963"/>
        <v>0</v>
      </c>
      <c r="O177" s="67">
        <f t="shared" si="1963"/>
        <v>0</v>
      </c>
      <c r="P177" s="67">
        <f t="shared" si="1963"/>
        <v>0</v>
      </c>
      <c r="Q177" s="67">
        <f t="shared" si="1963"/>
        <v>0</v>
      </c>
      <c r="R177" s="67">
        <f t="shared" si="1963"/>
        <v>0</v>
      </c>
      <c r="S177" s="67">
        <f t="shared" si="1963"/>
        <v>0</v>
      </c>
      <c r="T177" s="67">
        <f t="shared" si="1963"/>
        <v>0</v>
      </c>
      <c r="U177" s="67">
        <f t="shared" si="1963"/>
        <v>0</v>
      </c>
      <c r="V177" s="67">
        <f t="shared" si="1963"/>
        <v>0</v>
      </c>
      <c r="W177" s="67">
        <f t="shared" si="1963"/>
        <v>0</v>
      </c>
      <c r="X177" s="67">
        <f t="shared" si="1963"/>
        <v>0</v>
      </c>
      <c r="Y177" s="67">
        <f t="shared" si="1963"/>
        <v>0</v>
      </c>
      <c r="Z177" s="67">
        <f t="shared" si="1963"/>
        <v>0</v>
      </c>
      <c r="AA177" s="67">
        <f t="shared" si="1963"/>
        <v>0</v>
      </c>
      <c r="AB177" s="67">
        <f t="shared" si="1963"/>
        <v>0</v>
      </c>
      <c r="AC177" s="67">
        <f t="shared" si="1963"/>
        <v>0</v>
      </c>
      <c r="AD177" s="67">
        <f t="shared" si="1963"/>
        <v>0</v>
      </c>
      <c r="AE177" s="67">
        <f t="shared" si="1963"/>
        <v>0</v>
      </c>
      <c r="AF177" s="67">
        <f t="shared" si="1963"/>
        <v>0</v>
      </c>
      <c r="AG177" s="67">
        <f t="shared" si="1963"/>
        <v>0</v>
      </c>
      <c r="AH177" s="67">
        <f t="shared" si="1963"/>
        <v>0</v>
      </c>
      <c r="AI177" s="67">
        <f t="shared" si="1963"/>
        <v>0</v>
      </c>
      <c r="AJ177" s="67">
        <f t="shared" si="1963"/>
        <v>0</v>
      </c>
      <c r="AK177" s="67">
        <f t="shared" si="1963"/>
        <v>0</v>
      </c>
      <c r="AL177" s="67">
        <f t="shared" ref="AL177:BQ177" si="1964">IF(AL$5&gt;Refi_Date,-AK180*Mezz_Monthly_PIK_Interest,0)</f>
        <v>0</v>
      </c>
      <c r="AM177" s="67">
        <f t="shared" si="1964"/>
        <v>0</v>
      </c>
      <c r="AN177" s="67">
        <f t="shared" si="1964"/>
        <v>0</v>
      </c>
      <c r="AO177" s="67">
        <f t="shared" si="1964"/>
        <v>0</v>
      </c>
      <c r="AP177" s="67">
        <f t="shared" si="1964"/>
        <v>0</v>
      </c>
      <c r="AQ177" s="67">
        <f t="shared" si="1964"/>
        <v>0</v>
      </c>
      <c r="AR177" s="67">
        <f t="shared" si="1964"/>
        <v>0</v>
      </c>
      <c r="AS177" s="67">
        <f t="shared" si="1964"/>
        <v>0</v>
      </c>
      <c r="AT177" s="67">
        <f t="shared" si="1964"/>
        <v>0</v>
      </c>
      <c r="AU177" s="67">
        <f t="shared" si="1964"/>
        <v>0</v>
      </c>
      <c r="AV177" s="67">
        <f t="shared" si="1964"/>
        <v>0</v>
      </c>
      <c r="AW177" s="67">
        <f t="shared" si="1964"/>
        <v>0</v>
      </c>
      <c r="AX177" s="67">
        <f t="shared" si="1964"/>
        <v>0</v>
      </c>
      <c r="AY177" s="67">
        <f t="shared" si="1964"/>
        <v>0</v>
      </c>
      <c r="AZ177" s="67">
        <f t="shared" si="1964"/>
        <v>0</v>
      </c>
      <c r="BA177" s="67">
        <f t="shared" si="1964"/>
        <v>0</v>
      </c>
      <c r="BB177" s="67">
        <f t="shared" si="1964"/>
        <v>-380460.10445898346</v>
      </c>
      <c r="BC177" s="67">
        <f t="shared" si="1964"/>
        <v>-381705.63183849043</v>
      </c>
      <c r="BD177" s="67">
        <f t="shared" si="1964"/>
        <v>-382955.23675052944</v>
      </c>
      <c r="BE177" s="67">
        <f t="shared" si="1964"/>
        <v>-384208.93254388106</v>
      </c>
      <c r="BF177" s="67">
        <f t="shared" si="1964"/>
        <v>-385466.73261102615</v>
      </c>
      <c r="BG177" s="67">
        <f t="shared" si="1964"/>
        <v>-386728.65038828907</v>
      </c>
      <c r="BH177" s="67">
        <f t="shared" si="1964"/>
        <v>-387994.69935598131</v>
      </c>
      <c r="BI177" s="67">
        <f t="shared" si="1964"/>
        <v>-389264.89303854527</v>
      </c>
      <c r="BJ177" s="67">
        <f t="shared" si="1964"/>
        <v>-390539.24500469893</v>
      </c>
      <c r="BK177" s="67">
        <f t="shared" si="1964"/>
        <v>-391817.76886758074</v>
      </c>
      <c r="BL177" s="67">
        <f t="shared" si="1964"/>
        <v>-393100.47828489501</v>
      </c>
      <c r="BM177" s="67">
        <f t="shared" si="1964"/>
        <v>-394387.38695905765</v>
      </c>
      <c r="BN177" s="67">
        <f t="shared" si="1964"/>
        <v>-395678.50863734301</v>
      </c>
      <c r="BO177" s="67">
        <f t="shared" si="1964"/>
        <v>-396973.85711203021</v>
      </c>
      <c r="BP177" s="67">
        <f t="shared" si="1964"/>
        <v>-398273.44622055086</v>
      </c>
      <c r="BQ177" s="67">
        <f t="shared" si="1964"/>
        <v>-399577.28984563652</v>
      </c>
      <c r="BR177" s="67">
        <f t="shared" ref="BR177:CW177" si="1965">IF(BR$5&gt;Refi_Date,-BQ180*Mezz_Monthly_PIK_Interest,0)</f>
        <v>-400885.40191546734</v>
      </c>
      <c r="BS177" s="67">
        <f t="shared" si="1965"/>
        <v>-402197.7964038208</v>
      </c>
      <c r="BT177" s="67">
        <f t="shared" si="1965"/>
        <v>-403514.48733022076</v>
      </c>
      <c r="BU177" s="67">
        <f t="shared" si="1965"/>
        <v>-404835.48876008735</v>
      </c>
      <c r="BV177" s="67">
        <f t="shared" si="1965"/>
        <v>-406160.81480488717</v>
      </c>
      <c r="BW177" s="67">
        <f t="shared" si="1965"/>
        <v>-407490.47962228424</v>
      </c>
      <c r="BX177" s="67">
        <f t="shared" si="1965"/>
        <v>-408824.49741629104</v>
      </c>
      <c r="BY177" s="67">
        <f t="shared" si="1965"/>
        <v>-410162.88243742019</v>
      </c>
      <c r="BZ177" s="67">
        <f t="shared" si="1965"/>
        <v>-411505.64898283698</v>
      </c>
      <c r="CA177" s="67">
        <f t="shared" si="1965"/>
        <v>-412852.81139651168</v>
      </c>
      <c r="CB177" s="67">
        <f t="shared" si="1965"/>
        <v>-414204.38406937307</v>
      </c>
      <c r="CC177" s="67">
        <f t="shared" si="1965"/>
        <v>-415560.38143946219</v>
      </c>
      <c r="CD177" s="67">
        <f t="shared" si="1965"/>
        <v>-416920.81799208629</v>
      </c>
      <c r="CE177" s="67">
        <f t="shared" si="1965"/>
        <v>-418285.70825997391</v>
      </c>
      <c r="CF177" s="67">
        <f t="shared" si="1965"/>
        <v>-419655.06682342984</v>
      </c>
      <c r="CG177" s="67">
        <f t="shared" si="1965"/>
        <v>-421028.90831049101</v>
      </c>
      <c r="CH177" s="67">
        <f t="shared" si="1965"/>
        <v>-422407.24739708286</v>
      </c>
      <c r="CI177" s="67">
        <f t="shared" si="1965"/>
        <v>-423790.09880717582</v>
      </c>
      <c r="CJ177" s="67">
        <f t="shared" si="1965"/>
        <v>-425177.47731294285</v>
      </c>
      <c r="CK177" s="67">
        <f t="shared" si="1965"/>
        <v>-426569.39773491718</v>
      </c>
      <c r="CL177" s="67">
        <f t="shared" si="1965"/>
        <v>-427965.87494215061</v>
      </c>
      <c r="CM177" s="67">
        <f t="shared" si="1965"/>
        <v>-429366.92385237227</v>
      </c>
      <c r="CN177" s="67">
        <f t="shared" si="1965"/>
        <v>-430772.55943214818</v>
      </c>
      <c r="CO177" s="67">
        <f t="shared" si="1965"/>
        <v>-432182.79669704085</v>
      </c>
      <c r="CP177" s="67">
        <f t="shared" si="1965"/>
        <v>-433597.65071176988</v>
      </c>
      <c r="CQ177" s="67">
        <f t="shared" si="1965"/>
        <v>-435017.136590373</v>
      </c>
      <c r="CR177" s="67">
        <f t="shared" si="1965"/>
        <v>-436441.2694963672</v>
      </c>
      <c r="CS177" s="67">
        <f t="shared" si="1965"/>
        <v>-437870.06464291085</v>
      </c>
      <c r="CT177" s="67">
        <f t="shared" si="1965"/>
        <v>-439303.53729296633</v>
      </c>
      <c r="CU177" s="67">
        <f t="shared" si="1965"/>
        <v>-440741.70275946305</v>
      </c>
      <c r="CV177" s="67">
        <f t="shared" si="1965"/>
        <v>-442184.57640546083</v>
      </c>
      <c r="CW177" s="67">
        <f t="shared" si="1965"/>
        <v>-443632.17364431417</v>
      </c>
      <c r="CX177" s="67">
        <f t="shared" ref="CX177:DI177" si="1966">IF(CX$5&gt;Refi_Date,-CW180*Mezz_Monthly_PIK_Interest,0)</f>
        <v>-445084.50993983692</v>
      </c>
      <c r="CY177" s="67">
        <f t="shared" si="1966"/>
        <v>-446541.60080646753</v>
      </c>
      <c r="CZ177" s="67">
        <f t="shared" si="1966"/>
        <v>-448003.46180943446</v>
      </c>
      <c r="DA177" s="67">
        <f t="shared" si="1966"/>
        <v>-449470.10856492282</v>
      </c>
      <c r="DB177" s="67">
        <f t="shared" si="1966"/>
        <v>-450941.55674024101</v>
      </c>
      <c r="DC177" s="67">
        <f t="shared" si="1966"/>
        <v>-452417.82205398829</v>
      </c>
      <c r="DD177" s="67">
        <f t="shared" si="1966"/>
        <v>-453898.92027622228</v>
      </c>
      <c r="DE177" s="67">
        <f t="shared" si="1966"/>
        <v>-455384.86722862767</v>
      </c>
      <c r="DF177" s="67">
        <f t="shared" si="1966"/>
        <v>-456875.67878468538</v>
      </c>
      <c r="DG177" s="67">
        <f t="shared" si="1966"/>
        <v>-458371.37086984201</v>
      </c>
      <c r="DH177" s="67">
        <f t="shared" si="1966"/>
        <v>-459871.95946167968</v>
      </c>
      <c r="DI177" s="67">
        <f t="shared" si="1966"/>
        <v>-461377.46059008717</v>
      </c>
    </row>
    <row r="178" spans="2:113" outlineLevel="1" x14ac:dyDescent="0.25"/>
    <row r="179" spans="2:113" outlineLevel="1" x14ac:dyDescent="0.25">
      <c r="C179" s="20" t="s">
        <v>154</v>
      </c>
      <c r="D179" s="47" t="s">
        <v>107</v>
      </c>
      <c r="E179" s="28">
        <v>0</v>
      </c>
      <c r="F179" s="27">
        <f>+E179+F190+F173</f>
        <v>0</v>
      </c>
      <c r="G179" s="27">
        <f t="shared" ref="G179:BR179" si="1967">+F179+G190+G173</f>
        <v>0</v>
      </c>
      <c r="H179" s="27">
        <f t="shared" si="1967"/>
        <v>0</v>
      </c>
      <c r="I179" s="27">
        <f t="shared" si="1967"/>
        <v>0</v>
      </c>
      <c r="J179" s="27">
        <f t="shared" si="1967"/>
        <v>0</v>
      </c>
      <c r="K179" s="27">
        <f t="shared" si="1967"/>
        <v>0</v>
      </c>
      <c r="L179" s="27">
        <f t="shared" si="1967"/>
        <v>0</v>
      </c>
      <c r="M179" s="27">
        <f t="shared" si="1967"/>
        <v>0</v>
      </c>
      <c r="N179" s="27">
        <f t="shared" si="1967"/>
        <v>0</v>
      </c>
      <c r="O179" s="27">
        <f t="shared" si="1967"/>
        <v>0</v>
      </c>
      <c r="P179" s="27">
        <f t="shared" si="1967"/>
        <v>0</v>
      </c>
      <c r="Q179" s="27">
        <f t="shared" si="1967"/>
        <v>0</v>
      </c>
      <c r="R179" s="27">
        <f t="shared" si="1967"/>
        <v>0</v>
      </c>
      <c r="S179" s="27">
        <f t="shared" si="1967"/>
        <v>0</v>
      </c>
      <c r="T179" s="27">
        <f t="shared" si="1967"/>
        <v>0</v>
      </c>
      <c r="U179" s="27">
        <f t="shared" si="1967"/>
        <v>0</v>
      </c>
      <c r="V179" s="27">
        <f t="shared" si="1967"/>
        <v>0</v>
      </c>
      <c r="W179" s="27">
        <f t="shared" si="1967"/>
        <v>0</v>
      </c>
      <c r="X179" s="27">
        <f t="shared" si="1967"/>
        <v>0</v>
      </c>
      <c r="Y179" s="27">
        <f t="shared" si="1967"/>
        <v>0</v>
      </c>
      <c r="Z179" s="27">
        <f t="shared" si="1967"/>
        <v>0</v>
      </c>
      <c r="AA179" s="27">
        <f t="shared" si="1967"/>
        <v>0</v>
      </c>
      <c r="AB179" s="27">
        <f t="shared" si="1967"/>
        <v>0</v>
      </c>
      <c r="AC179" s="27">
        <f t="shared" si="1967"/>
        <v>0</v>
      </c>
      <c r="AD179" s="27">
        <f t="shared" si="1967"/>
        <v>0</v>
      </c>
      <c r="AE179" s="27">
        <f t="shared" si="1967"/>
        <v>0</v>
      </c>
      <c r="AF179" s="27">
        <f t="shared" si="1967"/>
        <v>0</v>
      </c>
      <c r="AG179" s="27">
        <f t="shared" si="1967"/>
        <v>0</v>
      </c>
      <c r="AH179" s="27">
        <f t="shared" si="1967"/>
        <v>0</v>
      </c>
      <c r="AI179" s="27">
        <f t="shared" si="1967"/>
        <v>0</v>
      </c>
      <c r="AJ179" s="27">
        <f t="shared" si="1967"/>
        <v>0</v>
      </c>
      <c r="AK179" s="27">
        <f t="shared" si="1967"/>
        <v>0</v>
      </c>
      <c r="AL179" s="27">
        <f t="shared" si="1967"/>
        <v>0</v>
      </c>
      <c r="AM179" s="27">
        <f t="shared" si="1967"/>
        <v>0</v>
      </c>
      <c r="AN179" s="27">
        <f t="shared" si="1967"/>
        <v>0</v>
      </c>
      <c r="AO179" s="27">
        <f t="shared" si="1967"/>
        <v>0</v>
      </c>
      <c r="AP179" s="27">
        <f t="shared" si="1967"/>
        <v>0</v>
      </c>
      <c r="AQ179" s="27">
        <f t="shared" si="1967"/>
        <v>0</v>
      </c>
      <c r="AR179" s="27">
        <f t="shared" si="1967"/>
        <v>0</v>
      </c>
      <c r="AS179" s="27">
        <f t="shared" si="1967"/>
        <v>0</v>
      </c>
      <c r="AT179" s="27">
        <f t="shared" si="1967"/>
        <v>0</v>
      </c>
      <c r="AU179" s="27">
        <f t="shared" si="1967"/>
        <v>0</v>
      </c>
      <c r="AV179" s="27">
        <f t="shared" si="1967"/>
        <v>0</v>
      </c>
      <c r="AW179" s="27">
        <f t="shared" si="1967"/>
        <v>0</v>
      </c>
      <c r="AX179" s="27">
        <f t="shared" si="1967"/>
        <v>0</v>
      </c>
      <c r="AY179" s="27">
        <f t="shared" si="1967"/>
        <v>0</v>
      </c>
      <c r="AZ179" s="27">
        <f t="shared" si="1967"/>
        <v>0</v>
      </c>
      <c r="BA179" s="27">
        <f t="shared" si="1967"/>
        <v>697294464.01528287</v>
      </c>
      <c r="BB179" s="27">
        <f t="shared" si="1967"/>
        <v>696186500.34552336</v>
      </c>
      <c r="BC179" s="27">
        <f t="shared" si="1967"/>
        <v>695075355.8242836</v>
      </c>
      <c r="BD179" s="27">
        <f t="shared" si="1967"/>
        <v>693961021.31966102</v>
      </c>
      <c r="BE179" s="27">
        <f t="shared" si="1967"/>
        <v>692843487.67353654</v>
      </c>
      <c r="BF179" s="27">
        <f t="shared" si="1967"/>
        <v>691722745.70149887</v>
      </c>
      <c r="BG179" s="27">
        <f t="shared" si="1967"/>
        <v>690598786.19276929</v>
      </c>
      <c r="BH179" s="27">
        <f t="shared" si="1967"/>
        <v>689471599.91012573</v>
      </c>
      <c r="BI179" s="27">
        <f t="shared" si="1967"/>
        <v>688341177.58982718</v>
      </c>
      <c r="BJ179" s="27">
        <f t="shared" si="1967"/>
        <v>687207509.94153726</v>
      </c>
      <c r="BK179" s="27">
        <f t="shared" si="1967"/>
        <v>686070587.64824808</v>
      </c>
      <c r="BL179" s="27">
        <f t="shared" si="1967"/>
        <v>684930401.36620343</v>
      </c>
      <c r="BM179" s="27">
        <f t="shared" si="1967"/>
        <v>683786941.72482204</v>
      </c>
      <c r="BN179" s="27">
        <f t="shared" si="1967"/>
        <v>682640199.32662094</v>
      </c>
      <c r="BO179" s="27">
        <f t="shared" si="1967"/>
        <v>681490164.74713778</v>
      </c>
      <c r="BP179" s="27">
        <f t="shared" si="1967"/>
        <v>680336828.53485346</v>
      </c>
      <c r="BQ179" s="27">
        <f t="shared" si="1967"/>
        <v>679180181.21111465</v>
      </c>
      <c r="BR179" s="27">
        <f t="shared" si="1967"/>
        <v>678020213.27005565</v>
      </c>
      <c r="BS179" s="27">
        <f t="shared" ref="BS179:DI179" si="1968">+BR179+BS190+BS173</f>
        <v>676856915.17852056</v>
      </c>
      <c r="BT179" s="27">
        <f t="shared" si="1968"/>
        <v>675690277.37598455</v>
      </c>
      <c r="BU179" s="27">
        <f t="shared" si="1968"/>
        <v>674520290.27447557</v>
      </c>
      <c r="BV179" s="27">
        <f t="shared" si="1968"/>
        <v>673346944.25849557</v>
      </c>
      <c r="BW179" s="27">
        <f t="shared" si="1968"/>
        <v>672170229.68494129</v>
      </c>
      <c r="BX179" s="27">
        <f t="shared" si="1968"/>
        <v>670990136.88302505</v>
      </c>
      <c r="BY179" s="27">
        <f t="shared" si="1968"/>
        <v>669806656.15419543</v>
      </c>
      <c r="BZ179" s="27">
        <f t="shared" si="1968"/>
        <v>668619777.77205729</v>
      </c>
      <c r="CA179" s="27">
        <f t="shared" si="1968"/>
        <v>667429491.98229218</v>
      </c>
      <c r="CB179" s="27">
        <f t="shared" si="1968"/>
        <v>666235789.0025779</v>
      </c>
      <c r="CC179" s="27">
        <f t="shared" si="1968"/>
        <v>665038659.02250826</v>
      </c>
      <c r="CD179" s="27">
        <f t="shared" si="1968"/>
        <v>663838092.20351219</v>
      </c>
      <c r="CE179" s="27">
        <f t="shared" si="1968"/>
        <v>662634078.67877328</v>
      </c>
      <c r="CF179" s="27">
        <f t="shared" si="1968"/>
        <v>661426608.55314851</v>
      </c>
      <c r="CG179" s="27">
        <f t="shared" si="1968"/>
        <v>660215671.90308678</v>
      </c>
      <c r="CH179" s="27">
        <f t="shared" si="1968"/>
        <v>659001258.77654743</v>
      </c>
      <c r="CI179" s="27">
        <f t="shared" si="1968"/>
        <v>657783359.19291866</v>
      </c>
      <c r="CJ179" s="27">
        <f t="shared" si="1968"/>
        <v>656561963.14293528</v>
      </c>
      <c r="CK179" s="27">
        <f t="shared" si="1968"/>
        <v>655337060.58859658</v>
      </c>
      <c r="CL179" s="27">
        <f t="shared" si="1968"/>
        <v>654108641.46308362</v>
      </c>
      <c r="CM179" s="27">
        <f t="shared" si="1968"/>
        <v>652876695.67067671</v>
      </c>
      <c r="CN179" s="27">
        <f t="shared" si="1968"/>
        <v>651641213.08667243</v>
      </c>
      <c r="CO179" s="27">
        <f t="shared" si="1968"/>
        <v>650402183.55730033</v>
      </c>
      <c r="CP179" s="27">
        <f t="shared" si="1968"/>
        <v>649159596.89963937</v>
      </c>
      <c r="CQ179" s="27">
        <f t="shared" si="1968"/>
        <v>647913442.90153468</v>
      </c>
      <c r="CR179" s="27">
        <f t="shared" si="1968"/>
        <v>646663711.32151306</v>
      </c>
      <c r="CS179" s="27">
        <f t="shared" si="1968"/>
        <v>645410391.88869917</v>
      </c>
      <c r="CT179" s="27">
        <f t="shared" si="1968"/>
        <v>644153474.30273104</v>
      </c>
      <c r="CU179" s="27">
        <f t="shared" si="1968"/>
        <v>642892948.23367536</v>
      </c>
      <c r="CV179" s="27">
        <f t="shared" si="1968"/>
        <v>641628803.32194257</v>
      </c>
      <c r="CW179" s="27">
        <f t="shared" si="1968"/>
        <v>640361029.17820203</v>
      </c>
      <c r="CX179" s="27">
        <f t="shared" si="1968"/>
        <v>639089615.38329613</v>
      </c>
      <c r="CY179" s="27">
        <f t="shared" si="1968"/>
        <v>637814551.48815501</v>
      </c>
      <c r="CZ179" s="27">
        <f t="shared" si="1968"/>
        <v>636535827.01371062</v>
      </c>
      <c r="DA179" s="27">
        <f t="shared" si="1968"/>
        <v>635253431.45081043</v>
      </c>
      <c r="DB179" s="27">
        <f t="shared" si="1968"/>
        <v>633967354.26013136</v>
      </c>
      <c r="DC179" s="27">
        <f t="shared" si="1968"/>
        <v>632677584.87209296</v>
      </c>
      <c r="DD179" s="27">
        <f t="shared" si="1968"/>
        <v>631384112.68677056</v>
      </c>
      <c r="DE179" s="27">
        <f t="shared" si="1968"/>
        <v>630086927.07380819</v>
      </c>
      <c r="DF179" s="27">
        <f t="shared" si="1968"/>
        <v>628786017.37233114</v>
      </c>
      <c r="DG179" s="27">
        <f t="shared" si="1968"/>
        <v>627481372.89085841</v>
      </c>
      <c r="DH179" s="27">
        <f t="shared" si="1968"/>
        <v>626172982.907215</v>
      </c>
      <c r="DI179" s="27">
        <f t="shared" si="1968"/>
        <v>624860836.66844356</v>
      </c>
    </row>
    <row r="180" spans="2:113" outlineLevel="1" x14ac:dyDescent="0.25">
      <c r="C180" s="20" t="s">
        <v>155</v>
      </c>
      <c r="D180" s="130" t="s">
        <v>107</v>
      </c>
      <c r="E180" s="28">
        <v>0</v>
      </c>
      <c r="F180" s="27">
        <f>+E180+F191-F177</f>
        <v>0</v>
      </c>
      <c r="G180" s="27">
        <f t="shared" ref="G180:BR180" si="1969">+F180+G191-G177</f>
        <v>0</v>
      </c>
      <c r="H180" s="27">
        <f t="shared" si="1969"/>
        <v>0</v>
      </c>
      <c r="I180" s="27">
        <f t="shared" si="1969"/>
        <v>0</v>
      </c>
      <c r="J180" s="27">
        <f t="shared" si="1969"/>
        <v>0</v>
      </c>
      <c r="K180" s="27">
        <f t="shared" si="1969"/>
        <v>0</v>
      </c>
      <c r="L180" s="27">
        <f t="shared" si="1969"/>
        <v>0</v>
      </c>
      <c r="M180" s="27">
        <f t="shared" si="1969"/>
        <v>0</v>
      </c>
      <c r="N180" s="27">
        <f t="shared" si="1969"/>
        <v>0</v>
      </c>
      <c r="O180" s="27">
        <f t="shared" si="1969"/>
        <v>0</v>
      </c>
      <c r="P180" s="27">
        <f t="shared" si="1969"/>
        <v>0</v>
      </c>
      <c r="Q180" s="27">
        <f t="shared" si="1969"/>
        <v>0</v>
      </c>
      <c r="R180" s="27">
        <f t="shared" si="1969"/>
        <v>0</v>
      </c>
      <c r="S180" s="27">
        <f t="shared" si="1969"/>
        <v>0</v>
      </c>
      <c r="T180" s="27">
        <f t="shared" si="1969"/>
        <v>0</v>
      </c>
      <c r="U180" s="27">
        <f t="shared" si="1969"/>
        <v>0</v>
      </c>
      <c r="V180" s="27">
        <f t="shared" si="1969"/>
        <v>0</v>
      </c>
      <c r="W180" s="27">
        <f t="shared" si="1969"/>
        <v>0</v>
      </c>
      <c r="X180" s="27">
        <f t="shared" si="1969"/>
        <v>0</v>
      </c>
      <c r="Y180" s="27">
        <f t="shared" si="1969"/>
        <v>0</v>
      </c>
      <c r="Z180" s="27">
        <f t="shared" si="1969"/>
        <v>0</v>
      </c>
      <c r="AA180" s="27">
        <f t="shared" si="1969"/>
        <v>0</v>
      </c>
      <c r="AB180" s="27">
        <f t="shared" si="1969"/>
        <v>0</v>
      </c>
      <c r="AC180" s="27">
        <f t="shared" si="1969"/>
        <v>0</v>
      </c>
      <c r="AD180" s="27">
        <f t="shared" si="1969"/>
        <v>0</v>
      </c>
      <c r="AE180" s="27">
        <f t="shared" si="1969"/>
        <v>0</v>
      </c>
      <c r="AF180" s="27">
        <f t="shared" si="1969"/>
        <v>0</v>
      </c>
      <c r="AG180" s="27">
        <f t="shared" si="1969"/>
        <v>0</v>
      </c>
      <c r="AH180" s="27">
        <f t="shared" si="1969"/>
        <v>0</v>
      </c>
      <c r="AI180" s="27">
        <f t="shared" si="1969"/>
        <v>0</v>
      </c>
      <c r="AJ180" s="27">
        <f t="shared" si="1969"/>
        <v>0</v>
      </c>
      <c r="AK180" s="27">
        <f t="shared" si="1969"/>
        <v>0</v>
      </c>
      <c r="AL180" s="27">
        <f t="shared" si="1969"/>
        <v>0</v>
      </c>
      <c r="AM180" s="27">
        <f t="shared" si="1969"/>
        <v>0</v>
      </c>
      <c r="AN180" s="27">
        <f t="shared" si="1969"/>
        <v>0</v>
      </c>
      <c r="AO180" s="27">
        <f t="shared" si="1969"/>
        <v>0</v>
      </c>
      <c r="AP180" s="27">
        <f t="shared" si="1969"/>
        <v>0</v>
      </c>
      <c r="AQ180" s="27">
        <f t="shared" si="1969"/>
        <v>0</v>
      </c>
      <c r="AR180" s="27">
        <f t="shared" si="1969"/>
        <v>0</v>
      </c>
      <c r="AS180" s="27">
        <f t="shared" si="1969"/>
        <v>0</v>
      </c>
      <c r="AT180" s="27">
        <f t="shared" si="1969"/>
        <v>0</v>
      </c>
      <c r="AU180" s="27">
        <f t="shared" si="1969"/>
        <v>0</v>
      </c>
      <c r="AV180" s="27">
        <f t="shared" si="1969"/>
        <v>0</v>
      </c>
      <c r="AW180" s="27">
        <f t="shared" si="1969"/>
        <v>0</v>
      </c>
      <c r="AX180" s="27">
        <f t="shared" si="1969"/>
        <v>0</v>
      </c>
      <c r="AY180" s="27">
        <f t="shared" si="1969"/>
        <v>0</v>
      </c>
      <c r="AZ180" s="27">
        <f t="shared" si="1969"/>
        <v>0</v>
      </c>
      <c r="BA180" s="27">
        <f t="shared" si="1969"/>
        <v>116215744.00254714</v>
      </c>
      <c r="BB180" s="27">
        <f t="shared" si="1969"/>
        <v>116596204.10700613</v>
      </c>
      <c r="BC180" s="27">
        <f t="shared" si="1969"/>
        <v>116977909.73884462</v>
      </c>
      <c r="BD180" s="27">
        <f t="shared" si="1969"/>
        <v>117360864.97559515</v>
      </c>
      <c r="BE180" s="27">
        <f t="shared" si="1969"/>
        <v>117745073.90813902</v>
      </c>
      <c r="BF180" s="27">
        <f t="shared" si="1969"/>
        <v>118130540.64075005</v>
      </c>
      <c r="BG180" s="27">
        <f t="shared" si="1969"/>
        <v>118517269.29113834</v>
      </c>
      <c r="BH180" s="27">
        <f t="shared" si="1969"/>
        <v>118905263.99049431</v>
      </c>
      <c r="BI180" s="27">
        <f t="shared" si="1969"/>
        <v>119294528.88353285</v>
      </c>
      <c r="BJ180" s="27">
        <f t="shared" si="1969"/>
        <v>119685068.12853755</v>
      </c>
      <c r="BK180" s="27">
        <f t="shared" si="1969"/>
        <v>120076885.89740513</v>
      </c>
      <c r="BL180" s="27">
        <f t="shared" si="1969"/>
        <v>120469986.37569003</v>
      </c>
      <c r="BM180" s="27">
        <f t="shared" si="1969"/>
        <v>120864373.76264909</v>
      </c>
      <c r="BN180" s="27">
        <f t="shared" si="1969"/>
        <v>121260052.27128643</v>
      </c>
      <c r="BO180" s="27">
        <f t="shared" si="1969"/>
        <v>121657026.12839846</v>
      </c>
      <c r="BP180" s="27">
        <f t="shared" si="1969"/>
        <v>122055299.57461901</v>
      </c>
      <c r="BQ180" s="27">
        <f t="shared" si="1969"/>
        <v>122454876.86446464</v>
      </c>
      <c r="BR180" s="27">
        <f t="shared" si="1969"/>
        <v>122855762.2663801</v>
      </c>
      <c r="BS180" s="27">
        <f t="shared" ref="BS180:DI180" si="1970">+BR180+BS191-BS177</f>
        <v>123257960.06278393</v>
      </c>
      <c r="BT180" s="27">
        <f t="shared" si="1970"/>
        <v>123661474.55011415</v>
      </c>
      <c r="BU180" s="27">
        <f t="shared" si="1970"/>
        <v>124066310.03887424</v>
      </c>
      <c r="BV180" s="27">
        <f t="shared" si="1970"/>
        <v>124472470.85367912</v>
      </c>
      <c r="BW180" s="27">
        <f t="shared" si="1970"/>
        <v>124879961.33330141</v>
      </c>
      <c r="BX180" s="27">
        <f t="shared" si="1970"/>
        <v>125288785.8307177</v>
      </c>
      <c r="BY180" s="27">
        <f t="shared" si="1970"/>
        <v>125698948.71315512</v>
      </c>
      <c r="BZ180" s="27">
        <f t="shared" si="1970"/>
        <v>126110454.36213796</v>
      </c>
      <c r="CA180" s="27">
        <f t="shared" si="1970"/>
        <v>126523307.17353447</v>
      </c>
      <c r="CB180" s="27">
        <f t="shared" si="1970"/>
        <v>126937511.55760384</v>
      </c>
      <c r="CC180" s="27">
        <f t="shared" si="1970"/>
        <v>127353071.9390433</v>
      </c>
      <c r="CD180" s="27">
        <f t="shared" si="1970"/>
        <v>127769992.75703539</v>
      </c>
      <c r="CE180" s="27">
        <f t="shared" si="1970"/>
        <v>128188278.46529536</v>
      </c>
      <c r="CF180" s="27">
        <f t="shared" si="1970"/>
        <v>128607933.53211878</v>
      </c>
      <c r="CG180" s="27">
        <f t="shared" si="1970"/>
        <v>129028962.44042927</v>
      </c>
      <c r="CH180" s="27">
        <f t="shared" si="1970"/>
        <v>129451369.68782635</v>
      </c>
      <c r="CI180" s="27">
        <f t="shared" si="1970"/>
        <v>129875159.78663352</v>
      </c>
      <c r="CJ180" s="27">
        <f t="shared" si="1970"/>
        <v>130300337.26394646</v>
      </c>
      <c r="CK180" s="27">
        <f t="shared" si="1970"/>
        <v>130726906.66168137</v>
      </c>
      <c r="CL180" s="27">
        <f t="shared" si="1970"/>
        <v>131154872.53662352</v>
      </c>
      <c r="CM180" s="27">
        <f t="shared" si="1970"/>
        <v>131584239.46047589</v>
      </c>
      <c r="CN180" s="27">
        <f t="shared" si="1970"/>
        <v>132015012.01990804</v>
      </c>
      <c r="CO180" s="27">
        <f t="shared" si="1970"/>
        <v>132447194.81660508</v>
      </c>
      <c r="CP180" s="27">
        <f t="shared" si="1970"/>
        <v>132880792.46731685</v>
      </c>
      <c r="CQ180" s="27">
        <f t="shared" si="1970"/>
        <v>133315809.60390723</v>
      </c>
      <c r="CR180" s="27">
        <f t="shared" si="1970"/>
        <v>133752250.87340359</v>
      </c>
      <c r="CS180" s="27">
        <f t="shared" si="1970"/>
        <v>134190120.9380465</v>
      </c>
      <c r="CT180" s="27">
        <f t="shared" si="1970"/>
        <v>134629424.47533947</v>
      </c>
      <c r="CU180" s="27">
        <f t="shared" si="1970"/>
        <v>135070166.17809895</v>
      </c>
      <c r="CV180" s="27">
        <f t="shared" si="1970"/>
        <v>135512350.75450441</v>
      </c>
      <c r="CW180" s="27">
        <f t="shared" si="1970"/>
        <v>135955982.92814872</v>
      </c>
      <c r="CX180" s="27">
        <f t="shared" si="1970"/>
        <v>136401067.43808857</v>
      </c>
      <c r="CY180" s="27">
        <f t="shared" si="1970"/>
        <v>136847609.03889504</v>
      </c>
      <c r="CZ180" s="27">
        <f t="shared" si="1970"/>
        <v>137295612.50070447</v>
      </c>
      <c r="DA180" s="27">
        <f t="shared" si="1970"/>
        <v>137745082.60926938</v>
      </c>
      <c r="DB180" s="27">
        <f t="shared" si="1970"/>
        <v>138196024.16600963</v>
      </c>
      <c r="DC180" s="27">
        <f t="shared" si="1970"/>
        <v>138648441.98806363</v>
      </c>
      <c r="DD180" s="27">
        <f t="shared" si="1970"/>
        <v>139102340.90833986</v>
      </c>
      <c r="DE180" s="27">
        <f t="shared" si="1970"/>
        <v>139557725.77556849</v>
      </c>
      <c r="DF180" s="27">
        <f t="shared" si="1970"/>
        <v>140014601.45435318</v>
      </c>
      <c r="DG180" s="27">
        <f t="shared" si="1970"/>
        <v>140472972.82522303</v>
      </c>
      <c r="DH180" s="27">
        <f t="shared" si="1970"/>
        <v>140932844.78468472</v>
      </c>
      <c r="DI180" s="27">
        <f t="shared" si="1970"/>
        <v>141394222.24527481</v>
      </c>
    </row>
    <row r="181" spans="2:113" outlineLevel="1" x14ac:dyDescent="0.25">
      <c r="C181" s="38" t="s">
        <v>153</v>
      </c>
      <c r="D181" s="47" t="s">
        <v>107</v>
      </c>
      <c r="E181" s="87"/>
      <c r="F181" s="39">
        <f>SUM(F179:F180)</f>
        <v>0</v>
      </c>
      <c r="G181" s="39">
        <f t="shared" ref="G181:BR181" si="1971">SUM(G179:G180)</f>
        <v>0</v>
      </c>
      <c r="H181" s="39">
        <f t="shared" si="1971"/>
        <v>0</v>
      </c>
      <c r="I181" s="39">
        <f t="shared" si="1971"/>
        <v>0</v>
      </c>
      <c r="J181" s="39">
        <f t="shared" si="1971"/>
        <v>0</v>
      </c>
      <c r="K181" s="39">
        <f t="shared" si="1971"/>
        <v>0</v>
      </c>
      <c r="L181" s="39">
        <f t="shared" si="1971"/>
        <v>0</v>
      </c>
      <c r="M181" s="39">
        <f t="shared" si="1971"/>
        <v>0</v>
      </c>
      <c r="N181" s="39">
        <f t="shared" si="1971"/>
        <v>0</v>
      </c>
      <c r="O181" s="39">
        <f t="shared" si="1971"/>
        <v>0</v>
      </c>
      <c r="P181" s="39">
        <f t="shared" si="1971"/>
        <v>0</v>
      </c>
      <c r="Q181" s="39">
        <f t="shared" si="1971"/>
        <v>0</v>
      </c>
      <c r="R181" s="39">
        <f t="shared" si="1971"/>
        <v>0</v>
      </c>
      <c r="S181" s="39">
        <f t="shared" si="1971"/>
        <v>0</v>
      </c>
      <c r="T181" s="39">
        <f t="shared" si="1971"/>
        <v>0</v>
      </c>
      <c r="U181" s="39">
        <f t="shared" si="1971"/>
        <v>0</v>
      </c>
      <c r="V181" s="39">
        <f t="shared" si="1971"/>
        <v>0</v>
      </c>
      <c r="W181" s="39">
        <f t="shared" si="1971"/>
        <v>0</v>
      </c>
      <c r="X181" s="39">
        <f t="shared" si="1971"/>
        <v>0</v>
      </c>
      <c r="Y181" s="39">
        <f t="shared" si="1971"/>
        <v>0</v>
      </c>
      <c r="Z181" s="39">
        <f t="shared" si="1971"/>
        <v>0</v>
      </c>
      <c r="AA181" s="39">
        <f t="shared" si="1971"/>
        <v>0</v>
      </c>
      <c r="AB181" s="39">
        <f t="shared" si="1971"/>
        <v>0</v>
      </c>
      <c r="AC181" s="39">
        <f t="shared" si="1971"/>
        <v>0</v>
      </c>
      <c r="AD181" s="39">
        <f t="shared" si="1971"/>
        <v>0</v>
      </c>
      <c r="AE181" s="39">
        <f t="shared" si="1971"/>
        <v>0</v>
      </c>
      <c r="AF181" s="39">
        <f t="shared" si="1971"/>
        <v>0</v>
      </c>
      <c r="AG181" s="39">
        <f t="shared" si="1971"/>
        <v>0</v>
      </c>
      <c r="AH181" s="39">
        <f t="shared" si="1971"/>
        <v>0</v>
      </c>
      <c r="AI181" s="39">
        <f t="shared" si="1971"/>
        <v>0</v>
      </c>
      <c r="AJ181" s="39">
        <f t="shared" si="1971"/>
        <v>0</v>
      </c>
      <c r="AK181" s="39">
        <f t="shared" si="1971"/>
        <v>0</v>
      </c>
      <c r="AL181" s="39">
        <f t="shared" si="1971"/>
        <v>0</v>
      </c>
      <c r="AM181" s="39">
        <f t="shared" si="1971"/>
        <v>0</v>
      </c>
      <c r="AN181" s="39">
        <f t="shared" si="1971"/>
        <v>0</v>
      </c>
      <c r="AO181" s="39">
        <f t="shared" si="1971"/>
        <v>0</v>
      </c>
      <c r="AP181" s="39">
        <f t="shared" si="1971"/>
        <v>0</v>
      </c>
      <c r="AQ181" s="39">
        <f t="shared" si="1971"/>
        <v>0</v>
      </c>
      <c r="AR181" s="39">
        <f t="shared" si="1971"/>
        <v>0</v>
      </c>
      <c r="AS181" s="39">
        <f t="shared" si="1971"/>
        <v>0</v>
      </c>
      <c r="AT181" s="39">
        <f t="shared" si="1971"/>
        <v>0</v>
      </c>
      <c r="AU181" s="39">
        <f t="shared" si="1971"/>
        <v>0</v>
      </c>
      <c r="AV181" s="39">
        <f t="shared" si="1971"/>
        <v>0</v>
      </c>
      <c r="AW181" s="39">
        <f t="shared" si="1971"/>
        <v>0</v>
      </c>
      <c r="AX181" s="39">
        <f t="shared" si="1971"/>
        <v>0</v>
      </c>
      <c r="AY181" s="39">
        <f t="shared" si="1971"/>
        <v>0</v>
      </c>
      <c r="AZ181" s="39">
        <f t="shared" si="1971"/>
        <v>0</v>
      </c>
      <c r="BA181" s="39">
        <f t="shared" si="1971"/>
        <v>813510208.01783001</v>
      </c>
      <c r="BB181" s="39">
        <f t="shared" si="1971"/>
        <v>812782704.45252943</v>
      </c>
      <c r="BC181" s="39">
        <f t="shared" si="1971"/>
        <v>812053265.56312823</v>
      </c>
      <c r="BD181" s="39">
        <f t="shared" si="1971"/>
        <v>811321886.29525614</v>
      </c>
      <c r="BE181" s="39">
        <f t="shared" si="1971"/>
        <v>810588561.58167553</v>
      </c>
      <c r="BF181" s="39">
        <f t="shared" si="1971"/>
        <v>809853286.34224892</v>
      </c>
      <c r="BG181" s="39">
        <f t="shared" si="1971"/>
        <v>809116055.48390758</v>
      </c>
      <c r="BH181" s="39">
        <f t="shared" si="1971"/>
        <v>808376863.90061998</v>
      </c>
      <c r="BI181" s="39">
        <f t="shared" si="1971"/>
        <v>807635706.47336006</v>
      </c>
      <c r="BJ181" s="39">
        <f t="shared" si="1971"/>
        <v>806892578.0700748</v>
      </c>
      <c r="BK181" s="39">
        <f t="shared" si="1971"/>
        <v>806147473.54565322</v>
      </c>
      <c r="BL181" s="39">
        <f t="shared" si="1971"/>
        <v>805400387.74189341</v>
      </c>
      <c r="BM181" s="39">
        <f t="shared" si="1971"/>
        <v>804651315.4874711</v>
      </c>
      <c r="BN181" s="39">
        <f t="shared" si="1971"/>
        <v>803900251.5979073</v>
      </c>
      <c r="BO181" s="39">
        <f t="shared" si="1971"/>
        <v>803147190.8755362</v>
      </c>
      <c r="BP181" s="39">
        <f t="shared" si="1971"/>
        <v>802392128.10947251</v>
      </c>
      <c r="BQ181" s="39">
        <f t="shared" si="1971"/>
        <v>801635058.07557929</v>
      </c>
      <c r="BR181" s="39">
        <f t="shared" si="1971"/>
        <v>800875975.53643572</v>
      </c>
      <c r="BS181" s="39">
        <f t="shared" ref="BS181:DI181" si="1972">SUM(BS179:BS180)</f>
        <v>800114875.24130452</v>
      </c>
      <c r="BT181" s="39">
        <f t="shared" si="1972"/>
        <v>799351751.9260987</v>
      </c>
      <c r="BU181" s="39">
        <f t="shared" si="1972"/>
        <v>798586600.31334984</v>
      </c>
      <c r="BV181" s="39">
        <f t="shared" si="1972"/>
        <v>797819415.11217475</v>
      </c>
      <c r="BW181" s="39">
        <f t="shared" si="1972"/>
        <v>797050191.01824272</v>
      </c>
      <c r="BX181" s="39">
        <f t="shared" si="1972"/>
        <v>796278922.71374273</v>
      </c>
      <c r="BY181" s="39">
        <f t="shared" si="1972"/>
        <v>795505604.86735058</v>
      </c>
      <c r="BZ181" s="39">
        <f t="shared" si="1972"/>
        <v>794730232.13419521</v>
      </c>
      <c r="CA181" s="39">
        <f t="shared" si="1972"/>
        <v>793952799.15582669</v>
      </c>
      <c r="CB181" s="39">
        <f t="shared" si="1972"/>
        <v>793173300.56018174</v>
      </c>
      <c r="CC181" s="39">
        <f t="shared" si="1972"/>
        <v>792391730.96155155</v>
      </c>
      <c r="CD181" s="39">
        <f t="shared" si="1972"/>
        <v>791608084.96054757</v>
      </c>
      <c r="CE181" s="39">
        <f t="shared" si="1972"/>
        <v>790822357.1440686</v>
      </c>
      <c r="CF181" s="39">
        <f t="shared" si="1972"/>
        <v>790034542.08526731</v>
      </c>
      <c r="CG181" s="39">
        <f t="shared" si="1972"/>
        <v>789244634.34351611</v>
      </c>
      <c r="CH181" s="39">
        <f t="shared" si="1972"/>
        <v>788452628.46437383</v>
      </c>
      <c r="CI181" s="39">
        <f t="shared" si="1972"/>
        <v>787658518.97955215</v>
      </c>
      <c r="CJ181" s="39">
        <f t="shared" si="1972"/>
        <v>786862300.40688169</v>
      </c>
      <c r="CK181" s="39">
        <f t="shared" si="1972"/>
        <v>786063967.250278</v>
      </c>
      <c r="CL181" s="39">
        <f t="shared" si="1972"/>
        <v>785263513.9997071</v>
      </c>
      <c r="CM181" s="39">
        <f t="shared" si="1972"/>
        <v>784460935.13115263</v>
      </c>
      <c r="CN181" s="39">
        <f t="shared" si="1972"/>
        <v>783656225.1065805</v>
      </c>
      <c r="CO181" s="39">
        <f t="shared" si="1972"/>
        <v>782849378.37390542</v>
      </c>
      <c r="CP181" s="39">
        <f t="shared" si="1972"/>
        <v>782040389.36695623</v>
      </c>
      <c r="CQ181" s="39">
        <f t="shared" si="1972"/>
        <v>781229252.5054419</v>
      </c>
      <c r="CR181" s="39">
        <f t="shared" si="1972"/>
        <v>780415962.19491661</v>
      </c>
      <c r="CS181" s="39">
        <f t="shared" si="1972"/>
        <v>779600512.82674563</v>
      </c>
      <c r="CT181" s="39">
        <f t="shared" si="1972"/>
        <v>778782898.77807045</v>
      </c>
      <c r="CU181" s="39">
        <f t="shared" si="1972"/>
        <v>777963114.41177428</v>
      </c>
      <c r="CV181" s="39">
        <f t="shared" si="1972"/>
        <v>777141154.07644701</v>
      </c>
      <c r="CW181" s="39">
        <f t="shared" si="1972"/>
        <v>776317012.10635078</v>
      </c>
      <c r="CX181" s="39">
        <f t="shared" si="1972"/>
        <v>775490682.82138467</v>
      </c>
      <c r="CY181" s="39">
        <f t="shared" si="1972"/>
        <v>774662160.52705002</v>
      </c>
      <c r="CZ181" s="39">
        <f t="shared" si="1972"/>
        <v>773831439.51441503</v>
      </c>
      <c r="DA181" s="39">
        <f t="shared" si="1972"/>
        <v>772998514.06007981</v>
      </c>
      <c r="DB181" s="39">
        <f t="shared" si="1972"/>
        <v>772163378.42614102</v>
      </c>
      <c r="DC181" s="39">
        <f t="shared" si="1972"/>
        <v>771326026.86015654</v>
      </c>
      <c r="DD181" s="39">
        <f t="shared" si="1972"/>
        <v>770486453.59511042</v>
      </c>
      <c r="DE181" s="39">
        <f t="shared" si="1972"/>
        <v>769644652.84937668</v>
      </c>
      <c r="DF181" s="39">
        <f t="shared" si="1972"/>
        <v>768800618.82668436</v>
      </c>
      <c r="DG181" s="39">
        <f t="shared" si="1972"/>
        <v>767954345.71608138</v>
      </c>
      <c r="DH181" s="39">
        <f t="shared" si="1972"/>
        <v>767105827.69189978</v>
      </c>
      <c r="DI181" s="39">
        <f t="shared" si="1972"/>
        <v>766255058.91371834</v>
      </c>
    </row>
    <row r="183" spans="2:113" x14ac:dyDescent="0.25">
      <c r="B183" s="52" t="s">
        <v>24</v>
      </c>
      <c r="C183" s="52"/>
      <c r="D183" s="40" t="str">
        <f>+$D$5</f>
        <v>Units:</v>
      </c>
      <c r="E183" s="52"/>
      <c r="F183" s="120">
        <f>Constr_Start_Date</f>
        <v>42155</v>
      </c>
      <c r="G183" s="120">
        <f>EOMONTH(F183,1)</f>
        <v>42185</v>
      </c>
      <c r="H183" s="120">
        <f t="shared" ref="H183" si="1973">EOMONTH(G183,1)</f>
        <v>42216</v>
      </c>
      <c r="I183" s="120">
        <f t="shared" ref="I183" si="1974">EOMONTH(H183,1)</f>
        <v>42247</v>
      </c>
      <c r="J183" s="120">
        <f t="shared" ref="J183" si="1975">EOMONTH(I183,1)</f>
        <v>42277</v>
      </c>
      <c r="K183" s="120">
        <f t="shared" ref="K183" si="1976">EOMONTH(J183,1)</f>
        <v>42308</v>
      </c>
      <c r="L183" s="120">
        <f t="shared" ref="L183" si="1977">EOMONTH(K183,1)</f>
        <v>42338</v>
      </c>
      <c r="M183" s="120">
        <f t="shared" ref="M183" si="1978">EOMONTH(L183,1)</f>
        <v>42369</v>
      </c>
      <c r="N183" s="120">
        <f t="shared" ref="N183" si="1979">EOMONTH(M183,1)</f>
        <v>42400</v>
      </c>
      <c r="O183" s="120">
        <f t="shared" ref="O183" si="1980">EOMONTH(N183,1)</f>
        <v>42429</v>
      </c>
      <c r="P183" s="120">
        <f t="shared" ref="P183" si="1981">EOMONTH(O183,1)</f>
        <v>42460</v>
      </c>
      <c r="Q183" s="120">
        <f t="shared" ref="Q183" si="1982">EOMONTH(P183,1)</f>
        <v>42490</v>
      </c>
      <c r="R183" s="120">
        <f t="shared" ref="R183" si="1983">EOMONTH(Q183,1)</f>
        <v>42521</v>
      </c>
      <c r="S183" s="120">
        <f t="shared" ref="S183" si="1984">EOMONTH(R183,1)</f>
        <v>42551</v>
      </c>
      <c r="T183" s="120">
        <f t="shared" ref="T183" si="1985">EOMONTH(S183,1)</f>
        <v>42582</v>
      </c>
      <c r="U183" s="120">
        <f t="shared" ref="U183" si="1986">EOMONTH(T183,1)</f>
        <v>42613</v>
      </c>
      <c r="V183" s="120">
        <f t="shared" ref="V183" si="1987">EOMONTH(U183,1)</f>
        <v>42643</v>
      </c>
      <c r="W183" s="120">
        <f t="shared" ref="W183" si="1988">EOMONTH(V183,1)</f>
        <v>42674</v>
      </c>
      <c r="X183" s="120">
        <f t="shared" ref="X183" si="1989">EOMONTH(W183,1)</f>
        <v>42704</v>
      </c>
      <c r="Y183" s="120">
        <f t="shared" ref="Y183" si="1990">EOMONTH(X183,1)</f>
        <v>42735</v>
      </c>
      <c r="Z183" s="120">
        <f t="shared" ref="Z183" si="1991">EOMONTH(Y183,1)</f>
        <v>42766</v>
      </c>
      <c r="AA183" s="120">
        <f t="shared" ref="AA183" si="1992">EOMONTH(Z183,1)</f>
        <v>42794</v>
      </c>
      <c r="AB183" s="120">
        <f t="shared" ref="AB183" si="1993">EOMONTH(AA183,1)</f>
        <v>42825</v>
      </c>
      <c r="AC183" s="120">
        <f t="shared" ref="AC183" si="1994">EOMONTH(AB183,1)</f>
        <v>42855</v>
      </c>
      <c r="AD183" s="120">
        <f t="shared" ref="AD183" si="1995">EOMONTH(AC183,1)</f>
        <v>42886</v>
      </c>
      <c r="AE183" s="120">
        <f t="shared" ref="AE183" si="1996">EOMONTH(AD183,1)</f>
        <v>42916</v>
      </c>
      <c r="AF183" s="120">
        <f t="shared" ref="AF183" si="1997">EOMONTH(AE183,1)</f>
        <v>42947</v>
      </c>
      <c r="AG183" s="120">
        <f t="shared" ref="AG183" si="1998">EOMONTH(AF183,1)</f>
        <v>42978</v>
      </c>
      <c r="AH183" s="120">
        <f t="shared" ref="AH183" si="1999">EOMONTH(AG183,1)</f>
        <v>43008</v>
      </c>
      <c r="AI183" s="120">
        <f t="shared" ref="AI183" si="2000">EOMONTH(AH183,1)</f>
        <v>43039</v>
      </c>
      <c r="AJ183" s="120">
        <f t="shared" ref="AJ183" si="2001">EOMONTH(AI183,1)</f>
        <v>43069</v>
      </c>
      <c r="AK183" s="120">
        <f t="shared" ref="AK183" si="2002">EOMONTH(AJ183,1)</f>
        <v>43100</v>
      </c>
      <c r="AL183" s="120">
        <f t="shared" ref="AL183" si="2003">EOMONTH(AK183,1)</f>
        <v>43131</v>
      </c>
      <c r="AM183" s="120">
        <f t="shared" ref="AM183" si="2004">EOMONTH(AL183,1)</f>
        <v>43159</v>
      </c>
      <c r="AN183" s="120">
        <f t="shared" ref="AN183" si="2005">EOMONTH(AM183,1)</f>
        <v>43190</v>
      </c>
      <c r="AO183" s="120">
        <f t="shared" ref="AO183" si="2006">EOMONTH(AN183,1)</f>
        <v>43220</v>
      </c>
      <c r="AP183" s="120">
        <f t="shared" ref="AP183" si="2007">EOMONTH(AO183,1)</f>
        <v>43251</v>
      </c>
      <c r="AQ183" s="120">
        <f t="shared" ref="AQ183" si="2008">EOMONTH(AP183,1)</f>
        <v>43281</v>
      </c>
      <c r="AR183" s="120">
        <f t="shared" ref="AR183" si="2009">EOMONTH(AQ183,1)</f>
        <v>43312</v>
      </c>
      <c r="AS183" s="120">
        <f t="shared" ref="AS183" si="2010">EOMONTH(AR183,1)</f>
        <v>43343</v>
      </c>
      <c r="AT183" s="120">
        <f t="shared" ref="AT183" si="2011">EOMONTH(AS183,1)</f>
        <v>43373</v>
      </c>
      <c r="AU183" s="120">
        <f t="shared" ref="AU183" si="2012">EOMONTH(AT183,1)</f>
        <v>43404</v>
      </c>
      <c r="AV183" s="120">
        <f t="shared" ref="AV183" si="2013">EOMONTH(AU183,1)</f>
        <v>43434</v>
      </c>
      <c r="AW183" s="120">
        <f t="shared" ref="AW183" si="2014">EOMONTH(AV183,1)</f>
        <v>43465</v>
      </c>
      <c r="AX183" s="120">
        <f t="shared" ref="AX183" si="2015">EOMONTH(AW183,1)</f>
        <v>43496</v>
      </c>
      <c r="AY183" s="120">
        <f t="shared" ref="AY183" si="2016">EOMONTH(AX183,1)</f>
        <v>43524</v>
      </c>
      <c r="AZ183" s="120">
        <f t="shared" ref="AZ183" si="2017">EOMONTH(AY183,1)</f>
        <v>43555</v>
      </c>
      <c r="BA183" s="120">
        <f t="shared" ref="BA183" si="2018">EOMONTH(AZ183,1)</f>
        <v>43585</v>
      </c>
      <c r="BB183" s="120">
        <f t="shared" ref="BB183" si="2019">EOMONTH(BA183,1)</f>
        <v>43616</v>
      </c>
      <c r="BC183" s="120">
        <f t="shared" ref="BC183" si="2020">EOMONTH(BB183,1)</f>
        <v>43646</v>
      </c>
      <c r="BD183" s="120">
        <f t="shared" ref="BD183" si="2021">EOMONTH(BC183,1)</f>
        <v>43677</v>
      </c>
      <c r="BE183" s="120">
        <f t="shared" ref="BE183" si="2022">EOMONTH(BD183,1)</f>
        <v>43708</v>
      </c>
      <c r="BF183" s="120">
        <f t="shared" ref="BF183" si="2023">EOMONTH(BE183,1)</f>
        <v>43738</v>
      </c>
      <c r="BG183" s="120">
        <f t="shared" ref="BG183" si="2024">EOMONTH(BF183,1)</f>
        <v>43769</v>
      </c>
      <c r="BH183" s="120">
        <f t="shared" ref="BH183" si="2025">EOMONTH(BG183,1)</f>
        <v>43799</v>
      </c>
      <c r="BI183" s="120">
        <f t="shared" ref="BI183" si="2026">EOMONTH(BH183,1)</f>
        <v>43830</v>
      </c>
      <c r="BJ183" s="120">
        <f t="shared" ref="BJ183" si="2027">EOMONTH(BI183,1)</f>
        <v>43861</v>
      </c>
      <c r="BK183" s="120">
        <f t="shared" ref="BK183" si="2028">EOMONTH(BJ183,1)</f>
        <v>43890</v>
      </c>
      <c r="BL183" s="120">
        <f t="shared" ref="BL183" si="2029">EOMONTH(BK183,1)</f>
        <v>43921</v>
      </c>
      <c r="BM183" s="120">
        <f t="shared" ref="BM183" si="2030">EOMONTH(BL183,1)</f>
        <v>43951</v>
      </c>
      <c r="BN183" s="120">
        <f t="shared" ref="BN183" si="2031">EOMONTH(BM183,1)</f>
        <v>43982</v>
      </c>
      <c r="BO183" s="120">
        <f t="shared" ref="BO183" si="2032">EOMONTH(BN183,1)</f>
        <v>44012</v>
      </c>
      <c r="BP183" s="120">
        <f t="shared" ref="BP183" si="2033">EOMONTH(BO183,1)</f>
        <v>44043</v>
      </c>
      <c r="BQ183" s="120">
        <f t="shared" ref="BQ183" si="2034">EOMONTH(BP183,1)</f>
        <v>44074</v>
      </c>
      <c r="BR183" s="120">
        <f t="shared" ref="BR183" si="2035">EOMONTH(BQ183,1)</f>
        <v>44104</v>
      </c>
      <c r="BS183" s="120">
        <f t="shared" ref="BS183" si="2036">EOMONTH(BR183,1)</f>
        <v>44135</v>
      </c>
      <c r="BT183" s="120">
        <f t="shared" ref="BT183" si="2037">EOMONTH(BS183,1)</f>
        <v>44165</v>
      </c>
      <c r="BU183" s="120">
        <f t="shared" ref="BU183" si="2038">EOMONTH(BT183,1)</f>
        <v>44196</v>
      </c>
      <c r="BV183" s="120">
        <f t="shared" ref="BV183" si="2039">EOMONTH(BU183,1)</f>
        <v>44227</v>
      </c>
      <c r="BW183" s="120">
        <f t="shared" ref="BW183" si="2040">EOMONTH(BV183,1)</f>
        <v>44255</v>
      </c>
      <c r="BX183" s="120">
        <f t="shared" ref="BX183" si="2041">EOMONTH(BW183,1)</f>
        <v>44286</v>
      </c>
      <c r="BY183" s="120">
        <f t="shared" ref="BY183" si="2042">EOMONTH(BX183,1)</f>
        <v>44316</v>
      </c>
      <c r="BZ183" s="120">
        <f t="shared" ref="BZ183" si="2043">EOMONTH(BY183,1)</f>
        <v>44347</v>
      </c>
      <c r="CA183" s="120">
        <f t="shared" ref="CA183" si="2044">EOMONTH(BZ183,1)</f>
        <v>44377</v>
      </c>
      <c r="CB183" s="120">
        <f t="shared" ref="CB183" si="2045">EOMONTH(CA183,1)</f>
        <v>44408</v>
      </c>
      <c r="CC183" s="120">
        <f t="shared" ref="CC183" si="2046">EOMONTH(CB183,1)</f>
        <v>44439</v>
      </c>
      <c r="CD183" s="120">
        <f t="shared" ref="CD183" si="2047">EOMONTH(CC183,1)</f>
        <v>44469</v>
      </c>
      <c r="CE183" s="120">
        <f t="shared" ref="CE183" si="2048">EOMONTH(CD183,1)</f>
        <v>44500</v>
      </c>
      <c r="CF183" s="120">
        <f t="shared" ref="CF183" si="2049">EOMONTH(CE183,1)</f>
        <v>44530</v>
      </c>
      <c r="CG183" s="120">
        <f t="shared" ref="CG183" si="2050">EOMONTH(CF183,1)</f>
        <v>44561</v>
      </c>
      <c r="CH183" s="120">
        <f t="shared" ref="CH183" si="2051">EOMONTH(CG183,1)</f>
        <v>44592</v>
      </c>
      <c r="CI183" s="120">
        <f t="shared" ref="CI183" si="2052">EOMONTH(CH183,1)</f>
        <v>44620</v>
      </c>
      <c r="CJ183" s="120">
        <f t="shared" ref="CJ183" si="2053">EOMONTH(CI183,1)</f>
        <v>44651</v>
      </c>
      <c r="CK183" s="120">
        <f t="shared" ref="CK183" si="2054">EOMONTH(CJ183,1)</f>
        <v>44681</v>
      </c>
      <c r="CL183" s="120">
        <f t="shared" ref="CL183" si="2055">EOMONTH(CK183,1)</f>
        <v>44712</v>
      </c>
      <c r="CM183" s="120">
        <f t="shared" ref="CM183" si="2056">EOMONTH(CL183,1)</f>
        <v>44742</v>
      </c>
      <c r="CN183" s="120">
        <f t="shared" ref="CN183" si="2057">EOMONTH(CM183,1)</f>
        <v>44773</v>
      </c>
      <c r="CO183" s="120">
        <f t="shared" ref="CO183" si="2058">EOMONTH(CN183,1)</f>
        <v>44804</v>
      </c>
      <c r="CP183" s="120">
        <f t="shared" ref="CP183" si="2059">EOMONTH(CO183,1)</f>
        <v>44834</v>
      </c>
      <c r="CQ183" s="120">
        <f t="shared" ref="CQ183" si="2060">EOMONTH(CP183,1)</f>
        <v>44865</v>
      </c>
      <c r="CR183" s="120">
        <f t="shared" ref="CR183" si="2061">EOMONTH(CQ183,1)</f>
        <v>44895</v>
      </c>
      <c r="CS183" s="120">
        <f t="shared" ref="CS183" si="2062">EOMONTH(CR183,1)</f>
        <v>44926</v>
      </c>
      <c r="CT183" s="120">
        <f t="shared" ref="CT183" si="2063">EOMONTH(CS183,1)</f>
        <v>44957</v>
      </c>
      <c r="CU183" s="120">
        <f t="shared" ref="CU183" si="2064">EOMONTH(CT183,1)</f>
        <v>44985</v>
      </c>
      <c r="CV183" s="120">
        <f t="shared" ref="CV183" si="2065">EOMONTH(CU183,1)</f>
        <v>45016</v>
      </c>
      <c r="CW183" s="120">
        <f t="shared" ref="CW183" si="2066">EOMONTH(CV183,1)</f>
        <v>45046</v>
      </c>
    </row>
    <row r="184" spans="2:113" outlineLevel="1" x14ac:dyDescent="0.25"/>
    <row r="185" spans="2:113" outlineLevel="1" x14ac:dyDescent="0.25">
      <c r="C185" s="5" t="s">
        <v>27</v>
      </c>
      <c r="D185" s="47" t="s">
        <v>107</v>
      </c>
      <c r="F185" s="27">
        <f>SUM(G162:R162)</f>
        <v>0</v>
      </c>
      <c r="G185" s="27">
        <f t="shared" ref="G185:BR185" si="2067">SUM(H162:S162)</f>
        <v>0</v>
      </c>
      <c r="H185" s="27">
        <f t="shared" si="2067"/>
        <v>0</v>
      </c>
      <c r="I185" s="27">
        <f t="shared" si="2067"/>
        <v>0</v>
      </c>
      <c r="J185" s="27">
        <f t="shared" si="2067"/>
        <v>0</v>
      </c>
      <c r="K185" s="27">
        <f t="shared" si="2067"/>
        <v>0</v>
      </c>
      <c r="L185" s="27">
        <f t="shared" si="2067"/>
        <v>0</v>
      </c>
      <c r="M185" s="27">
        <f t="shared" si="2067"/>
        <v>0</v>
      </c>
      <c r="N185" s="27">
        <f t="shared" si="2067"/>
        <v>0</v>
      </c>
      <c r="O185" s="27">
        <f t="shared" si="2067"/>
        <v>0</v>
      </c>
      <c r="P185" s="27">
        <f t="shared" si="2067"/>
        <v>0</v>
      </c>
      <c r="Q185" s="27">
        <f t="shared" si="2067"/>
        <v>0</v>
      </c>
      <c r="R185" s="27">
        <f t="shared" si="2067"/>
        <v>0</v>
      </c>
      <c r="S185" s="27">
        <f t="shared" si="2067"/>
        <v>0</v>
      </c>
      <c r="T185" s="27">
        <f t="shared" si="2067"/>
        <v>0</v>
      </c>
      <c r="U185" s="27">
        <f t="shared" si="2067"/>
        <v>0</v>
      </c>
      <c r="V185" s="27">
        <f t="shared" si="2067"/>
        <v>0</v>
      </c>
      <c r="W185" s="27">
        <f t="shared" si="2067"/>
        <v>0</v>
      </c>
      <c r="X185" s="27">
        <f t="shared" si="2067"/>
        <v>0</v>
      </c>
      <c r="Y185" s="27">
        <f t="shared" si="2067"/>
        <v>0</v>
      </c>
      <c r="Z185" s="27">
        <f t="shared" si="2067"/>
        <v>0</v>
      </c>
      <c r="AA185" s="27">
        <f t="shared" si="2067"/>
        <v>0</v>
      </c>
      <c r="AB185" s="27">
        <f t="shared" si="2067"/>
        <v>0</v>
      </c>
      <c r="AC185" s="27">
        <f t="shared" si="2067"/>
        <v>0</v>
      </c>
      <c r="AD185" s="27">
        <f t="shared" si="2067"/>
        <v>0</v>
      </c>
      <c r="AE185" s="27">
        <f t="shared" si="2067"/>
        <v>0</v>
      </c>
      <c r="AF185" s="27">
        <f t="shared" si="2067"/>
        <v>0</v>
      </c>
      <c r="AG185" s="27">
        <f t="shared" si="2067"/>
        <v>0</v>
      </c>
      <c r="AH185" s="27">
        <f t="shared" si="2067"/>
        <v>0</v>
      </c>
      <c r="AI185" s="27">
        <f t="shared" si="2067"/>
        <v>0</v>
      </c>
      <c r="AJ185" s="27">
        <f t="shared" si="2067"/>
        <v>0</v>
      </c>
      <c r="AK185" s="27">
        <f t="shared" si="2067"/>
        <v>0</v>
      </c>
      <c r="AL185" s="27">
        <f t="shared" si="2067"/>
        <v>0</v>
      </c>
      <c r="AM185" s="27">
        <f t="shared" si="2067"/>
        <v>0</v>
      </c>
      <c r="AN185" s="27">
        <f t="shared" si="2067"/>
        <v>0</v>
      </c>
      <c r="AO185" s="27">
        <f t="shared" si="2067"/>
        <v>0</v>
      </c>
      <c r="AP185" s="27">
        <f t="shared" si="2067"/>
        <v>-930526.33117645071</v>
      </c>
      <c r="AQ185" s="27">
        <f t="shared" si="2067"/>
        <v>-1862779.6610985505</v>
      </c>
      <c r="AR185" s="27">
        <f t="shared" si="2067"/>
        <v>-2796763.1949680946</v>
      </c>
      <c r="AS185" s="27">
        <f t="shared" si="2067"/>
        <v>-3732480.1439355332</v>
      </c>
      <c r="AT185" s="27">
        <f t="shared" si="2067"/>
        <v>-4669933.7251110114</v>
      </c>
      <c r="AU185" s="27">
        <f t="shared" si="2067"/>
        <v>-5609127.1615754282</v>
      </c>
      <c r="AV185" s="27">
        <f t="shared" si="2067"/>
        <v>-3857928.939735102</v>
      </c>
      <c r="AW185" s="27">
        <f t="shared" si="2067"/>
        <v>-2108477.0373021271</v>
      </c>
      <c r="AX185" s="27">
        <f t="shared" si="2067"/>
        <v>-360774.69533624034</v>
      </c>
      <c r="AY185" s="27">
        <f t="shared" si="2067"/>
        <v>3401379.0509479474</v>
      </c>
      <c r="AZ185" s="27">
        <f t="shared" si="2067"/>
        <v>7161776.7365887947</v>
      </c>
      <c r="BA185" s="27">
        <f t="shared" si="2067"/>
        <v>10920415.102447441</v>
      </c>
      <c r="BB185" s="27">
        <f t="shared" si="2067"/>
        <v>15713561.198241159</v>
      </c>
      <c r="BC185" s="27">
        <f t="shared" si="2067"/>
        <v>20506474.035553709</v>
      </c>
      <c r="BD185" s="27">
        <f t="shared" si="2067"/>
        <v>25299152.781777952</v>
      </c>
      <c r="BE185" s="27">
        <f t="shared" si="2067"/>
        <v>30091596.601938184</v>
      </c>
      <c r="BF185" s="27">
        <f t="shared" si="2067"/>
        <v>34883804.65868403</v>
      </c>
      <c r="BG185" s="27">
        <f t="shared" si="2067"/>
        <v>39675776.112284347</v>
      </c>
      <c r="BH185" s="27">
        <f t="shared" si="2067"/>
        <v>41775375.37796469</v>
      </c>
      <c r="BI185" s="27">
        <f t="shared" si="2067"/>
        <v>43874736.353870414</v>
      </c>
      <c r="BJ185" s="27">
        <f t="shared" si="2067"/>
        <v>45973858.193091281</v>
      </c>
      <c r="BK185" s="27">
        <f t="shared" si="2067"/>
        <v>46056535.834451377</v>
      </c>
      <c r="BL185" s="27">
        <f t="shared" si="2067"/>
        <v>46138972.638083927</v>
      </c>
      <c r="BM185" s="27">
        <f t="shared" si="2067"/>
        <v>46221167.749844104</v>
      </c>
      <c r="BN185" s="27">
        <f t="shared" si="2067"/>
        <v>46305697.552507058</v>
      </c>
      <c r="BO185" s="27">
        <f t="shared" si="2067"/>
        <v>49235135.061710224</v>
      </c>
      <c r="BP185" s="27">
        <f t="shared" si="2067"/>
        <v>52164523.463537499</v>
      </c>
      <c r="BQ185" s="27">
        <f t="shared" si="2067"/>
        <v>55093862.656835735</v>
      </c>
      <c r="BR185" s="27">
        <f t="shared" si="2067"/>
        <v>58023152.540243402</v>
      </c>
      <c r="BS185" s="27">
        <f t="shared" ref="BS185:CW185" si="2068">SUM(BT162:CE162)</f>
        <v>60952393.012190208</v>
      </c>
      <c r="BT185" s="27">
        <f t="shared" si="2068"/>
        <v>63881583.970896639</v>
      </c>
      <c r="BU185" s="27">
        <f t="shared" si="2068"/>
        <v>66810725.314373501</v>
      </c>
      <c r="BV185" s="27">
        <f t="shared" si="2068"/>
        <v>69739816.940421581</v>
      </c>
      <c r="BW185" s="27">
        <f t="shared" si="2068"/>
        <v>72668858.746631101</v>
      </c>
      <c r="BX185" s="27">
        <f t="shared" si="2068"/>
        <v>75661862.156423181</v>
      </c>
      <c r="BY185" s="27">
        <f t="shared" si="2068"/>
        <v>78654815.540923908</v>
      </c>
      <c r="BZ185" s="27">
        <f t="shared" si="2068"/>
        <v>78253754.996108726</v>
      </c>
      <c r="CA185" s="27">
        <f t="shared" si="2068"/>
        <v>75006619.630250782</v>
      </c>
      <c r="CB185" s="27">
        <f t="shared" si="2068"/>
        <v>71758363.853201419</v>
      </c>
      <c r="CC185" s="27">
        <f t="shared" si="2068"/>
        <v>68508985.357096985</v>
      </c>
      <c r="CD185" s="27">
        <f t="shared" si="2068"/>
        <v>65258481.829320073</v>
      </c>
      <c r="CE185" s="27">
        <f t="shared" si="2068"/>
        <v>62006850.952489652</v>
      </c>
      <c r="CF185" s="27">
        <f t="shared" si="2068"/>
        <v>58754090.404451236</v>
      </c>
      <c r="CG185" s="27">
        <f t="shared" si="2068"/>
        <v>55500197.858267106</v>
      </c>
      <c r="CH185" s="27">
        <f t="shared" si="2068"/>
        <v>53729770.998385459</v>
      </c>
      <c r="CI185" s="27">
        <f t="shared" si="2068"/>
        <v>52486325.775594801</v>
      </c>
      <c r="CJ185" s="27">
        <f t="shared" si="2068"/>
        <v>51244269.641619332</v>
      </c>
      <c r="CK185" s="27">
        <f t="shared" si="2068"/>
        <v>50002162.231720224</v>
      </c>
      <c r="CL185" s="27">
        <f t="shared" si="2068"/>
        <v>49551517.758123606</v>
      </c>
      <c r="CM185" s="27">
        <f t="shared" si="2068"/>
        <v>49101115.463177904</v>
      </c>
      <c r="CN185" s="27">
        <f t="shared" si="2068"/>
        <v>48650955.845731452</v>
      </c>
      <c r="CO185" s="27">
        <f t="shared" si="2068"/>
        <v>48201039.405660182</v>
      </c>
      <c r="CP185" s="27">
        <f t="shared" si="2068"/>
        <v>47751366.643869668</v>
      </c>
      <c r="CQ185" s="27">
        <f t="shared" si="2068"/>
        <v>47301938.06229727</v>
      </c>
      <c r="CR185" s="27">
        <f t="shared" si="2068"/>
        <v>46852754.163914271</v>
      </c>
      <c r="CS185" s="27">
        <f t="shared" si="2068"/>
        <v>47921695.246015579</v>
      </c>
      <c r="CT185" s="27">
        <f t="shared" si="2068"/>
        <v>48651490.102743626</v>
      </c>
      <c r="CU185" s="27">
        <f t="shared" si="2068"/>
        <v>49274245.619168952</v>
      </c>
      <c r="CV185" s="27">
        <f t="shared" si="2068"/>
        <v>49898421.350981519</v>
      </c>
      <c r="CW185" s="27">
        <f t="shared" si="2068"/>
        <v>50522544.524972335</v>
      </c>
    </row>
    <row r="186" spans="2:113" outlineLevel="1" x14ac:dyDescent="0.25">
      <c r="C186" s="5" t="s">
        <v>181</v>
      </c>
      <c r="D186" s="46" t="s">
        <v>39</v>
      </c>
      <c r="F186" s="163">
        <f>INDEX(Annual!$F$72:$M$78,7,MATCH(Monthly!F$9,Annual!$F$72:$M$72,0))</f>
        <v>0.04</v>
      </c>
      <c r="G186" s="163">
        <f>INDEX(Annual!$F$72:$M$78,7,MATCH(Monthly!G$9,Annual!$F$72:$M$72,0))</f>
        <v>0.04</v>
      </c>
      <c r="H186" s="163">
        <f>INDEX(Annual!$F$72:$M$78,7,MATCH(Monthly!H$9,Annual!$F$72:$M$72,0))</f>
        <v>0.04</v>
      </c>
      <c r="I186" s="163">
        <f>INDEX(Annual!$F$72:$M$78,7,MATCH(Monthly!I$9,Annual!$F$72:$M$72,0))</f>
        <v>0.04</v>
      </c>
      <c r="J186" s="163">
        <f>INDEX(Annual!$F$72:$M$78,7,MATCH(Monthly!J$9,Annual!$F$72:$M$72,0))</f>
        <v>0.04</v>
      </c>
      <c r="K186" s="163">
        <f>INDEX(Annual!$F$72:$M$78,7,MATCH(Monthly!K$9,Annual!$F$72:$M$72,0))</f>
        <v>0.04</v>
      </c>
      <c r="L186" s="163">
        <f>INDEX(Annual!$F$72:$M$78,7,MATCH(Monthly!L$9,Annual!$F$72:$M$72,0))</f>
        <v>0.04</v>
      </c>
      <c r="M186" s="163">
        <f>INDEX(Annual!$F$72:$M$78,7,MATCH(Monthly!M$9,Annual!$F$72:$M$72,0))</f>
        <v>0.04</v>
      </c>
      <c r="N186" s="163">
        <f>INDEX(Annual!$F$72:$M$78,7,MATCH(Monthly!N$9,Annual!$F$72:$M$72,0))</f>
        <v>0.04</v>
      </c>
      <c r="O186" s="163">
        <f>INDEX(Annual!$F$72:$M$78,7,MATCH(Monthly!O$9,Annual!$F$72:$M$72,0))</f>
        <v>0.04</v>
      </c>
      <c r="P186" s="163">
        <f>INDEX(Annual!$F$72:$M$78,7,MATCH(Monthly!P$9,Annual!$F$72:$M$72,0))</f>
        <v>0.04</v>
      </c>
      <c r="Q186" s="163">
        <f>INDEX(Annual!$F$72:$M$78,7,MATCH(Monthly!Q$9,Annual!$F$72:$M$72,0))</f>
        <v>0.04</v>
      </c>
      <c r="R186" s="163">
        <f>INDEX(Annual!$F$72:$M$78,7,MATCH(Monthly!R$9,Annual!$F$72:$M$72,0))</f>
        <v>4.2500000000000003E-2</v>
      </c>
      <c r="S186" s="163">
        <f>INDEX(Annual!$F$72:$M$78,7,MATCH(Monthly!S$9,Annual!$F$72:$M$72,0))</f>
        <v>4.2500000000000003E-2</v>
      </c>
      <c r="T186" s="163">
        <f>INDEX(Annual!$F$72:$M$78,7,MATCH(Monthly!T$9,Annual!$F$72:$M$72,0))</f>
        <v>4.2500000000000003E-2</v>
      </c>
      <c r="U186" s="163">
        <f>INDEX(Annual!$F$72:$M$78,7,MATCH(Monthly!U$9,Annual!$F$72:$M$72,0))</f>
        <v>4.2500000000000003E-2</v>
      </c>
      <c r="V186" s="163">
        <f>INDEX(Annual!$F$72:$M$78,7,MATCH(Monthly!V$9,Annual!$F$72:$M$72,0))</f>
        <v>4.2500000000000003E-2</v>
      </c>
      <c r="W186" s="163">
        <f>INDEX(Annual!$F$72:$M$78,7,MATCH(Monthly!W$9,Annual!$F$72:$M$72,0))</f>
        <v>4.2500000000000003E-2</v>
      </c>
      <c r="X186" s="163">
        <f>INDEX(Annual!$F$72:$M$78,7,MATCH(Monthly!X$9,Annual!$F$72:$M$72,0))</f>
        <v>4.2500000000000003E-2</v>
      </c>
      <c r="Y186" s="163">
        <f>INDEX(Annual!$F$72:$M$78,7,MATCH(Monthly!Y$9,Annual!$F$72:$M$72,0))</f>
        <v>4.2500000000000003E-2</v>
      </c>
      <c r="Z186" s="163">
        <f>INDEX(Annual!$F$72:$M$78,7,MATCH(Monthly!Z$9,Annual!$F$72:$M$72,0))</f>
        <v>4.2500000000000003E-2</v>
      </c>
      <c r="AA186" s="163">
        <f>INDEX(Annual!$F$72:$M$78,7,MATCH(Monthly!AA$9,Annual!$F$72:$M$72,0))</f>
        <v>4.2500000000000003E-2</v>
      </c>
      <c r="AB186" s="163">
        <f>INDEX(Annual!$F$72:$M$78,7,MATCH(Monthly!AB$9,Annual!$F$72:$M$72,0))</f>
        <v>4.2500000000000003E-2</v>
      </c>
      <c r="AC186" s="163">
        <f>INDEX(Annual!$F$72:$M$78,7,MATCH(Monthly!AC$9,Annual!$F$72:$M$72,0))</f>
        <v>4.2500000000000003E-2</v>
      </c>
      <c r="AD186" s="163">
        <f>INDEX(Annual!$F$72:$M$78,7,MATCH(Monthly!AD$9,Annual!$F$72:$M$72,0))</f>
        <v>4.2500000000000003E-2</v>
      </c>
      <c r="AE186" s="163">
        <f>INDEX(Annual!$F$72:$M$78,7,MATCH(Monthly!AE$9,Annual!$F$72:$M$72,0))</f>
        <v>4.2500000000000003E-2</v>
      </c>
      <c r="AF186" s="163">
        <f>INDEX(Annual!$F$72:$M$78,7,MATCH(Monthly!AF$9,Annual!$F$72:$M$72,0))</f>
        <v>4.2500000000000003E-2</v>
      </c>
      <c r="AG186" s="163">
        <f>INDEX(Annual!$F$72:$M$78,7,MATCH(Monthly!AG$9,Annual!$F$72:$M$72,0))</f>
        <v>4.2500000000000003E-2</v>
      </c>
      <c r="AH186" s="163">
        <f>INDEX(Annual!$F$72:$M$78,7,MATCH(Monthly!AH$9,Annual!$F$72:$M$72,0))</f>
        <v>4.2500000000000003E-2</v>
      </c>
      <c r="AI186" s="163">
        <f>INDEX(Annual!$F$72:$M$78,7,MATCH(Monthly!AI$9,Annual!$F$72:$M$72,0))</f>
        <v>4.2500000000000003E-2</v>
      </c>
      <c r="AJ186" s="163">
        <f>INDEX(Annual!$F$72:$M$78,7,MATCH(Monthly!AJ$9,Annual!$F$72:$M$72,0))</f>
        <v>4.2500000000000003E-2</v>
      </c>
      <c r="AK186" s="163">
        <f>INDEX(Annual!$F$72:$M$78,7,MATCH(Monthly!AK$9,Annual!$F$72:$M$72,0))</f>
        <v>4.2500000000000003E-2</v>
      </c>
      <c r="AL186" s="163">
        <f>INDEX(Annual!$F$72:$M$78,7,MATCH(Monthly!AL$9,Annual!$F$72:$M$72,0))</f>
        <v>4.2500000000000003E-2</v>
      </c>
      <c r="AM186" s="163">
        <f>INDEX(Annual!$F$72:$M$78,7,MATCH(Monthly!AM$9,Annual!$F$72:$M$72,0))</f>
        <v>4.2500000000000003E-2</v>
      </c>
      <c r="AN186" s="163">
        <f>INDEX(Annual!$F$72:$M$78,7,MATCH(Monthly!AN$9,Annual!$F$72:$M$72,0))</f>
        <v>4.2500000000000003E-2</v>
      </c>
      <c r="AO186" s="163">
        <f>INDEX(Annual!$F$72:$M$78,7,MATCH(Monthly!AO$9,Annual!$F$72:$M$72,0))</f>
        <v>4.2500000000000003E-2</v>
      </c>
      <c r="AP186" s="163">
        <f>INDEX(Annual!$F$72:$M$78,7,MATCH(Monthly!AP$9,Annual!$F$72:$M$72,0))</f>
        <v>4.3999999999999997E-2</v>
      </c>
      <c r="AQ186" s="163">
        <f>INDEX(Annual!$F$72:$M$78,7,MATCH(Monthly!AQ$9,Annual!$F$72:$M$72,0))</f>
        <v>4.3999999999999997E-2</v>
      </c>
      <c r="AR186" s="163">
        <f>INDEX(Annual!$F$72:$M$78,7,MATCH(Monthly!AR$9,Annual!$F$72:$M$72,0))</f>
        <v>4.3999999999999997E-2</v>
      </c>
      <c r="AS186" s="163">
        <f>INDEX(Annual!$F$72:$M$78,7,MATCH(Monthly!AS$9,Annual!$F$72:$M$72,0))</f>
        <v>4.3999999999999997E-2</v>
      </c>
      <c r="AT186" s="163">
        <f>INDEX(Annual!$F$72:$M$78,7,MATCH(Monthly!AT$9,Annual!$F$72:$M$72,0))</f>
        <v>4.3999999999999997E-2</v>
      </c>
      <c r="AU186" s="163">
        <f>INDEX(Annual!$F$72:$M$78,7,MATCH(Monthly!AU$9,Annual!$F$72:$M$72,0))</f>
        <v>4.3999999999999997E-2</v>
      </c>
      <c r="AV186" s="163">
        <f>INDEX(Annual!$F$72:$M$78,7,MATCH(Monthly!AV$9,Annual!$F$72:$M$72,0))</f>
        <v>4.3999999999999997E-2</v>
      </c>
      <c r="AW186" s="163">
        <f>INDEX(Annual!$F$72:$M$78,7,MATCH(Monthly!AW$9,Annual!$F$72:$M$72,0))</f>
        <v>4.3999999999999997E-2</v>
      </c>
      <c r="AX186" s="163">
        <f>INDEX(Annual!$F$72:$M$78,7,MATCH(Monthly!AX$9,Annual!$F$72:$M$72,0))</f>
        <v>4.3999999999999997E-2</v>
      </c>
      <c r="AY186" s="163">
        <f>INDEX(Annual!$F$72:$M$78,7,MATCH(Monthly!AY$9,Annual!$F$72:$M$72,0))</f>
        <v>4.3999999999999997E-2</v>
      </c>
      <c r="AZ186" s="163">
        <f>INDEX(Annual!$F$72:$M$78,7,MATCH(Monthly!AZ$9,Annual!$F$72:$M$72,0))</f>
        <v>4.3999999999999997E-2</v>
      </c>
      <c r="BA186" s="163">
        <f>INDEX(Annual!$F$72:$M$78,7,MATCH(Monthly!BA$9,Annual!$F$72:$M$72,0))</f>
        <v>4.3999999999999997E-2</v>
      </c>
      <c r="BB186" s="163">
        <f>INDEX(Annual!$F$72:$M$78,7,MATCH(Monthly!BB$9,Annual!$F$72:$M$72,0))</f>
        <v>4.5999999999999999E-2</v>
      </c>
      <c r="BC186" s="163">
        <f>INDEX(Annual!$F$72:$M$78,7,MATCH(Monthly!BC$9,Annual!$F$72:$M$72,0))</f>
        <v>4.5999999999999999E-2</v>
      </c>
      <c r="BD186" s="163">
        <f>INDEX(Annual!$F$72:$M$78,7,MATCH(Monthly!BD$9,Annual!$F$72:$M$72,0))</f>
        <v>4.5999999999999999E-2</v>
      </c>
      <c r="BE186" s="163">
        <f>INDEX(Annual!$F$72:$M$78,7,MATCH(Monthly!BE$9,Annual!$F$72:$M$72,0))</f>
        <v>4.5999999999999999E-2</v>
      </c>
      <c r="BF186" s="163">
        <f>INDEX(Annual!$F$72:$M$78,7,MATCH(Monthly!BF$9,Annual!$F$72:$M$72,0))</f>
        <v>4.5999999999999999E-2</v>
      </c>
      <c r="BG186" s="163">
        <f>INDEX(Annual!$F$72:$M$78,7,MATCH(Monthly!BG$9,Annual!$F$72:$M$72,0))</f>
        <v>4.5999999999999999E-2</v>
      </c>
      <c r="BH186" s="163">
        <f>INDEX(Annual!$F$72:$M$78,7,MATCH(Monthly!BH$9,Annual!$F$72:$M$72,0))</f>
        <v>4.5999999999999999E-2</v>
      </c>
      <c r="BI186" s="163">
        <f>INDEX(Annual!$F$72:$M$78,7,MATCH(Monthly!BI$9,Annual!$F$72:$M$72,0))</f>
        <v>4.5999999999999999E-2</v>
      </c>
      <c r="BJ186" s="163">
        <f>INDEX(Annual!$F$72:$M$78,7,MATCH(Monthly!BJ$9,Annual!$F$72:$M$72,0))</f>
        <v>4.5999999999999999E-2</v>
      </c>
      <c r="BK186" s="163">
        <f>INDEX(Annual!$F$72:$M$78,7,MATCH(Monthly!BK$9,Annual!$F$72:$M$72,0))</f>
        <v>4.5999999999999999E-2</v>
      </c>
      <c r="BL186" s="163">
        <f>INDEX(Annual!$F$72:$M$78,7,MATCH(Monthly!BL$9,Annual!$F$72:$M$72,0))</f>
        <v>4.5999999999999999E-2</v>
      </c>
      <c r="BM186" s="163">
        <f>INDEX(Annual!$F$72:$M$78,7,MATCH(Monthly!BM$9,Annual!$F$72:$M$72,0))</f>
        <v>4.5999999999999999E-2</v>
      </c>
      <c r="BN186" s="163">
        <f>INDEX(Annual!$F$72:$M$78,7,MATCH(Monthly!BN$9,Annual!$F$72:$M$72,0))</f>
        <v>4.7E-2</v>
      </c>
      <c r="BO186" s="163">
        <f>INDEX(Annual!$F$72:$M$78,7,MATCH(Monthly!BO$9,Annual!$F$72:$M$72,0))</f>
        <v>4.7E-2</v>
      </c>
      <c r="BP186" s="163">
        <f>INDEX(Annual!$F$72:$M$78,7,MATCH(Monthly!BP$9,Annual!$F$72:$M$72,0))</f>
        <v>4.7E-2</v>
      </c>
      <c r="BQ186" s="163">
        <f>INDEX(Annual!$F$72:$M$78,7,MATCH(Monthly!BQ$9,Annual!$F$72:$M$72,0))</f>
        <v>4.7E-2</v>
      </c>
      <c r="BR186" s="163">
        <f>INDEX(Annual!$F$72:$M$78,7,MATCH(Monthly!BR$9,Annual!$F$72:$M$72,0))</f>
        <v>4.7E-2</v>
      </c>
      <c r="BS186" s="163">
        <f>INDEX(Annual!$F$72:$M$78,7,MATCH(Monthly!BS$9,Annual!$F$72:$M$72,0))</f>
        <v>4.7E-2</v>
      </c>
      <c r="BT186" s="163">
        <f>INDEX(Annual!$F$72:$M$78,7,MATCH(Monthly!BT$9,Annual!$F$72:$M$72,0))</f>
        <v>4.7E-2</v>
      </c>
      <c r="BU186" s="163">
        <f>INDEX(Annual!$F$72:$M$78,7,MATCH(Monthly!BU$9,Annual!$F$72:$M$72,0))</f>
        <v>4.7E-2</v>
      </c>
      <c r="BV186" s="163">
        <f>INDEX(Annual!$F$72:$M$78,7,MATCH(Monthly!BV$9,Annual!$F$72:$M$72,0))</f>
        <v>4.7E-2</v>
      </c>
      <c r="BW186" s="163">
        <f>INDEX(Annual!$F$72:$M$78,7,MATCH(Monthly!BW$9,Annual!$F$72:$M$72,0))</f>
        <v>4.7E-2</v>
      </c>
      <c r="BX186" s="163">
        <f>INDEX(Annual!$F$72:$M$78,7,MATCH(Monthly!BX$9,Annual!$F$72:$M$72,0))</f>
        <v>4.7E-2</v>
      </c>
      <c r="BY186" s="163">
        <f>INDEX(Annual!$F$72:$M$78,7,MATCH(Monthly!BY$9,Annual!$F$72:$M$72,0))</f>
        <v>4.7E-2</v>
      </c>
      <c r="BZ186" s="163">
        <f>INDEX(Annual!$F$72:$M$78,7,MATCH(Monthly!BZ$9,Annual!$F$72:$M$72,0))</f>
        <v>4.8000000000000001E-2</v>
      </c>
      <c r="CA186" s="163">
        <f>INDEX(Annual!$F$72:$M$78,7,MATCH(Monthly!CA$9,Annual!$F$72:$M$72,0))</f>
        <v>4.8000000000000001E-2</v>
      </c>
      <c r="CB186" s="163">
        <f>INDEX(Annual!$F$72:$M$78,7,MATCH(Monthly!CB$9,Annual!$F$72:$M$72,0))</f>
        <v>4.8000000000000001E-2</v>
      </c>
      <c r="CC186" s="163">
        <f>INDEX(Annual!$F$72:$M$78,7,MATCH(Monthly!CC$9,Annual!$F$72:$M$72,0))</f>
        <v>4.8000000000000001E-2</v>
      </c>
      <c r="CD186" s="163">
        <f>INDEX(Annual!$F$72:$M$78,7,MATCH(Monthly!CD$9,Annual!$F$72:$M$72,0))</f>
        <v>4.8000000000000001E-2</v>
      </c>
      <c r="CE186" s="163">
        <f>INDEX(Annual!$F$72:$M$78,7,MATCH(Monthly!CE$9,Annual!$F$72:$M$72,0))</f>
        <v>4.8000000000000001E-2</v>
      </c>
      <c r="CF186" s="163">
        <f>INDEX(Annual!$F$72:$M$78,7,MATCH(Monthly!CF$9,Annual!$F$72:$M$72,0))</f>
        <v>4.8000000000000001E-2</v>
      </c>
      <c r="CG186" s="163">
        <f>INDEX(Annual!$F$72:$M$78,7,MATCH(Monthly!CG$9,Annual!$F$72:$M$72,0))</f>
        <v>4.8000000000000001E-2</v>
      </c>
      <c r="CH186" s="163">
        <f>INDEX(Annual!$F$72:$M$78,7,MATCH(Monthly!CH$9,Annual!$F$72:$M$72,0))</f>
        <v>4.8000000000000001E-2</v>
      </c>
      <c r="CI186" s="163">
        <f>INDEX(Annual!$F$72:$M$78,7,MATCH(Monthly!CI$9,Annual!$F$72:$M$72,0))</f>
        <v>4.8000000000000001E-2</v>
      </c>
      <c r="CJ186" s="163">
        <f>INDEX(Annual!$F$72:$M$78,7,MATCH(Monthly!CJ$9,Annual!$F$72:$M$72,0))</f>
        <v>4.8000000000000001E-2</v>
      </c>
      <c r="CK186" s="163">
        <f>INDEX(Annual!$F$72:$M$78,7,MATCH(Monthly!CK$9,Annual!$F$72:$M$72,0))</f>
        <v>4.8000000000000001E-2</v>
      </c>
      <c r="CL186" s="163">
        <f>INDEX(Annual!$F$72:$M$78,7,MATCH(Monthly!CL$9,Annual!$F$72:$M$72,0))</f>
        <v>4.9000000000000002E-2</v>
      </c>
      <c r="CM186" s="163">
        <f>INDEX(Annual!$F$72:$M$78,7,MATCH(Monthly!CM$9,Annual!$F$72:$M$72,0))</f>
        <v>4.9000000000000002E-2</v>
      </c>
      <c r="CN186" s="163">
        <f>INDEX(Annual!$F$72:$M$78,7,MATCH(Monthly!CN$9,Annual!$F$72:$M$72,0))</f>
        <v>4.9000000000000002E-2</v>
      </c>
      <c r="CO186" s="163">
        <f>INDEX(Annual!$F$72:$M$78,7,MATCH(Monthly!CO$9,Annual!$F$72:$M$72,0))</f>
        <v>4.9000000000000002E-2</v>
      </c>
      <c r="CP186" s="163">
        <f>INDEX(Annual!$F$72:$M$78,7,MATCH(Monthly!CP$9,Annual!$F$72:$M$72,0))</f>
        <v>4.9000000000000002E-2</v>
      </c>
      <c r="CQ186" s="163">
        <f>INDEX(Annual!$F$72:$M$78,7,MATCH(Monthly!CQ$9,Annual!$F$72:$M$72,0))</f>
        <v>4.9000000000000002E-2</v>
      </c>
      <c r="CR186" s="163">
        <f>INDEX(Annual!$F$72:$M$78,7,MATCH(Monthly!CR$9,Annual!$F$72:$M$72,0))</f>
        <v>4.9000000000000002E-2</v>
      </c>
      <c r="CS186" s="163">
        <f>INDEX(Annual!$F$72:$M$78,7,MATCH(Monthly!CS$9,Annual!$F$72:$M$72,0))</f>
        <v>4.9000000000000002E-2</v>
      </c>
      <c r="CT186" s="163">
        <f>INDEX(Annual!$F$72:$M$78,7,MATCH(Monthly!CT$9,Annual!$F$72:$M$72,0))</f>
        <v>4.9000000000000002E-2</v>
      </c>
      <c r="CU186" s="163">
        <f>INDEX(Annual!$F$72:$M$78,7,MATCH(Monthly!CU$9,Annual!$F$72:$M$72,0))</f>
        <v>4.9000000000000002E-2</v>
      </c>
      <c r="CV186" s="163">
        <f>INDEX(Annual!$F$72:$M$78,7,MATCH(Monthly!CV$9,Annual!$F$72:$M$72,0))</f>
        <v>4.9000000000000002E-2</v>
      </c>
      <c r="CW186" s="163">
        <f>INDEX(Annual!$F$72:$M$78,7,MATCH(Monthly!CW$9,Annual!$F$72:$M$72,0))</f>
        <v>4.9000000000000002E-2</v>
      </c>
    </row>
    <row r="187" spans="2:113" outlineLevel="1" x14ac:dyDescent="0.25">
      <c r="C187" s="5" t="s">
        <v>28</v>
      </c>
      <c r="D187" s="47" t="s">
        <v>107</v>
      </c>
      <c r="F187" s="27">
        <f>+F185/F186</f>
        <v>0</v>
      </c>
      <c r="G187" s="27">
        <f t="shared" ref="G187:BR187" si="2069">+G185/G186</f>
        <v>0</v>
      </c>
      <c r="H187" s="27">
        <f t="shared" si="2069"/>
        <v>0</v>
      </c>
      <c r="I187" s="27">
        <f t="shared" si="2069"/>
        <v>0</v>
      </c>
      <c r="J187" s="27">
        <f t="shared" si="2069"/>
        <v>0</v>
      </c>
      <c r="K187" s="27">
        <f t="shared" si="2069"/>
        <v>0</v>
      </c>
      <c r="L187" s="27">
        <f t="shared" si="2069"/>
        <v>0</v>
      </c>
      <c r="M187" s="27">
        <f t="shared" si="2069"/>
        <v>0</v>
      </c>
      <c r="N187" s="27">
        <f t="shared" si="2069"/>
        <v>0</v>
      </c>
      <c r="O187" s="27">
        <f t="shared" si="2069"/>
        <v>0</v>
      </c>
      <c r="P187" s="27">
        <f t="shared" si="2069"/>
        <v>0</v>
      </c>
      <c r="Q187" s="27">
        <f t="shared" si="2069"/>
        <v>0</v>
      </c>
      <c r="R187" s="27">
        <f t="shared" si="2069"/>
        <v>0</v>
      </c>
      <c r="S187" s="27">
        <f t="shared" si="2069"/>
        <v>0</v>
      </c>
      <c r="T187" s="27">
        <f t="shared" si="2069"/>
        <v>0</v>
      </c>
      <c r="U187" s="27">
        <f t="shared" si="2069"/>
        <v>0</v>
      </c>
      <c r="V187" s="27">
        <f t="shared" si="2069"/>
        <v>0</v>
      </c>
      <c r="W187" s="27">
        <f t="shared" si="2069"/>
        <v>0</v>
      </c>
      <c r="X187" s="27">
        <f t="shared" si="2069"/>
        <v>0</v>
      </c>
      <c r="Y187" s="27">
        <f t="shared" si="2069"/>
        <v>0</v>
      </c>
      <c r="Z187" s="27">
        <f t="shared" si="2069"/>
        <v>0</v>
      </c>
      <c r="AA187" s="27">
        <f t="shared" si="2069"/>
        <v>0</v>
      </c>
      <c r="AB187" s="27">
        <f t="shared" si="2069"/>
        <v>0</v>
      </c>
      <c r="AC187" s="27">
        <f t="shared" si="2069"/>
        <v>0</v>
      </c>
      <c r="AD187" s="27">
        <f t="shared" si="2069"/>
        <v>0</v>
      </c>
      <c r="AE187" s="27">
        <f t="shared" si="2069"/>
        <v>0</v>
      </c>
      <c r="AF187" s="27">
        <f t="shared" si="2069"/>
        <v>0</v>
      </c>
      <c r="AG187" s="27">
        <f t="shared" si="2069"/>
        <v>0</v>
      </c>
      <c r="AH187" s="27">
        <f t="shared" si="2069"/>
        <v>0</v>
      </c>
      <c r="AI187" s="27">
        <f t="shared" si="2069"/>
        <v>0</v>
      </c>
      <c r="AJ187" s="27">
        <f t="shared" si="2069"/>
        <v>0</v>
      </c>
      <c r="AK187" s="27">
        <f t="shared" si="2069"/>
        <v>0</v>
      </c>
      <c r="AL187" s="27">
        <f t="shared" si="2069"/>
        <v>0</v>
      </c>
      <c r="AM187" s="27">
        <f t="shared" si="2069"/>
        <v>0</v>
      </c>
      <c r="AN187" s="27">
        <f t="shared" si="2069"/>
        <v>0</v>
      </c>
      <c r="AO187" s="27">
        <f t="shared" si="2069"/>
        <v>0</v>
      </c>
      <c r="AP187" s="27">
        <f t="shared" si="2069"/>
        <v>-21148325.708555698</v>
      </c>
      <c r="AQ187" s="27">
        <f t="shared" si="2069"/>
        <v>-42335901.388603427</v>
      </c>
      <c r="AR187" s="27">
        <f t="shared" si="2069"/>
        <v>-63562799.88563852</v>
      </c>
      <c r="AS187" s="27">
        <f t="shared" si="2069"/>
        <v>-84829094.180353031</v>
      </c>
      <c r="AT187" s="27">
        <f t="shared" si="2069"/>
        <v>-106134857.38888663</v>
      </c>
      <c r="AU187" s="27">
        <f t="shared" si="2069"/>
        <v>-127480162.76307791</v>
      </c>
      <c r="AV187" s="27">
        <f t="shared" si="2069"/>
        <v>-87680203.175797775</v>
      </c>
      <c r="AW187" s="27">
        <f t="shared" si="2069"/>
        <v>-47919932.665957436</v>
      </c>
      <c r="AX187" s="27">
        <f t="shared" si="2069"/>
        <v>-8199424.8940054625</v>
      </c>
      <c r="AY187" s="27">
        <f t="shared" si="2069"/>
        <v>77304069.339726076</v>
      </c>
      <c r="AZ187" s="27">
        <f t="shared" si="2069"/>
        <v>162767653.10429081</v>
      </c>
      <c r="BA187" s="27">
        <f t="shared" si="2069"/>
        <v>248191252.32835093</v>
      </c>
      <c r="BB187" s="27">
        <f t="shared" si="2069"/>
        <v>341599156.48350346</v>
      </c>
      <c r="BC187" s="27">
        <f t="shared" si="2069"/>
        <v>445792913.81638497</v>
      </c>
      <c r="BD187" s="27">
        <f t="shared" si="2069"/>
        <v>549981582.21256423</v>
      </c>
      <c r="BE187" s="27">
        <f t="shared" si="2069"/>
        <v>654165143.52039528</v>
      </c>
      <c r="BF187" s="27">
        <f t="shared" si="2069"/>
        <v>758343579.53660941</v>
      </c>
      <c r="BG187" s="27">
        <f t="shared" si="2069"/>
        <v>862516872.00618148</v>
      </c>
      <c r="BH187" s="27">
        <f t="shared" si="2069"/>
        <v>908160334.30358028</v>
      </c>
      <c r="BI187" s="27">
        <f t="shared" si="2069"/>
        <v>953798616.38848734</v>
      </c>
      <c r="BJ187" s="27">
        <f t="shared" si="2069"/>
        <v>999431699.84981048</v>
      </c>
      <c r="BK187" s="27">
        <f t="shared" si="2069"/>
        <v>1001229039.8793778</v>
      </c>
      <c r="BL187" s="27">
        <f t="shared" si="2069"/>
        <v>1003021144.3061724</v>
      </c>
      <c r="BM187" s="27">
        <f t="shared" si="2069"/>
        <v>1004807994.5618284</v>
      </c>
      <c r="BN187" s="27">
        <f t="shared" si="2069"/>
        <v>985227607.5001502</v>
      </c>
      <c r="BO187" s="27">
        <f t="shared" si="2069"/>
        <v>1047556065.1427708</v>
      </c>
      <c r="BP187" s="27">
        <f t="shared" si="2069"/>
        <v>1109883477.9476063</v>
      </c>
      <c r="BQ187" s="27">
        <f t="shared" si="2069"/>
        <v>1172209843.7624624</v>
      </c>
      <c r="BR187" s="27">
        <f t="shared" si="2069"/>
        <v>1234535160.4307108</v>
      </c>
      <c r="BS187" s="27">
        <f t="shared" ref="BS187:CW187" si="2070">+BS185/BS186</f>
        <v>1296859425.791281</v>
      </c>
      <c r="BT187" s="27">
        <f t="shared" si="2070"/>
        <v>1359182637.6786518</v>
      </c>
      <c r="BU187" s="27">
        <f t="shared" si="2070"/>
        <v>1421504793.9228404</v>
      </c>
      <c r="BV187" s="27">
        <f t="shared" si="2070"/>
        <v>1483825892.3493953</v>
      </c>
      <c r="BW187" s="27">
        <f t="shared" si="2070"/>
        <v>1546145930.7793851</v>
      </c>
      <c r="BX187" s="27">
        <f t="shared" si="2070"/>
        <v>1609826854.3919826</v>
      </c>
      <c r="BY187" s="27">
        <f t="shared" si="2070"/>
        <v>1673506713.6366789</v>
      </c>
      <c r="BZ187" s="27">
        <f t="shared" si="2070"/>
        <v>1630286562.4189317</v>
      </c>
      <c r="CA187" s="27">
        <f t="shared" si="2070"/>
        <v>1562637908.963558</v>
      </c>
      <c r="CB187" s="27">
        <f t="shared" si="2070"/>
        <v>1494965913.6083629</v>
      </c>
      <c r="CC187" s="27">
        <f t="shared" si="2070"/>
        <v>1427270528.2728539</v>
      </c>
      <c r="CD187" s="27">
        <f t="shared" si="2070"/>
        <v>1359551704.7775016</v>
      </c>
      <c r="CE187" s="27">
        <f t="shared" si="2070"/>
        <v>1291809394.8435345</v>
      </c>
      <c r="CF187" s="27">
        <f t="shared" si="2070"/>
        <v>1224043550.0927341</v>
      </c>
      <c r="CG187" s="27">
        <f t="shared" si="2070"/>
        <v>1156254122.0472314</v>
      </c>
      <c r="CH187" s="27">
        <f t="shared" si="2070"/>
        <v>1119370229.1330304</v>
      </c>
      <c r="CI187" s="27">
        <f t="shared" si="2070"/>
        <v>1093465120.3248916</v>
      </c>
      <c r="CJ187" s="27">
        <f t="shared" si="2070"/>
        <v>1067588950.8670694</v>
      </c>
      <c r="CK187" s="27">
        <f t="shared" si="2070"/>
        <v>1041711713.160838</v>
      </c>
      <c r="CL187" s="27">
        <f t="shared" si="2070"/>
        <v>1011255464.4515021</v>
      </c>
      <c r="CM187" s="27">
        <f t="shared" si="2070"/>
        <v>1002063580.8811817</v>
      </c>
      <c r="CN187" s="27">
        <f t="shared" si="2070"/>
        <v>992876649.91288674</v>
      </c>
      <c r="CO187" s="27">
        <f t="shared" si="2070"/>
        <v>983694681.74816692</v>
      </c>
      <c r="CP187" s="27">
        <f t="shared" si="2070"/>
        <v>974517686.60958505</v>
      </c>
      <c r="CQ187" s="27">
        <f t="shared" si="2070"/>
        <v>965345674.74076056</v>
      </c>
      <c r="CR187" s="27">
        <f t="shared" si="2070"/>
        <v>956178656.40641367</v>
      </c>
      <c r="CS187" s="27">
        <f t="shared" si="2070"/>
        <v>977993780.53093016</v>
      </c>
      <c r="CT187" s="27">
        <f t="shared" si="2070"/>
        <v>992887553.11721683</v>
      </c>
      <c r="CU187" s="27">
        <f t="shared" si="2070"/>
        <v>1005596849.3707949</v>
      </c>
      <c r="CV187" s="27">
        <f t="shared" si="2070"/>
        <v>1018335129.6118677</v>
      </c>
      <c r="CW187" s="27">
        <f t="shared" si="2070"/>
        <v>1031072337.2443333</v>
      </c>
    </row>
    <row r="188" spans="2:113" outlineLevel="1" x14ac:dyDescent="0.25"/>
    <row r="189" spans="2:113" outlineLevel="1" x14ac:dyDescent="0.25">
      <c r="C189" s="20" t="s">
        <v>25</v>
      </c>
      <c r="D189" s="47" t="s">
        <v>107</v>
      </c>
      <c r="F189" s="153">
        <f>-F23</f>
        <v>-77970000</v>
      </c>
      <c r="G189" s="153">
        <f t="shared" ref="G189:BR189" si="2071">-G23</f>
        <v>-2520000</v>
      </c>
      <c r="H189" s="153">
        <f t="shared" si="2071"/>
        <v>-4320000</v>
      </c>
      <c r="I189" s="153">
        <f t="shared" si="2071"/>
        <v>-4770000</v>
      </c>
      <c r="J189" s="153">
        <f t="shared" si="2071"/>
        <v>-2970000</v>
      </c>
      <c r="K189" s="153">
        <f t="shared" si="2071"/>
        <v>-77790000</v>
      </c>
      <c r="L189" s="153">
        <f t="shared" si="2071"/>
        <v>-7560000</v>
      </c>
      <c r="M189" s="153">
        <f t="shared" si="2071"/>
        <v>-5580000</v>
      </c>
      <c r="N189" s="153">
        <f t="shared" si="2071"/>
        <v>-6570000</v>
      </c>
      <c r="O189" s="153">
        <f t="shared" si="2071"/>
        <v>-9270000</v>
      </c>
      <c r="P189" s="153">
        <f t="shared" si="2071"/>
        <v>-13320000</v>
      </c>
      <c r="Q189" s="153">
        <f t="shared" si="2071"/>
        <v>-15750000</v>
      </c>
      <c r="R189" s="153">
        <f t="shared" si="2071"/>
        <v>-24750000</v>
      </c>
      <c r="S189" s="153">
        <f t="shared" si="2071"/>
        <v>-27900000.000000004</v>
      </c>
      <c r="T189" s="153">
        <f t="shared" si="2071"/>
        <v>-28440000</v>
      </c>
      <c r="U189" s="153">
        <f t="shared" si="2071"/>
        <v>-41940000</v>
      </c>
      <c r="V189" s="153">
        <f t="shared" si="2071"/>
        <v>-41940000</v>
      </c>
      <c r="W189" s="153">
        <f t="shared" si="2071"/>
        <v>-21877056</v>
      </c>
      <c r="X189" s="153">
        <f t="shared" si="2071"/>
        <v>0</v>
      </c>
      <c r="Y189" s="153">
        <f t="shared" si="2071"/>
        <v>0</v>
      </c>
      <c r="Z189" s="153">
        <f t="shared" si="2071"/>
        <v>0</v>
      </c>
      <c r="AA189" s="153">
        <f t="shared" si="2071"/>
        <v>0</v>
      </c>
      <c r="AB189" s="153">
        <f t="shared" si="2071"/>
        <v>0</v>
      </c>
      <c r="AC189" s="153">
        <f t="shared" si="2071"/>
        <v>0</v>
      </c>
      <c r="AD189" s="153">
        <f t="shared" si="2071"/>
        <v>0</v>
      </c>
      <c r="AE189" s="153">
        <f t="shared" si="2071"/>
        <v>0</v>
      </c>
      <c r="AF189" s="153">
        <f t="shared" si="2071"/>
        <v>0</v>
      </c>
      <c r="AG189" s="153">
        <f t="shared" si="2071"/>
        <v>0</v>
      </c>
      <c r="AH189" s="153">
        <f t="shared" si="2071"/>
        <v>0</v>
      </c>
      <c r="AI189" s="153">
        <f t="shared" si="2071"/>
        <v>0</v>
      </c>
      <c r="AJ189" s="153">
        <f t="shared" si="2071"/>
        <v>0</v>
      </c>
      <c r="AK189" s="153">
        <f t="shared" si="2071"/>
        <v>0</v>
      </c>
      <c r="AL189" s="153">
        <f t="shared" si="2071"/>
        <v>0</v>
      </c>
      <c r="AM189" s="153">
        <f t="shared" si="2071"/>
        <v>0</v>
      </c>
      <c r="AN189" s="153">
        <f t="shared" si="2071"/>
        <v>0</v>
      </c>
      <c r="AO189" s="153">
        <f t="shared" si="2071"/>
        <v>0</v>
      </c>
      <c r="AP189" s="153">
        <f t="shared" si="2071"/>
        <v>0</v>
      </c>
      <c r="AQ189" s="153">
        <f t="shared" si="2071"/>
        <v>0</v>
      </c>
      <c r="AR189" s="153">
        <f t="shared" si="2071"/>
        <v>0</v>
      </c>
      <c r="AS189" s="153">
        <f t="shared" si="2071"/>
        <v>0</v>
      </c>
      <c r="AT189" s="153">
        <f t="shared" si="2071"/>
        <v>0</v>
      </c>
      <c r="AU189" s="153">
        <f t="shared" si="2071"/>
        <v>0</v>
      </c>
      <c r="AV189" s="153">
        <f t="shared" si="2071"/>
        <v>0</v>
      </c>
      <c r="AW189" s="153">
        <f t="shared" si="2071"/>
        <v>0</v>
      </c>
      <c r="AX189" s="153">
        <f t="shared" si="2071"/>
        <v>0</v>
      </c>
      <c r="AY189" s="153">
        <f t="shared" si="2071"/>
        <v>0</v>
      </c>
      <c r="AZ189" s="153">
        <f t="shared" si="2071"/>
        <v>0</v>
      </c>
      <c r="BA189" s="153">
        <f t="shared" si="2071"/>
        <v>0</v>
      </c>
      <c r="BB189" s="153">
        <f t="shared" si="2071"/>
        <v>0</v>
      </c>
      <c r="BC189" s="153">
        <f t="shared" si="2071"/>
        <v>0</v>
      </c>
      <c r="BD189" s="153">
        <f t="shared" si="2071"/>
        <v>0</v>
      </c>
      <c r="BE189" s="153">
        <f t="shared" si="2071"/>
        <v>0</v>
      </c>
      <c r="BF189" s="153">
        <f t="shared" si="2071"/>
        <v>0</v>
      </c>
      <c r="BG189" s="153">
        <f t="shared" si="2071"/>
        <v>0</v>
      </c>
      <c r="BH189" s="153">
        <f t="shared" si="2071"/>
        <v>0</v>
      </c>
      <c r="BI189" s="153">
        <f t="shared" si="2071"/>
        <v>0</v>
      </c>
      <c r="BJ189" s="153">
        <f t="shared" si="2071"/>
        <v>0</v>
      </c>
      <c r="BK189" s="153">
        <f t="shared" si="2071"/>
        <v>0</v>
      </c>
      <c r="BL189" s="153">
        <f t="shared" si="2071"/>
        <v>0</v>
      </c>
      <c r="BM189" s="153">
        <f t="shared" si="2071"/>
        <v>0</v>
      </c>
      <c r="BN189" s="153">
        <f t="shared" si="2071"/>
        <v>0</v>
      </c>
      <c r="BO189" s="153">
        <f t="shared" si="2071"/>
        <v>0</v>
      </c>
      <c r="BP189" s="153">
        <f t="shared" si="2071"/>
        <v>0</v>
      </c>
      <c r="BQ189" s="153">
        <f t="shared" si="2071"/>
        <v>0</v>
      </c>
      <c r="BR189" s="153">
        <f t="shared" si="2071"/>
        <v>0</v>
      </c>
      <c r="BS189" s="153">
        <f t="shared" ref="BS189:CW189" si="2072">-BS23</f>
        <v>0</v>
      </c>
      <c r="BT189" s="153">
        <f t="shared" si="2072"/>
        <v>0</v>
      </c>
      <c r="BU189" s="153">
        <f t="shared" si="2072"/>
        <v>0</v>
      </c>
      <c r="BV189" s="153">
        <f t="shared" si="2072"/>
        <v>0</v>
      </c>
      <c r="BW189" s="153">
        <f t="shared" si="2072"/>
        <v>0</v>
      </c>
      <c r="BX189" s="153">
        <f t="shared" si="2072"/>
        <v>0</v>
      </c>
      <c r="BY189" s="153">
        <f t="shared" si="2072"/>
        <v>0</v>
      </c>
      <c r="BZ189" s="153">
        <f t="shared" si="2072"/>
        <v>0</v>
      </c>
      <c r="CA189" s="153">
        <f t="shared" si="2072"/>
        <v>0</v>
      </c>
      <c r="CB189" s="153">
        <f t="shared" si="2072"/>
        <v>0</v>
      </c>
      <c r="CC189" s="153">
        <f t="shared" si="2072"/>
        <v>0</v>
      </c>
      <c r="CD189" s="153">
        <f t="shared" si="2072"/>
        <v>0</v>
      </c>
      <c r="CE189" s="153">
        <f t="shared" si="2072"/>
        <v>0</v>
      </c>
      <c r="CF189" s="153">
        <f t="shared" si="2072"/>
        <v>0</v>
      </c>
      <c r="CG189" s="153">
        <f t="shared" si="2072"/>
        <v>0</v>
      </c>
      <c r="CH189" s="153">
        <f t="shared" si="2072"/>
        <v>0</v>
      </c>
      <c r="CI189" s="153">
        <f t="shared" si="2072"/>
        <v>0</v>
      </c>
      <c r="CJ189" s="153">
        <f t="shared" si="2072"/>
        <v>0</v>
      </c>
      <c r="CK189" s="153">
        <f t="shared" si="2072"/>
        <v>0</v>
      </c>
      <c r="CL189" s="153">
        <f t="shared" si="2072"/>
        <v>0</v>
      </c>
      <c r="CM189" s="153">
        <f t="shared" si="2072"/>
        <v>0</v>
      </c>
      <c r="CN189" s="153">
        <f t="shared" si="2072"/>
        <v>0</v>
      </c>
      <c r="CO189" s="153">
        <f t="shared" si="2072"/>
        <v>0</v>
      </c>
      <c r="CP189" s="153">
        <f t="shared" si="2072"/>
        <v>0</v>
      </c>
      <c r="CQ189" s="153">
        <f t="shared" si="2072"/>
        <v>0</v>
      </c>
      <c r="CR189" s="153">
        <f t="shared" si="2072"/>
        <v>0</v>
      </c>
      <c r="CS189" s="153">
        <f t="shared" si="2072"/>
        <v>0</v>
      </c>
      <c r="CT189" s="153">
        <f t="shared" si="2072"/>
        <v>0</v>
      </c>
      <c r="CU189" s="153">
        <f t="shared" si="2072"/>
        <v>0</v>
      </c>
      <c r="CV189" s="153">
        <f t="shared" si="2072"/>
        <v>0</v>
      </c>
      <c r="CW189" s="153">
        <f t="shared" si="2072"/>
        <v>0</v>
      </c>
    </row>
    <row r="190" spans="2:113" outlineLevel="1" x14ac:dyDescent="0.25">
      <c r="C190" s="20" t="s">
        <v>138</v>
      </c>
      <c r="D190" s="47" t="s">
        <v>107</v>
      </c>
      <c r="F190" s="6">
        <f t="shared" ref="F190:BQ190" si="2073">IF(F$183=Refi_Date,Senior_Loan_Balance,0)</f>
        <v>0</v>
      </c>
      <c r="G190" s="6">
        <f t="shared" si="2073"/>
        <v>0</v>
      </c>
      <c r="H190" s="6">
        <f t="shared" si="2073"/>
        <v>0</v>
      </c>
      <c r="I190" s="6">
        <f t="shared" si="2073"/>
        <v>0</v>
      </c>
      <c r="J190" s="6">
        <f t="shared" si="2073"/>
        <v>0</v>
      </c>
      <c r="K190" s="6">
        <f t="shared" si="2073"/>
        <v>0</v>
      </c>
      <c r="L190" s="6">
        <f t="shared" si="2073"/>
        <v>0</v>
      </c>
      <c r="M190" s="6">
        <f t="shared" si="2073"/>
        <v>0</v>
      </c>
      <c r="N190" s="6">
        <f t="shared" si="2073"/>
        <v>0</v>
      </c>
      <c r="O190" s="6">
        <f t="shared" si="2073"/>
        <v>0</v>
      </c>
      <c r="P190" s="6">
        <f t="shared" si="2073"/>
        <v>0</v>
      </c>
      <c r="Q190" s="6">
        <f t="shared" si="2073"/>
        <v>0</v>
      </c>
      <c r="R190" s="6">
        <f t="shared" si="2073"/>
        <v>0</v>
      </c>
      <c r="S190" s="6">
        <f t="shared" si="2073"/>
        <v>0</v>
      </c>
      <c r="T190" s="6">
        <f t="shared" si="2073"/>
        <v>0</v>
      </c>
      <c r="U190" s="6">
        <f t="shared" si="2073"/>
        <v>0</v>
      </c>
      <c r="V190" s="6">
        <f t="shared" si="2073"/>
        <v>0</v>
      </c>
      <c r="W190" s="6">
        <f t="shared" si="2073"/>
        <v>0</v>
      </c>
      <c r="X190" s="6">
        <f t="shared" si="2073"/>
        <v>0</v>
      </c>
      <c r="Y190" s="6">
        <f t="shared" si="2073"/>
        <v>0</v>
      </c>
      <c r="Z190" s="6">
        <f t="shared" si="2073"/>
        <v>0</v>
      </c>
      <c r="AA190" s="6">
        <f t="shared" si="2073"/>
        <v>0</v>
      </c>
      <c r="AB190" s="6">
        <f t="shared" si="2073"/>
        <v>0</v>
      </c>
      <c r="AC190" s="6">
        <f t="shared" si="2073"/>
        <v>0</v>
      </c>
      <c r="AD190" s="6">
        <f t="shared" si="2073"/>
        <v>0</v>
      </c>
      <c r="AE190" s="6">
        <f t="shared" si="2073"/>
        <v>0</v>
      </c>
      <c r="AF190" s="6">
        <f t="shared" si="2073"/>
        <v>0</v>
      </c>
      <c r="AG190" s="6">
        <f t="shared" si="2073"/>
        <v>0</v>
      </c>
      <c r="AH190" s="6">
        <f t="shared" si="2073"/>
        <v>0</v>
      </c>
      <c r="AI190" s="6">
        <f t="shared" si="2073"/>
        <v>0</v>
      </c>
      <c r="AJ190" s="6">
        <f t="shared" si="2073"/>
        <v>0</v>
      </c>
      <c r="AK190" s="6">
        <f t="shared" si="2073"/>
        <v>0</v>
      </c>
      <c r="AL190" s="6">
        <f t="shared" si="2073"/>
        <v>0</v>
      </c>
      <c r="AM190" s="6">
        <f t="shared" si="2073"/>
        <v>0</v>
      </c>
      <c r="AN190" s="6">
        <f t="shared" si="2073"/>
        <v>0</v>
      </c>
      <c r="AO190" s="6">
        <f t="shared" si="2073"/>
        <v>0</v>
      </c>
      <c r="AP190" s="6">
        <f t="shared" si="2073"/>
        <v>0</v>
      </c>
      <c r="AQ190" s="6">
        <f t="shared" si="2073"/>
        <v>0</v>
      </c>
      <c r="AR190" s="6">
        <f t="shared" si="2073"/>
        <v>0</v>
      </c>
      <c r="AS190" s="6">
        <f t="shared" si="2073"/>
        <v>0</v>
      </c>
      <c r="AT190" s="6">
        <f t="shared" si="2073"/>
        <v>0</v>
      </c>
      <c r="AU190" s="6">
        <f t="shared" si="2073"/>
        <v>0</v>
      </c>
      <c r="AV190" s="6">
        <f t="shared" si="2073"/>
        <v>0</v>
      </c>
      <c r="AW190" s="6">
        <f t="shared" si="2073"/>
        <v>0</v>
      </c>
      <c r="AX190" s="6">
        <f t="shared" si="2073"/>
        <v>0</v>
      </c>
      <c r="AY190" s="6">
        <f t="shared" si="2073"/>
        <v>0</v>
      </c>
      <c r="AZ190" s="6">
        <f t="shared" si="2073"/>
        <v>0</v>
      </c>
      <c r="BA190" s="6">
        <f t="shared" si="2073"/>
        <v>697294464.01528287</v>
      </c>
      <c r="BB190" s="6">
        <f t="shared" si="2073"/>
        <v>0</v>
      </c>
      <c r="BC190" s="6">
        <f t="shared" si="2073"/>
        <v>0</v>
      </c>
      <c r="BD190" s="6">
        <f t="shared" si="2073"/>
        <v>0</v>
      </c>
      <c r="BE190" s="6">
        <f t="shared" si="2073"/>
        <v>0</v>
      </c>
      <c r="BF190" s="6">
        <f t="shared" si="2073"/>
        <v>0</v>
      </c>
      <c r="BG190" s="6">
        <f t="shared" si="2073"/>
        <v>0</v>
      </c>
      <c r="BH190" s="6">
        <f t="shared" si="2073"/>
        <v>0</v>
      </c>
      <c r="BI190" s="6">
        <f t="shared" si="2073"/>
        <v>0</v>
      </c>
      <c r="BJ190" s="6">
        <f t="shared" si="2073"/>
        <v>0</v>
      </c>
      <c r="BK190" s="6">
        <f t="shared" si="2073"/>
        <v>0</v>
      </c>
      <c r="BL190" s="6">
        <f t="shared" si="2073"/>
        <v>0</v>
      </c>
      <c r="BM190" s="6">
        <f t="shared" si="2073"/>
        <v>0</v>
      </c>
      <c r="BN190" s="6">
        <f t="shared" si="2073"/>
        <v>0</v>
      </c>
      <c r="BO190" s="6">
        <f t="shared" si="2073"/>
        <v>0</v>
      </c>
      <c r="BP190" s="6">
        <f t="shared" si="2073"/>
        <v>0</v>
      </c>
      <c r="BQ190" s="6">
        <f t="shared" si="2073"/>
        <v>0</v>
      </c>
      <c r="BR190" s="6">
        <f t="shared" ref="BR190:CW190" si="2074">IF(BR$183=Refi_Date,Senior_Loan_Balance,0)</f>
        <v>0</v>
      </c>
      <c r="BS190" s="6">
        <f t="shared" si="2074"/>
        <v>0</v>
      </c>
      <c r="BT190" s="6">
        <f t="shared" si="2074"/>
        <v>0</v>
      </c>
      <c r="BU190" s="6">
        <f t="shared" si="2074"/>
        <v>0</v>
      </c>
      <c r="BV190" s="6">
        <f t="shared" si="2074"/>
        <v>0</v>
      </c>
      <c r="BW190" s="6">
        <f t="shared" si="2074"/>
        <v>0</v>
      </c>
      <c r="BX190" s="6">
        <f t="shared" si="2074"/>
        <v>0</v>
      </c>
      <c r="BY190" s="6">
        <f t="shared" si="2074"/>
        <v>0</v>
      </c>
      <c r="BZ190" s="6">
        <f t="shared" si="2074"/>
        <v>0</v>
      </c>
      <c r="CA190" s="6">
        <f t="shared" si="2074"/>
        <v>0</v>
      </c>
      <c r="CB190" s="6">
        <f t="shared" si="2074"/>
        <v>0</v>
      </c>
      <c r="CC190" s="6">
        <f t="shared" si="2074"/>
        <v>0</v>
      </c>
      <c r="CD190" s="6">
        <f t="shared" si="2074"/>
        <v>0</v>
      </c>
      <c r="CE190" s="6">
        <f t="shared" si="2074"/>
        <v>0</v>
      </c>
      <c r="CF190" s="6">
        <f t="shared" si="2074"/>
        <v>0</v>
      </c>
      <c r="CG190" s="6">
        <f t="shared" si="2074"/>
        <v>0</v>
      </c>
      <c r="CH190" s="6">
        <f t="shared" si="2074"/>
        <v>0</v>
      </c>
      <c r="CI190" s="6">
        <f t="shared" si="2074"/>
        <v>0</v>
      </c>
      <c r="CJ190" s="6">
        <f t="shared" si="2074"/>
        <v>0</v>
      </c>
      <c r="CK190" s="6">
        <f t="shared" si="2074"/>
        <v>0</v>
      </c>
      <c r="CL190" s="6">
        <f t="shared" si="2074"/>
        <v>0</v>
      </c>
      <c r="CM190" s="6">
        <f t="shared" si="2074"/>
        <v>0</v>
      </c>
      <c r="CN190" s="6">
        <f t="shared" si="2074"/>
        <v>0</v>
      </c>
      <c r="CO190" s="6">
        <f t="shared" si="2074"/>
        <v>0</v>
      </c>
      <c r="CP190" s="6">
        <f t="shared" si="2074"/>
        <v>0</v>
      </c>
      <c r="CQ190" s="6">
        <f t="shared" si="2074"/>
        <v>0</v>
      </c>
      <c r="CR190" s="6">
        <f t="shared" si="2074"/>
        <v>0</v>
      </c>
      <c r="CS190" s="6">
        <f t="shared" si="2074"/>
        <v>0</v>
      </c>
      <c r="CT190" s="6">
        <f t="shared" si="2074"/>
        <v>0</v>
      </c>
      <c r="CU190" s="6">
        <f t="shared" si="2074"/>
        <v>0</v>
      </c>
      <c r="CV190" s="6">
        <f t="shared" si="2074"/>
        <v>0</v>
      </c>
      <c r="CW190" s="6">
        <f t="shared" si="2074"/>
        <v>0</v>
      </c>
    </row>
    <row r="191" spans="2:113" outlineLevel="1" x14ac:dyDescent="0.25">
      <c r="C191" s="20" t="s">
        <v>139</v>
      </c>
      <c r="D191" s="47" t="s">
        <v>107</v>
      </c>
      <c r="F191" s="6">
        <f t="shared" ref="F191:BQ191" si="2075">IF(F$183=Refi_Date,Mezz_Balance,0)</f>
        <v>0</v>
      </c>
      <c r="G191" s="6">
        <f t="shared" si="2075"/>
        <v>0</v>
      </c>
      <c r="H191" s="6">
        <f t="shared" si="2075"/>
        <v>0</v>
      </c>
      <c r="I191" s="6">
        <f t="shared" si="2075"/>
        <v>0</v>
      </c>
      <c r="J191" s="6">
        <f t="shared" si="2075"/>
        <v>0</v>
      </c>
      <c r="K191" s="6">
        <f t="shared" si="2075"/>
        <v>0</v>
      </c>
      <c r="L191" s="6">
        <f t="shared" si="2075"/>
        <v>0</v>
      </c>
      <c r="M191" s="6">
        <f t="shared" si="2075"/>
        <v>0</v>
      </c>
      <c r="N191" s="6">
        <f t="shared" si="2075"/>
        <v>0</v>
      </c>
      <c r="O191" s="6">
        <f t="shared" si="2075"/>
        <v>0</v>
      </c>
      <c r="P191" s="6">
        <f t="shared" si="2075"/>
        <v>0</v>
      </c>
      <c r="Q191" s="6">
        <f t="shared" si="2075"/>
        <v>0</v>
      </c>
      <c r="R191" s="6">
        <f t="shared" si="2075"/>
        <v>0</v>
      </c>
      <c r="S191" s="6">
        <f t="shared" si="2075"/>
        <v>0</v>
      </c>
      <c r="T191" s="6">
        <f t="shared" si="2075"/>
        <v>0</v>
      </c>
      <c r="U191" s="6">
        <f t="shared" si="2075"/>
        <v>0</v>
      </c>
      <c r="V191" s="6">
        <f t="shared" si="2075"/>
        <v>0</v>
      </c>
      <c r="W191" s="6">
        <f t="shared" si="2075"/>
        <v>0</v>
      </c>
      <c r="X191" s="6">
        <f t="shared" si="2075"/>
        <v>0</v>
      </c>
      <c r="Y191" s="6">
        <f t="shared" si="2075"/>
        <v>0</v>
      </c>
      <c r="Z191" s="6">
        <f t="shared" si="2075"/>
        <v>0</v>
      </c>
      <c r="AA191" s="6">
        <f t="shared" si="2075"/>
        <v>0</v>
      </c>
      <c r="AB191" s="6">
        <f t="shared" si="2075"/>
        <v>0</v>
      </c>
      <c r="AC191" s="6">
        <f t="shared" si="2075"/>
        <v>0</v>
      </c>
      <c r="AD191" s="6">
        <f t="shared" si="2075"/>
        <v>0</v>
      </c>
      <c r="AE191" s="6">
        <f t="shared" si="2075"/>
        <v>0</v>
      </c>
      <c r="AF191" s="6">
        <f t="shared" si="2075"/>
        <v>0</v>
      </c>
      <c r="AG191" s="6">
        <f t="shared" si="2075"/>
        <v>0</v>
      </c>
      <c r="AH191" s="6">
        <f t="shared" si="2075"/>
        <v>0</v>
      </c>
      <c r="AI191" s="6">
        <f t="shared" si="2075"/>
        <v>0</v>
      </c>
      <c r="AJ191" s="6">
        <f t="shared" si="2075"/>
        <v>0</v>
      </c>
      <c r="AK191" s="6">
        <f t="shared" si="2075"/>
        <v>0</v>
      </c>
      <c r="AL191" s="6">
        <f t="shared" si="2075"/>
        <v>0</v>
      </c>
      <c r="AM191" s="6">
        <f t="shared" si="2075"/>
        <v>0</v>
      </c>
      <c r="AN191" s="6">
        <f t="shared" si="2075"/>
        <v>0</v>
      </c>
      <c r="AO191" s="6">
        <f t="shared" si="2075"/>
        <v>0</v>
      </c>
      <c r="AP191" s="6">
        <f t="shared" si="2075"/>
        <v>0</v>
      </c>
      <c r="AQ191" s="6">
        <f t="shared" si="2075"/>
        <v>0</v>
      </c>
      <c r="AR191" s="6">
        <f t="shared" si="2075"/>
        <v>0</v>
      </c>
      <c r="AS191" s="6">
        <f t="shared" si="2075"/>
        <v>0</v>
      </c>
      <c r="AT191" s="6">
        <f t="shared" si="2075"/>
        <v>0</v>
      </c>
      <c r="AU191" s="6">
        <f t="shared" si="2075"/>
        <v>0</v>
      </c>
      <c r="AV191" s="6">
        <f t="shared" si="2075"/>
        <v>0</v>
      </c>
      <c r="AW191" s="6">
        <f t="shared" si="2075"/>
        <v>0</v>
      </c>
      <c r="AX191" s="6">
        <f t="shared" si="2075"/>
        <v>0</v>
      </c>
      <c r="AY191" s="6">
        <f t="shared" si="2075"/>
        <v>0</v>
      </c>
      <c r="AZ191" s="6">
        <f t="shared" si="2075"/>
        <v>0</v>
      </c>
      <c r="BA191" s="6">
        <f t="shared" si="2075"/>
        <v>116215744.00254714</v>
      </c>
      <c r="BB191" s="6">
        <f t="shared" si="2075"/>
        <v>0</v>
      </c>
      <c r="BC191" s="6">
        <f t="shared" si="2075"/>
        <v>0</v>
      </c>
      <c r="BD191" s="6">
        <f t="shared" si="2075"/>
        <v>0</v>
      </c>
      <c r="BE191" s="6">
        <f t="shared" si="2075"/>
        <v>0</v>
      </c>
      <c r="BF191" s="6">
        <f t="shared" si="2075"/>
        <v>0</v>
      </c>
      <c r="BG191" s="6">
        <f t="shared" si="2075"/>
        <v>0</v>
      </c>
      <c r="BH191" s="6">
        <f t="shared" si="2075"/>
        <v>0</v>
      </c>
      <c r="BI191" s="6">
        <f t="shared" si="2075"/>
        <v>0</v>
      </c>
      <c r="BJ191" s="6">
        <f t="shared" si="2075"/>
        <v>0</v>
      </c>
      <c r="BK191" s="6">
        <f t="shared" si="2075"/>
        <v>0</v>
      </c>
      <c r="BL191" s="6">
        <f t="shared" si="2075"/>
        <v>0</v>
      </c>
      <c r="BM191" s="6">
        <f t="shared" si="2075"/>
        <v>0</v>
      </c>
      <c r="BN191" s="6">
        <f t="shared" si="2075"/>
        <v>0</v>
      </c>
      <c r="BO191" s="6">
        <f t="shared" si="2075"/>
        <v>0</v>
      </c>
      <c r="BP191" s="6">
        <f t="shared" si="2075"/>
        <v>0</v>
      </c>
      <c r="BQ191" s="6">
        <f t="shared" si="2075"/>
        <v>0</v>
      </c>
      <c r="BR191" s="6">
        <f t="shared" ref="BR191:CW191" si="2076">IF(BR$183=Refi_Date,Mezz_Balance,0)</f>
        <v>0</v>
      </c>
      <c r="BS191" s="6">
        <f t="shared" si="2076"/>
        <v>0</v>
      </c>
      <c r="BT191" s="6">
        <f t="shared" si="2076"/>
        <v>0</v>
      </c>
      <c r="BU191" s="6">
        <f t="shared" si="2076"/>
        <v>0</v>
      </c>
      <c r="BV191" s="6">
        <f t="shared" si="2076"/>
        <v>0</v>
      </c>
      <c r="BW191" s="6">
        <f t="shared" si="2076"/>
        <v>0</v>
      </c>
      <c r="BX191" s="6">
        <f t="shared" si="2076"/>
        <v>0</v>
      </c>
      <c r="BY191" s="6">
        <f t="shared" si="2076"/>
        <v>0</v>
      </c>
      <c r="BZ191" s="6">
        <f t="shared" si="2076"/>
        <v>0</v>
      </c>
      <c r="CA191" s="6">
        <f t="shared" si="2076"/>
        <v>0</v>
      </c>
      <c r="CB191" s="6">
        <f t="shared" si="2076"/>
        <v>0</v>
      </c>
      <c r="CC191" s="6">
        <f t="shared" si="2076"/>
        <v>0</v>
      </c>
      <c r="CD191" s="6">
        <f t="shared" si="2076"/>
        <v>0</v>
      </c>
      <c r="CE191" s="6">
        <f t="shared" si="2076"/>
        <v>0</v>
      </c>
      <c r="CF191" s="6">
        <f t="shared" si="2076"/>
        <v>0</v>
      </c>
      <c r="CG191" s="6">
        <f t="shared" si="2076"/>
        <v>0</v>
      </c>
      <c r="CH191" s="6">
        <f t="shared" si="2076"/>
        <v>0</v>
      </c>
      <c r="CI191" s="6">
        <f t="shared" si="2076"/>
        <v>0</v>
      </c>
      <c r="CJ191" s="6">
        <f t="shared" si="2076"/>
        <v>0</v>
      </c>
      <c r="CK191" s="6">
        <f t="shared" si="2076"/>
        <v>0</v>
      </c>
      <c r="CL191" s="6">
        <f t="shared" si="2076"/>
        <v>0</v>
      </c>
      <c r="CM191" s="6">
        <f t="shared" si="2076"/>
        <v>0</v>
      </c>
      <c r="CN191" s="6">
        <f t="shared" si="2076"/>
        <v>0</v>
      </c>
      <c r="CO191" s="6">
        <f t="shared" si="2076"/>
        <v>0</v>
      </c>
      <c r="CP191" s="6">
        <f t="shared" si="2076"/>
        <v>0</v>
      </c>
      <c r="CQ191" s="6">
        <f t="shared" si="2076"/>
        <v>0</v>
      </c>
      <c r="CR191" s="6">
        <f t="shared" si="2076"/>
        <v>0</v>
      </c>
      <c r="CS191" s="6">
        <f t="shared" si="2076"/>
        <v>0</v>
      </c>
      <c r="CT191" s="6">
        <f t="shared" si="2076"/>
        <v>0</v>
      </c>
      <c r="CU191" s="6">
        <f t="shared" si="2076"/>
        <v>0</v>
      </c>
      <c r="CV191" s="6">
        <f t="shared" si="2076"/>
        <v>0</v>
      </c>
      <c r="CW191" s="6">
        <f t="shared" si="2076"/>
        <v>0</v>
      </c>
    </row>
    <row r="192" spans="2:113" outlineLevel="1" x14ac:dyDescent="0.25">
      <c r="C192" s="20" t="s">
        <v>246</v>
      </c>
      <c r="D192" s="47" t="s">
        <v>107</v>
      </c>
      <c r="F192" s="6">
        <f t="shared" ref="F192" si="2077">-F190*Perm_Loan_Fees</f>
        <v>0</v>
      </c>
      <c r="G192" s="6">
        <f t="shared" ref="G192:BR192" si="2078">-G190*Perm_Loan_Fees</f>
        <v>0</v>
      </c>
      <c r="H192" s="6">
        <f t="shared" si="2078"/>
        <v>0</v>
      </c>
      <c r="I192" s="6">
        <f t="shared" si="2078"/>
        <v>0</v>
      </c>
      <c r="J192" s="6">
        <f t="shared" si="2078"/>
        <v>0</v>
      </c>
      <c r="K192" s="6">
        <f t="shared" si="2078"/>
        <v>0</v>
      </c>
      <c r="L192" s="6">
        <f t="shared" si="2078"/>
        <v>0</v>
      </c>
      <c r="M192" s="6">
        <f t="shared" si="2078"/>
        <v>0</v>
      </c>
      <c r="N192" s="6">
        <f t="shared" si="2078"/>
        <v>0</v>
      </c>
      <c r="O192" s="6">
        <f t="shared" si="2078"/>
        <v>0</v>
      </c>
      <c r="P192" s="6">
        <f t="shared" si="2078"/>
        <v>0</v>
      </c>
      <c r="Q192" s="6">
        <f t="shared" si="2078"/>
        <v>0</v>
      </c>
      <c r="R192" s="6">
        <f t="shared" si="2078"/>
        <v>0</v>
      </c>
      <c r="S192" s="6">
        <f t="shared" si="2078"/>
        <v>0</v>
      </c>
      <c r="T192" s="6">
        <f t="shared" si="2078"/>
        <v>0</v>
      </c>
      <c r="U192" s="6">
        <f t="shared" si="2078"/>
        <v>0</v>
      </c>
      <c r="V192" s="6">
        <f t="shared" si="2078"/>
        <v>0</v>
      </c>
      <c r="W192" s="6">
        <f t="shared" si="2078"/>
        <v>0</v>
      </c>
      <c r="X192" s="6">
        <f t="shared" si="2078"/>
        <v>0</v>
      </c>
      <c r="Y192" s="6">
        <f t="shared" si="2078"/>
        <v>0</v>
      </c>
      <c r="Z192" s="6">
        <f t="shared" si="2078"/>
        <v>0</v>
      </c>
      <c r="AA192" s="6">
        <f t="shared" si="2078"/>
        <v>0</v>
      </c>
      <c r="AB192" s="6">
        <f t="shared" si="2078"/>
        <v>0</v>
      </c>
      <c r="AC192" s="6">
        <f t="shared" si="2078"/>
        <v>0</v>
      </c>
      <c r="AD192" s="6">
        <f t="shared" si="2078"/>
        <v>0</v>
      </c>
      <c r="AE192" s="6">
        <f t="shared" si="2078"/>
        <v>0</v>
      </c>
      <c r="AF192" s="6">
        <f t="shared" si="2078"/>
        <v>0</v>
      </c>
      <c r="AG192" s="6">
        <f t="shared" si="2078"/>
        <v>0</v>
      </c>
      <c r="AH192" s="6">
        <f t="shared" si="2078"/>
        <v>0</v>
      </c>
      <c r="AI192" s="6">
        <f t="shared" si="2078"/>
        <v>0</v>
      </c>
      <c r="AJ192" s="6">
        <f t="shared" si="2078"/>
        <v>0</v>
      </c>
      <c r="AK192" s="6">
        <f t="shared" si="2078"/>
        <v>0</v>
      </c>
      <c r="AL192" s="6">
        <f t="shared" si="2078"/>
        <v>0</v>
      </c>
      <c r="AM192" s="6">
        <f t="shared" si="2078"/>
        <v>0</v>
      </c>
      <c r="AN192" s="6">
        <f t="shared" si="2078"/>
        <v>0</v>
      </c>
      <c r="AO192" s="6">
        <f t="shared" si="2078"/>
        <v>0</v>
      </c>
      <c r="AP192" s="6">
        <f t="shared" si="2078"/>
        <v>0</v>
      </c>
      <c r="AQ192" s="6">
        <f t="shared" si="2078"/>
        <v>0</v>
      </c>
      <c r="AR192" s="6">
        <f t="shared" si="2078"/>
        <v>0</v>
      </c>
      <c r="AS192" s="6">
        <f t="shared" si="2078"/>
        <v>0</v>
      </c>
      <c r="AT192" s="6">
        <f t="shared" si="2078"/>
        <v>0</v>
      </c>
      <c r="AU192" s="6">
        <f t="shared" si="2078"/>
        <v>0</v>
      </c>
      <c r="AV192" s="6">
        <f t="shared" si="2078"/>
        <v>0</v>
      </c>
      <c r="AW192" s="6">
        <f t="shared" si="2078"/>
        <v>0</v>
      </c>
      <c r="AX192" s="6">
        <f t="shared" si="2078"/>
        <v>0</v>
      </c>
      <c r="AY192" s="6">
        <f t="shared" si="2078"/>
        <v>0</v>
      </c>
      <c r="AZ192" s="6">
        <f t="shared" si="2078"/>
        <v>0</v>
      </c>
      <c r="BA192" s="6">
        <f t="shared" si="2078"/>
        <v>-6972944.6401528288</v>
      </c>
      <c r="BB192" s="6">
        <f t="shared" si="2078"/>
        <v>0</v>
      </c>
      <c r="BC192" s="6">
        <f t="shared" si="2078"/>
        <v>0</v>
      </c>
      <c r="BD192" s="6">
        <f t="shared" si="2078"/>
        <v>0</v>
      </c>
      <c r="BE192" s="6">
        <f t="shared" si="2078"/>
        <v>0</v>
      </c>
      <c r="BF192" s="6">
        <f t="shared" si="2078"/>
        <v>0</v>
      </c>
      <c r="BG192" s="6">
        <f t="shared" si="2078"/>
        <v>0</v>
      </c>
      <c r="BH192" s="6">
        <f t="shared" si="2078"/>
        <v>0</v>
      </c>
      <c r="BI192" s="6">
        <f t="shared" si="2078"/>
        <v>0</v>
      </c>
      <c r="BJ192" s="6">
        <f t="shared" si="2078"/>
        <v>0</v>
      </c>
      <c r="BK192" s="6">
        <f t="shared" si="2078"/>
        <v>0</v>
      </c>
      <c r="BL192" s="6">
        <f t="shared" si="2078"/>
        <v>0</v>
      </c>
      <c r="BM192" s="6">
        <f t="shared" si="2078"/>
        <v>0</v>
      </c>
      <c r="BN192" s="6">
        <f t="shared" si="2078"/>
        <v>0</v>
      </c>
      <c r="BO192" s="6">
        <f t="shared" si="2078"/>
        <v>0</v>
      </c>
      <c r="BP192" s="6">
        <f t="shared" si="2078"/>
        <v>0</v>
      </c>
      <c r="BQ192" s="6">
        <f t="shared" si="2078"/>
        <v>0</v>
      </c>
      <c r="BR192" s="6">
        <f t="shared" si="2078"/>
        <v>0</v>
      </c>
      <c r="BS192" s="6">
        <f t="shared" ref="BS192:CW192" si="2079">-BS190*Perm_Loan_Fees</f>
        <v>0</v>
      </c>
      <c r="BT192" s="6">
        <f t="shared" si="2079"/>
        <v>0</v>
      </c>
      <c r="BU192" s="6">
        <f t="shared" si="2079"/>
        <v>0</v>
      </c>
      <c r="BV192" s="6">
        <f t="shared" si="2079"/>
        <v>0</v>
      </c>
      <c r="BW192" s="6">
        <f t="shared" si="2079"/>
        <v>0</v>
      </c>
      <c r="BX192" s="6">
        <f t="shared" si="2079"/>
        <v>0</v>
      </c>
      <c r="BY192" s="6">
        <f t="shared" si="2079"/>
        <v>0</v>
      </c>
      <c r="BZ192" s="6">
        <f t="shared" si="2079"/>
        <v>0</v>
      </c>
      <c r="CA192" s="6">
        <f t="shared" si="2079"/>
        <v>0</v>
      </c>
      <c r="CB192" s="6">
        <f t="shared" si="2079"/>
        <v>0</v>
      </c>
      <c r="CC192" s="6">
        <f t="shared" si="2079"/>
        <v>0</v>
      </c>
      <c r="CD192" s="6">
        <f t="shared" si="2079"/>
        <v>0</v>
      </c>
      <c r="CE192" s="6">
        <f t="shared" si="2079"/>
        <v>0</v>
      </c>
      <c r="CF192" s="6">
        <f t="shared" si="2079"/>
        <v>0</v>
      </c>
      <c r="CG192" s="6">
        <f t="shared" si="2079"/>
        <v>0</v>
      </c>
      <c r="CH192" s="6">
        <f t="shared" si="2079"/>
        <v>0</v>
      </c>
      <c r="CI192" s="6">
        <f t="shared" si="2079"/>
        <v>0</v>
      </c>
      <c r="CJ192" s="6">
        <f t="shared" si="2079"/>
        <v>0</v>
      </c>
      <c r="CK192" s="6">
        <f t="shared" si="2079"/>
        <v>0</v>
      </c>
      <c r="CL192" s="6">
        <f t="shared" si="2079"/>
        <v>0</v>
      </c>
      <c r="CM192" s="6">
        <f t="shared" si="2079"/>
        <v>0</v>
      </c>
      <c r="CN192" s="6">
        <f t="shared" si="2079"/>
        <v>0</v>
      </c>
      <c r="CO192" s="6">
        <f t="shared" si="2079"/>
        <v>0</v>
      </c>
      <c r="CP192" s="6">
        <f t="shared" si="2079"/>
        <v>0</v>
      </c>
      <c r="CQ192" s="6">
        <f t="shared" si="2079"/>
        <v>0</v>
      </c>
      <c r="CR192" s="6">
        <f t="shared" si="2079"/>
        <v>0</v>
      </c>
      <c r="CS192" s="6">
        <f t="shared" si="2079"/>
        <v>0</v>
      </c>
      <c r="CT192" s="6">
        <f t="shared" si="2079"/>
        <v>0</v>
      </c>
      <c r="CU192" s="6">
        <f t="shared" si="2079"/>
        <v>0</v>
      </c>
      <c r="CV192" s="6">
        <f t="shared" si="2079"/>
        <v>0</v>
      </c>
      <c r="CW192" s="6">
        <f t="shared" si="2079"/>
        <v>0</v>
      </c>
    </row>
    <row r="193" spans="3:101" outlineLevel="1" x14ac:dyDescent="0.25">
      <c r="C193" s="20" t="s">
        <v>247</v>
      </c>
      <c r="D193" s="47" t="s">
        <v>107</v>
      </c>
      <c r="F193" s="6">
        <f t="shared" ref="F193" si="2080">-F191*Perm_Loan_Fees</f>
        <v>0</v>
      </c>
      <c r="G193" s="6">
        <f t="shared" ref="G193:BR193" si="2081">-G191*Perm_Loan_Fees</f>
        <v>0</v>
      </c>
      <c r="H193" s="6">
        <f t="shared" si="2081"/>
        <v>0</v>
      </c>
      <c r="I193" s="6">
        <f t="shared" si="2081"/>
        <v>0</v>
      </c>
      <c r="J193" s="6">
        <f t="shared" si="2081"/>
        <v>0</v>
      </c>
      <c r="K193" s="6">
        <f t="shared" si="2081"/>
        <v>0</v>
      </c>
      <c r="L193" s="6">
        <f t="shared" si="2081"/>
        <v>0</v>
      </c>
      <c r="M193" s="6">
        <f t="shared" si="2081"/>
        <v>0</v>
      </c>
      <c r="N193" s="6">
        <f t="shared" si="2081"/>
        <v>0</v>
      </c>
      <c r="O193" s="6">
        <f t="shared" si="2081"/>
        <v>0</v>
      </c>
      <c r="P193" s="6">
        <f t="shared" si="2081"/>
        <v>0</v>
      </c>
      <c r="Q193" s="6">
        <f t="shared" si="2081"/>
        <v>0</v>
      </c>
      <c r="R193" s="6">
        <f t="shared" si="2081"/>
        <v>0</v>
      </c>
      <c r="S193" s="6">
        <f t="shared" si="2081"/>
        <v>0</v>
      </c>
      <c r="T193" s="6">
        <f t="shared" si="2081"/>
        <v>0</v>
      </c>
      <c r="U193" s="6">
        <f t="shared" si="2081"/>
        <v>0</v>
      </c>
      <c r="V193" s="6">
        <f t="shared" si="2081"/>
        <v>0</v>
      </c>
      <c r="W193" s="6">
        <f t="shared" si="2081"/>
        <v>0</v>
      </c>
      <c r="X193" s="6">
        <f t="shared" si="2081"/>
        <v>0</v>
      </c>
      <c r="Y193" s="6">
        <f t="shared" si="2081"/>
        <v>0</v>
      </c>
      <c r="Z193" s="6">
        <f t="shared" si="2081"/>
        <v>0</v>
      </c>
      <c r="AA193" s="6">
        <f t="shared" si="2081"/>
        <v>0</v>
      </c>
      <c r="AB193" s="6">
        <f t="shared" si="2081"/>
        <v>0</v>
      </c>
      <c r="AC193" s="6">
        <f t="shared" si="2081"/>
        <v>0</v>
      </c>
      <c r="AD193" s="6">
        <f t="shared" si="2081"/>
        <v>0</v>
      </c>
      <c r="AE193" s="6">
        <f t="shared" si="2081"/>
        <v>0</v>
      </c>
      <c r="AF193" s="6">
        <f t="shared" si="2081"/>
        <v>0</v>
      </c>
      <c r="AG193" s="6">
        <f t="shared" si="2081"/>
        <v>0</v>
      </c>
      <c r="AH193" s="6">
        <f t="shared" si="2081"/>
        <v>0</v>
      </c>
      <c r="AI193" s="6">
        <f t="shared" si="2081"/>
        <v>0</v>
      </c>
      <c r="AJ193" s="6">
        <f t="shared" si="2081"/>
        <v>0</v>
      </c>
      <c r="AK193" s="6">
        <f t="shared" si="2081"/>
        <v>0</v>
      </c>
      <c r="AL193" s="6">
        <f t="shared" si="2081"/>
        <v>0</v>
      </c>
      <c r="AM193" s="6">
        <f t="shared" si="2081"/>
        <v>0</v>
      </c>
      <c r="AN193" s="6">
        <f t="shared" si="2081"/>
        <v>0</v>
      </c>
      <c r="AO193" s="6">
        <f t="shared" si="2081"/>
        <v>0</v>
      </c>
      <c r="AP193" s="6">
        <f t="shared" si="2081"/>
        <v>0</v>
      </c>
      <c r="AQ193" s="6">
        <f t="shared" si="2081"/>
        <v>0</v>
      </c>
      <c r="AR193" s="6">
        <f t="shared" si="2081"/>
        <v>0</v>
      </c>
      <c r="AS193" s="6">
        <f t="shared" si="2081"/>
        <v>0</v>
      </c>
      <c r="AT193" s="6">
        <f t="shared" si="2081"/>
        <v>0</v>
      </c>
      <c r="AU193" s="6">
        <f t="shared" si="2081"/>
        <v>0</v>
      </c>
      <c r="AV193" s="6">
        <f t="shared" si="2081"/>
        <v>0</v>
      </c>
      <c r="AW193" s="6">
        <f t="shared" si="2081"/>
        <v>0</v>
      </c>
      <c r="AX193" s="6">
        <f t="shared" si="2081"/>
        <v>0</v>
      </c>
      <c r="AY193" s="6">
        <f t="shared" si="2081"/>
        <v>0</v>
      </c>
      <c r="AZ193" s="6">
        <f t="shared" si="2081"/>
        <v>0</v>
      </c>
      <c r="BA193" s="6">
        <f t="shared" si="2081"/>
        <v>-1162157.4400254714</v>
      </c>
      <c r="BB193" s="6">
        <f t="shared" si="2081"/>
        <v>0</v>
      </c>
      <c r="BC193" s="6">
        <f t="shared" si="2081"/>
        <v>0</v>
      </c>
      <c r="BD193" s="6">
        <f t="shared" si="2081"/>
        <v>0</v>
      </c>
      <c r="BE193" s="6">
        <f t="shared" si="2081"/>
        <v>0</v>
      </c>
      <c r="BF193" s="6">
        <f t="shared" si="2081"/>
        <v>0</v>
      </c>
      <c r="BG193" s="6">
        <f t="shared" si="2081"/>
        <v>0</v>
      </c>
      <c r="BH193" s="6">
        <f t="shared" si="2081"/>
        <v>0</v>
      </c>
      <c r="BI193" s="6">
        <f t="shared" si="2081"/>
        <v>0</v>
      </c>
      <c r="BJ193" s="6">
        <f t="shared" si="2081"/>
        <v>0</v>
      </c>
      <c r="BK193" s="6">
        <f t="shared" si="2081"/>
        <v>0</v>
      </c>
      <c r="BL193" s="6">
        <f t="shared" si="2081"/>
        <v>0</v>
      </c>
      <c r="BM193" s="6">
        <f t="shared" si="2081"/>
        <v>0</v>
      </c>
      <c r="BN193" s="6">
        <f t="shared" si="2081"/>
        <v>0</v>
      </c>
      <c r="BO193" s="6">
        <f t="shared" si="2081"/>
        <v>0</v>
      </c>
      <c r="BP193" s="6">
        <f t="shared" si="2081"/>
        <v>0</v>
      </c>
      <c r="BQ193" s="6">
        <f t="shared" si="2081"/>
        <v>0</v>
      </c>
      <c r="BR193" s="6">
        <f t="shared" si="2081"/>
        <v>0</v>
      </c>
      <c r="BS193" s="6">
        <f t="shared" ref="BS193:CW193" si="2082">-BS191*Perm_Loan_Fees</f>
        <v>0</v>
      </c>
      <c r="BT193" s="6">
        <f t="shared" si="2082"/>
        <v>0</v>
      </c>
      <c r="BU193" s="6">
        <f t="shared" si="2082"/>
        <v>0</v>
      </c>
      <c r="BV193" s="6">
        <f t="shared" si="2082"/>
        <v>0</v>
      </c>
      <c r="BW193" s="6">
        <f t="shared" si="2082"/>
        <v>0</v>
      </c>
      <c r="BX193" s="6">
        <f t="shared" si="2082"/>
        <v>0</v>
      </c>
      <c r="BY193" s="6">
        <f t="shared" si="2082"/>
        <v>0</v>
      </c>
      <c r="BZ193" s="6">
        <f t="shared" si="2082"/>
        <v>0</v>
      </c>
      <c r="CA193" s="6">
        <f t="shared" si="2082"/>
        <v>0</v>
      </c>
      <c r="CB193" s="6">
        <f t="shared" si="2082"/>
        <v>0</v>
      </c>
      <c r="CC193" s="6">
        <f t="shared" si="2082"/>
        <v>0</v>
      </c>
      <c r="CD193" s="6">
        <f t="shared" si="2082"/>
        <v>0</v>
      </c>
      <c r="CE193" s="6">
        <f t="shared" si="2082"/>
        <v>0</v>
      </c>
      <c r="CF193" s="6">
        <f t="shared" si="2082"/>
        <v>0</v>
      </c>
      <c r="CG193" s="6">
        <f t="shared" si="2082"/>
        <v>0</v>
      </c>
      <c r="CH193" s="6">
        <f t="shared" si="2082"/>
        <v>0</v>
      </c>
      <c r="CI193" s="6">
        <f t="shared" si="2082"/>
        <v>0</v>
      </c>
      <c r="CJ193" s="6">
        <f t="shared" si="2082"/>
        <v>0</v>
      </c>
      <c r="CK193" s="6">
        <f t="shared" si="2082"/>
        <v>0</v>
      </c>
      <c r="CL193" s="6">
        <f t="shared" si="2082"/>
        <v>0</v>
      </c>
      <c r="CM193" s="6">
        <f t="shared" si="2082"/>
        <v>0</v>
      </c>
      <c r="CN193" s="6">
        <f t="shared" si="2082"/>
        <v>0</v>
      </c>
      <c r="CO193" s="6">
        <f t="shared" si="2082"/>
        <v>0</v>
      </c>
      <c r="CP193" s="6">
        <f t="shared" si="2082"/>
        <v>0</v>
      </c>
      <c r="CQ193" s="6">
        <f t="shared" si="2082"/>
        <v>0</v>
      </c>
      <c r="CR193" s="6">
        <f t="shared" si="2082"/>
        <v>0</v>
      </c>
      <c r="CS193" s="6">
        <f t="shared" si="2082"/>
        <v>0</v>
      </c>
      <c r="CT193" s="6">
        <f t="shared" si="2082"/>
        <v>0</v>
      </c>
      <c r="CU193" s="6">
        <f t="shared" si="2082"/>
        <v>0</v>
      </c>
      <c r="CV193" s="6">
        <f t="shared" si="2082"/>
        <v>0</v>
      </c>
      <c r="CW193" s="6">
        <f t="shared" si="2082"/>
        <v>0</v>
      </c>
    </row>
    <row r="194" spans="3:101" outlineLevel="1" x14ac:dyDescent="0.25">
      <c r="C194" s="20" t="s">
        <v>26</v>
      </c>
      <c r="D194" s="47" t="s">
        <v>107</v>
      </c>
      <c r="F194" s="6">
        <f t="shared" ref="F194" si="2083">IF(F$183=Refi_Date,F30,0)</f>
        <v>0</v>
      </c>
      <c r="G194" s="6">
        <f t="shared" ref="G194:BR194" si="2084">IF(G$183=Refi_Date,G30,0)</f>
        <v>0</v>
      </c>
      <c r="H194" s="6">
        <f t="shared" si="2084"/>
        <v>0</v>
      </c>
      <c r="I194" s="6">
        <f t="shared" si="2084"/>
        <v>0</v>
      </c>
      <c r="J194" s="6">
        <f t="shared" si="2084"/>
        <v>0</v>
      </c>
      <c r="K194" s="6">
        <f t="shared" si="2084"/>
        <v>0</v>
      </c>
      <c r="L194" s="6">
        <f t="shared" si="2084"/>
        <v>0</v>
      </c>
      <c r="M194" s="6">
        <f t="shared" si="2084"/>
        <v>0</v>
      </c>
      <c r="N194" s="6">
        <f t="shared" si="2084"/>
        <v>0</v>
      </c>
      <c r="O194" s="6">
        <f t="shared" si="2084"/>
        <v>0</v>
      </c>
      <c r="P194" s="6">
        <f t="shared" si="2084"/>
        <v>0</v>
      </c>
      <c r="Q194" s="6">
        <f t="shared" si="2084"/>
        <v>0</v>
      </c>
      <c r="R194" s="6">
        <f t="shared" si="2084"/>
        <v>0</v>
      </c>
      <c r="S194" s="6">
        <f t="shared" si="2084"/>
        <v>0</v>
      </c>
      <c r="T194" s="6">
        <f t="shared" si="2084"/>
        <v>0</v>
      </c>
      <c r="U194" s="6">
        <f t="shared" si="2084"/>
        <v>0</v>
      </c>
      <c r="V194" s="6">
        <f t="shared" si="2084"/>
        <v>0</v>
      </c>
      <c r="W194" s="6">
        <f t="shared" si="2084"/>
        <v>0</v>
      </c>
      <c r="X194" s="6">
        <f t="shared" si="2084"/>
        <v>0</v>
      </c>
      <c r="Y194" s="6">
        <f t="shared" si="2084"/>
        <v>0</v>
      </c>
      <c r="Z194" s="6">
        <f t="shared" si="2084"/>
        <v>0</v>
      </c>
      <c r="AA194" s="6">
        <f t="shared" si="2084"/>
        <v>0</v>
      </c>
      <c r="AB194" s="6">
        <f t="shared" si="2084"/>
        <v>0</v>
      </c>
      <c r="AC194" s="6">
        <f t="shared" si="2084"/>
        <v>0</v>
      </c>
      <c r="AD194" s="6">
        <f t="shared" si="2084"/>
        <v>0</v>
      </c>
      <c r="AE194" s="6">
        <f t="shared" si="2084"/>
        <v>0</v>
      </c>
      <c r="AF194" s="6">
        <f t="shared" si="2084"/>
        <v>0</v>
      </c>
      <c r="AG194" s="6">
        <f t="shared" si="2084"/>
        <v>0</v>
      </c>
      <c r="AH194" s="6">
        <f t="shared" si="2084"/>
        <v>0</v>
      </c>
      <c r="AI194" s="6">
        <f t="shared" si="2084"/>
        <v>0</v>
      </c>
      <c r="AJ194" s="6">
        <f t="shared" si="2084"/>
        <v>0</v>
      </c>
      <c r="AK194" s="6">
        <f t="shared" si="2084"/>
        <v>0</v>
      </c>
      <c r="AL194" s="6">
        <f t="shared" si="2084"/>
        <v>0</v>
      </c>
      <c r="AM194" s="6">
        <f t="shared" si="2084"/>
        <v>0</v>
      </c>
      <c r="AN194" s="6">
        <f t="shared" si="2084"/>
        <v>0</v>
      </c>
      <c r="AO194" s="6">
        <f t="shared" si="2084"/>
        <v>0</v>
      </c>
      <c r="AP194" s="6">
        <f t="shared" si="2084"/>
        <v>0</v>
      </c>
      <c r="AQ194" s="6">
        <f t="shared" si="2084"/>
        <v>0</v>
      </c>
      <c r="AR194" s="6">
        <f t="shared" si="2084"/>
        <v>0</v>
      </c>
      <c r="AS194" s="6">
        <f t="shared" si="2084"/>
        <v>0</v>
      </c>
      <c r="AT194" s="6">
        <f t="shared" si="2084"/>
        <v>0</v>
      </c>
      <c r="AU194" s="6">
        <f t="shared" si="2084"/>
        <v>0</v>
      </c>
      <c r="AV194" s="6">
        <f t="shared" si="2084"/>
        <v>0</v>
      </c>
      <c r="AW194" s="6">
        <f t="shared" si="2084"/>
        <v>0</v>
      </c>
      <c r="AX194" s="6">
        <f t="shared" si="2084"/>
        <v>0</v>
      </c>
      <c r="AY194" s="6">
        <f t="shared" si="2084"/>
        <v>0</v>
      </c>
      <c r="AZ194" s="6">
        <f t="shared" si="2084"/>
        <v>0</v>
      </c>
      <c r="BA194" s="6">
        <f t="shared" si="2084"/>
        <v>-609402408.38261032</v>
      </c>
      <c r="BB194" s="6">
        <f t="shared" si="2084"/>
        <v>0</v>
      </c>
      <c r="BC194" s="6">
        <f t="shared" si="2084"/>
        <v>0</v>
      </c>
      <c r="BD194" s="6">
        <f t="shared" si="2084"/>
        <v>0</v>
      </c>
      <c r="BE194" s="6">
        <f t="shared" si="2084"/>
        <v>0</v>
      </c>
      <c r="BF194" s="6">
        <f t="shared" si="2084"/>
        <v>0</v>
      </c>
      <c r="BG194" s="6">
        <f t="shared" si="2084"/>
        <v>0</v>
      </c>
      <c r="BH194" s="6">
        <f t="shared" si="2084"/>
        <v>0</v>
      </c>
      <c r="BI194" s="6">
        <f t="shared" si="2084"/>
        <v>0</v>
      </c>
      <c r="BJ194" s="6">
        <f t="shared" si="2084"/>
        <v>0</v>
      </c>
      <c r="BK194" s="6">
        <f t="shared" si="2084"/>
        <v>0</v>
      </c>
      <c r="BL194" s="6">
        <f t="shared" si="2084"/>
        <v>0</v>
      </c>
      <c r="BM194" s="6">
        <f t="shared" si="2084"/>
        <v>0</v>
      </c>
      <c r="BN194" s="6">
        <f t="shared" si="2084"/>
        <v>0</v>
      </c>
      <c r="BO194" s="6">
        <f t="shared" si="2084"/>
        <v>0</v>
      </c>
      <c r="BP194" s="6">
        <f t="shared" si="2084"/>
        <v>0</v>
      </c>
      <c r="BQ194" s="6">
        <f t="shared" si="2084"/>
        <v>0</v>
      </c>
      <c r="BR194" s="6">
        <f t="shared" si="2084"/>
        <v>0</v>
      </c>
      <c r="BS194" s="6">
        <f t="shared" ref="BS194:CW194" si="2085">IF(BS$183=Refi_Date,BS30,0)</f>
        <v>0</v>
      </c>
      <c r="BT194" s="6">
        <f t="shared" si="2085"/>
        <v>0</v>
      </c>
      <c r="BU194" s="6">
        <f t="shared" si="2085"/>
        <v>0</v>
      </c>
      <c r="BV194" s="6">
        <f t="shared" si="2085"/>
        <v>0</v>
      </c>
      <c r="BW194" s="6">
        <f t="shared" si="2085"/>
        <v>0</v>
      </c>
      <c r="BX194" s="6">
        <f t="shared" si="2085"/>
        <v>0</v>
      </c>
      <c r="BY194" s="6">
        <f t="shared" si="2085"/>
        <v>0</v>
      </c>
      <c r="BZ194" s="6">
        <f t="shared" si="2085"/>
        <v>0</v>
      </c>
      <c r="CA194" s="6">
        <f t="shared" si="2085"/>
        <v>0</v>
      </c>
      <c r="CB194" s="6">
        <f t="shared" si="2085"/>
        <v>0</v>
      </c>
      <c r="CC194" s="6">
        <f t="shared" si="2085"/>
        <v>0</v>
      </c>
      <c r="CD194" s="6">
        <f t="shared" si="2085"/>
        <v>0</v>
      </c>
      <c r="CE194" s="6">
        <f t="shared" si="2085"/>
        <v>0</v>
      </c>
      <c r="CF194" s="6">
        <f t="shared" si="2085"/>
        <v>0</v>
      </c>
      <c r="CG194" s="6">
        <f t="shared" si="2085"/>
        <v>0</v>
      </c>
      <c r="CH194" s="6">
        <f t="shared" si="2085"/>
        <v>0</v>
      </c>
      <c r="CI194" s="6">
        <f t="shared" si="2085"/>
        <v>0</v>
      </c>
      <c r="CJ194" s="6">
        <f t="shared" si="2085"/>
        <v>0</v>
      </c>
      <c r="CK194" s="6">
        <f t="shared" si="2085"/>
        <v>0</v>
      </c>
      <c r="CL194" s="6">
        <f t="shared" si="2085"/>
        <v>0</v>
      </c>
      <c r="CM194" s="6">
        <f t="shared" si="2085"/>
        <v>0</v>
      </c>
      <c r="CN194" s="6">
        <f t="shared" si="2085"/>
        <v>0</v>
      </c>
      <c r="CO194" s="6">
        <f t="shared" si="2085"/>
        <v>0</v>
      </c>
      <c r="CP194" s="6">
        <f t="shared" si="2085"/>
        <v>0</v>
      </c>
      <c r="CQ194" s="6">
        <f t="shared" si="2085"/>
        <v>0</v>
      </c>
      <c r="CR194" s="6">
        <f t="shared" si="2085"/>
        <v>0</v>
      </c>
      <c r="CS194" s="6">
        <f t="shared" si="2085"/>
        <v>0</v>
      </c>
      <c r="CT194" s="6">
        <f t="shared" si="2085"/>
        <v>0</v>
      </c>
      <c r="CU194" s="6">
        <f t="shared" si="2085"/>
        <v>0</v>
      </c>
      <c r="CV194" s="6">
        <f t="shared" si="2085"/>
        <v>0</v>
      </c>
      <c r="CW194" s="6">
        <f t="shared" si="2085"/>
        <v>0</v>
      </c>
    </row>
    <row r="195" spans="3:101" outlineLevel="1" x14ac:dyDescent="0.25">
      <c r="C195" s="20" t="s">
        <v>77</v>
      </c>
      <c r="D195" s="47" t="s">
        <v>107</v>
      </c>
      <c r="F195" s="6">
        <f t="shared" ref="F195:AK195" si="2086">IF(F183&lt;=Exit_Date,+F175,0)</f>
        <v>0</v>
      </c>
      <c r="G195" s="6">
        <f t="shared" si="2086"/>
        <v>0</v>
      </c>
      <c r="H195" s="6">
        <f t="shared" si="2086"/>
        <v>0</v>
      </c>
      <c r="I195" s="6">
        <f t="shared" si="2086"/>
        <v>0</v>
      </c>
      <c r="J195" s="6">
        <f t="shared" si="2086"/>
        <v>0</v>
      </c>
      <c r="K195" s="6">
        <f t="shared" si="2086"/>
        <v>0</v>
      </c>
      <c r="L195" s="6">
        <f t="shared" si="2086"/>
        <v>0</v>
      </c>
      <c r="M195" s="6">
        <f t="shared" si="2086"/>
        <v>0</v>
      </c>
      <c r="N195" s="6">
        <f t="shared" si="2086"/>
        <v>0</v>
      </c>
      <c r="O195" s="6">
        <f t="shared" si="2086"/>
        <v>0</v>
      </c>
      <c r="P195" s="6">
        <f t="shared" si="2086"/>
        <v>0</v>
      </c>
      <c r="Q195" s="6">
        <f t="shared" si="2086"/>
        <v>0</v>
      </c>
      <c r="R195" s="6">
        <f t="shared" si="2086"/>
        <v>0</v>
      </c>
      <c r="S195" s="6">
        <f t="shared" si="2086"/>
        <v>0</v>
      </c>
      <c r="T195" s="6">
        <f t="shared" si="2086"/>
        <v>0</v>
      </c>
      <c r="U195" s="6">
        <f t="shared" si="2086"/>
        <v>0</v>
      </c>
      <c r="V195" s="6">
        <f t="shared" si="2086"/>
        <v>0</v>
      </c>
      <c r="W195" s="6">
        <f t="shared" si="2086"/>
        <v>0</v>
      </c>
      <c r="X195" s="6">
        <f t="shared" si="2086"/>
        <v>0</v>
      </c>
      <c r="Y195" s="6">
        <f t="shared" si="2086"/>
        <v>0</v>
      </c>
      <c r="Z195" s="6">
        <f t="shared" si="2086"/>
        <v>0</v>
      </c>
      <c r="AA195" s="6">
        <f t="shared" si="2086"/>
        <v>0</v>
      </c>
      <c r="AB195" s="6">
        <f t="shared" si="2086"/>
        <v>0</v>
      </c>
      <c r="AC195" s="6">
        <f t="shared" si="2086"/>
        <v>0</v>
      </c>
      <c r="AD195" s="6">
        <f t="shared" si="2086"/>
        <v>0</v>
      </c>
      <c r="AE195" s="6">
        <f t="shared" si="2086"/>
        <v>0</v>
      </c>
      <c r="AF195" s="6">
        <f t="shared" si="2086"/>
        <v>0</v>
      </c>
      <c r="AG195" s="6">
        <f t="shared" si="2086"/>
        <v>0</v>
      </c>
      <c r="AH195" s="6">
        <f t="shared" si="2086"/>
        <v>0</v>
      </c>
      <c r="AI195" s="6">
        <f t="shared" si="2086"/>
        <v>0</v>
      </c>
      <c r="AJ195" s="6">
        <f t="shared" si="2086"/>
        <v>0</v>
      </c>
      <c r="AK195" s="6">
        <f t="shared" si="2086"/>
        <v>0</v>
      </c>
      <c r="AL195" s="6">
        <f t="shared" ref="AL195:BQ195" si="2087">IF(AL183&lt;=Exit_Date,+AL175,0)</f>
        <v>0</v>
      </c>
      <c r="AM195" s="6">
        <f t="shared" si="2087"/>
        <v>0</v>
      </c>
      <c r="AN195" s="6">
        <f t="shared" si="2087"/>
        <v>0</v>
      </c>
      <c r="AO195" s="6">
        <f t="shared" si="2087"/>
        <v>0</v>
      </c>
      <c r="AP195" s="6">
        <f t="shared" si="2087"/>
        <v>0</v>
      </c>
      <c r="AQ195" s="6">
        <f t="shared" si="2087"/>
        <v>0</v>
      </c>
      <c r="AR195" s="6">
        <f t="shared" si="2087"/>
        <v>0</v>
      </c>
      <c r="AS195" s="6">
        <f t="shared" si="2087"/>
        <v>0</v>
      </c>
      <c r="AT195" s="6">
        <f t="shared" si="2087"/>
        <v>0</v>
      </c>
      <c r="AU195" s="6">
        <f t="shared" si="2087"/>
        <v>0</v>
      </c>
      <c r="AV195" s="6">
        <f t="shared" si="2087"/>
        <v>0</v>
      </c>
      <c r="AW195" s="6">
        <f t="shared" si="2087"/>
        <v>0</v>
      </c>
      <c r="AX195" s="6">
        <f t="shared" si="2087"/>
        <v>0</v>
      </c>
      <c r="AY195" s="6">
        <f t="shared" si="2087"/>
        <v>0</v>
      </c>
      <c r="AZ195" s="6">
        <f t="shared" si="2087"/>
        <v>0</v>
      </c>
      <c r="BA195" s="6">
        <f t="shared" si="2087"/>
        <v>0</v>
      </c>
      <c r="BB195" s="6">
        <f t="shared" si="2087"/>
        <v>-4420811.8889556434</v>
      </c>
      <c r="BC195" s="6">
        <f t="shared" si="2087"/>
        <v>-4423784.4150807997</v>
      </c>
      <c r="BD195" s="6">
        <f t="shared" si="2087"/>
        <v>-4426764.2239402821</v>
      </c>
      <c r="BE195" s="6">
        <f t="shared" si="2087"/>
        <v>-4429751.3348315293</v>
      </c>
      <c r="BF195" s="6">
        <f t="shared" si="2087"/>
        <v>-4432745.7671067128</v>
      </c>
      <c r="BG195" s="6">
        <f t="shared" si="2087"/>
        <v>-4435747.540172915</v>
      </c>
      <c r="BH195" s="6">
        <f t="shared" si="2087"/>
        <v>-1746621.930835864</v>
      </c>
      <c r="BI195" s="6">
        <f t="shared" si="2087"/>
        <v>-1749638.4439257793</v>
      </c>
      <c r="BJ195" s="6">
        <f t="shared" si="2087"/>
        <v>-1752662.3563590213</v>
      </c>
      <c r="BK195" s="6">
        <f t="shared" si="2087"/>
        <v>260510.52409639768</v>
      </c>
      <c r="BL195" s="6">
        <f t="shared" si="2087"/>
        <v>-1588427.3695743023</v>
      </c>
      <c r="BM195" s="6">
        <f t="shared" si="2087"/>
        <v>254425.52557937941</v>
      </c>
      <c r="BN195" s="6">
        <f t="shared" si="2087"/>
        <v>357115.8026597132</v>
      </c>
      <c r="BO195" s="6">
        <f t="shared" si="2087"/>
        <v>353860.19695820985</v>
      </c>
      <c r="BP195" s="6">
        <f t="shared" si="2087"/>
        <v>350596.31281394279</v>
      </c>
      <c r="BQ195" s="6">
        <f t="shared" si="2087"/>
        <v>347324.12802694738</v>
      </c>
      <c r="BR195" s="6">
        <f t="shared" ref="BR195:CW195" si="2088">IF(BR183&lt;=Exit_Date,+BR175,0)</f>
        <v>344043.6203346923</v>
      </c>
      <c r="BS195" s="6">
        <f t="shared" si="2088"/>
        <v>340754.76741187461</v>
      </c>
      <c r="BT195" s="6">
        <f t="shared" si="2088"/>
        <v>337457.54687023768</v>
      </c>
      <c r="BU195" s="6">
        <f t="shared" si="2088"/>
        <v>334151.93625840172</v>
      </c>
      <c r="BV195" s="6">
        <f t="shared" si="2088"/>
        <v>330837.91306165652</v>
      </c>
      <c r="BW195" s="6">
        <f t="shared" si="2088"/>
        <v>327515.45470179198</v>
      </c>
      <c r="BX195" s="6">
        <f t="shared" si="2088"/>
        <v>324184.53853690112</v>
      </c>
      <c r="BY195" s="6">
        <f t="shared" si="2088"/>
        <v>320845.14186119335</v>
      </c>
      <c r="BZ195" s="6">
        <f t="shared" si="2088"/>
        <v>425818.46497716801</v>
      </c>
      <c r="CA195" s="6">
        <f t="shared" si="2088"/>
        <v>0</v>
      </c>
      <c r="CB195" s="6">
        <f t="shared" si="2088"/>
        <v>0</v>
      </c>
      <c r="CC195" s="6">
        <f t="shared" si="2088"/>
        <v>0</v>
      </c>
      <c r="CD195" s="6">
        <f t="shared" si="2088"/>
        <v>0</v>
      </c>
      <c r="CE195" s="6">
        <f t="shared" si="2088"/>
        <v>0</v>
      </c>
      <c r="CF195" s="6">
        <f t="shared" si="2088"/>
        <v>0</v>
      </c>
      <c r="CG195" s="6">
        <f t="shared" si="2088"/>
        <v>0</v>
      </c>
      <c r="CH195" s="6">
        <f t="shared" si="2088"/>
        <v>0</v>
      </c>
      <c r="CI195" s="6">
        <f t="shared" si="2088"/>
        <v>0</v>
      </c>
      <c r="CJ195" s="6">
        <f t="shared" si="2088"/>
        <v>0</v>
      </c>
      <c r="CK195" s="6">
        <f t="shared" si="2088"/>
        <v>0</v>
      </c>
      <c r="CL195" s="6">
        <f t="shared" si="2088"/>
        <v>0</v>
      </c>
      <c r="CM195" s="6">
        <f t="shared" si="2088"/>
        <v>0</v>
      </c>
      <c r="CN195" s="6">
        <f t="shared" si="2088"/>
        <v>0</v>
      </c>
      <c r="CO195" s="6">
        <f t="shared" si="2088"/>
        <v>0</v>
      </c>
      <c r="CP195" s="6">
        <f t="shared" si="2088"/>
        <v>0</v>
      </c>
      <c r="CQ195" s="6">
        <f t="shared" si="2088"/>
        <v>0</v>
      </c>
      <c r="CR195" s="6">
        <f t="shared" si="2088"/>
        <v>0</v>
      </c>
      <c r="CS195" s="6">
        <f t="shared" si="2088"/>
        <v>0</v>
      </c>
      <c r="CT195" s="6">
        <f t="shared" si="2088"/>
        <v>0</v>
      </c>
      <c r="CU195" s="6">
        <f t="shared" si="2088"/>
        <v>0</v>
      </c>
      <c r="CV195" s="6">
        <f t="shared" si="2088"/>
        <v>0</v>
      </c>
      <c r="CW195" s="6">
        <f t="shared" si="2088"/>
        <v>0</v>
      </c>
    </row>
    <row r="196" spans="3:101" outlineLevel="1" x14ac:dyDescent="0.25">
      <c r="C196" s="20" t="s">
        <v>29</v>
      </c>
      <c r="D196" s="47" t="s">
        <v>107</v>
      </c>
      <c r="F196" s="6">
        <f t="shared" ref="F196:AK196" si="2089">IF(F183=Exit_Date,+F187,0)</f>
        <v>0</v>
      </c>
      <c r="G196" s="6">
        <f t="shared" si="2089"/>
        <v>0</v>
      </c>
      <c r="H196" s="6">
        <f t="shared" si="2089"/>
        <v>0</v>
      </c>
      <c r="I196" s="6">
        <f t="shared" si="2089"/>
        <v>0</v>
      </c>
      <c r="J196" s="6">
        <f t="shared" si="2089"/>
        <v>0</v>
      </c>
      <c r="K196" s="6">
        <f t="shared" si="2089"/>
        <v>0</v>
      </c>
      <c r="L196" s="6">
        <f t="shared" si="2089"/>
        <v>0</v>
      </c>
      <c r="M196" s="6">
        <f t="shared" si="2089"/>
        <v>0</v>
      </c>
      <c r="N196" s="6">
        <f t="shared" si="2089"/>
        <v>0</v>
      </c>
      <c r="O196" s="6">
        <f t="shared" si="2089"/>
        <v>0</v>
      </c>
      <c r="P196" s="6">
        <f t="shared" si="2089"/>
        <v>0</v>
      </c>
      <c r="Q196" s="6">
        <f t="shared" si="2089"/>
        <v>0</v>
      </c>
      <c r="R196" s="6">
        <f t="shared" si="2089"/>
        <v>0</v>
      </c>
      <c r="S196" s="6">
        <f t="shared" si="2089"/>
        <v>0</v>
      </c>
      <c r="T196" s="6">
        <f t="shared" si="2089"/>
        <v>0</v>
      </c>
      <c r="U196" s="6">
        <f t="shared" si="2089"/>
        <v>0</v>
      </c>
      <c r="V196" s="6">
        <f t="shared" si="2089"/>
        <v>0</v>
      </c>
      <c r="W196" s="6">
        <f t="shared" si="2089"/>
        <v>0</v>
      </c>
      <c r="X196" s="6">
        <f t="shared" si="2089"/>
        <v>0</v>
      </c>
      <c r="Y196" s="6">
        <f t="shared" si="2089"/>
        <v>0</v>
      </c>
      <c r="Z196" s="6">
        <f t="shared" si="2089"/>
        <v>0</v>
      </c>
      <c r="AA196" s="6">
        <f t="shared" si="2089"/>
        <v>0</v>
      </c>
      <c r="AB196" s="6">
        <f t="shared" si="2089"/>
        <v>0</v>
      </c>
      <c r="AC196" s="6">
        <f t="shared" si="2089"/>
        <v>0</v>
      </c>
      <c r="AD196" s="6">
        <f t="shared" si="2089"/>
        <v>0</v>
      </c>
      <c r="AE196" s="6">
        <f t="shared" si="2089"/>
        <v>0</v>
      </c>
      <c r="AF196" s="6">
        <f t="shared" si="2089"/>
        <v>0</v>
      </c>
      <c r="AG196" s="6">
        <f t="shared" si="2089"/>
        <v>0</v>
      </c>
      <c r="AH196" s="6">
        <f t="shared" si="2089"/>
        <v>0</v>
      </c>
      <c r="AI196" s="6">
        <f t="shared" si="2089"/>
        <v>0</v>
      </c>
      <c r="AJ196" s="6">
        <f t="shared" si="2089"/>
        <v>0</v>
      </c>
      <c r="AK196" s="6">
        <f t="shared" si="2089"/>
        <v>0</v>
      </c>
      <c r="AL196" s="6">
        <f t="shared" ref="AL196:BQ196" si="2090">IF(AL183=Exit_Date,+AL187,0)</f>
        <v>0</v>
      </c>
      <c r="AM196" s="6">
        <f t="shared" si="2090"/>
        <v>0</v>
      </c>
      <c r="AN196" s="6">
        <f t="shared" si="2090"/>
        <v>0</v>
      </c>
      <c r="AO196" s="6">
        <f t="shared" si="2090"/>
        <v>0</v>
      </c>
      <c r="AP196" s="6">
        <f t="shared" si="2090"/>
        <v>0</v>
      </c>
      <c r="AQ196" s="6">
        <f t="shared" si="2090"/>
        <v>0</v>
      </c>
      <c r="AR196" s="6">
        <f t="shared" si="2090"/>
        <v>0</v>
      </c>
      <c r="AS196" s="6">
        <f t="shared" si="2090"/>
        <v>0</v>
      </c>
      <c r="AT196" s="6">
        <f t="shared" si="2090"/>
        <v>0</v>
      </c>
      <c r="AU196" s="6">
        <f t="shared" si="2090"/>
        <v>0</v>
      </c>
      <c r="AV196" s="6">
        <f t="shared" si="2090"/>
        <v>0</v>
      </c>
      <c r="AW196" s="6">
        <f t="shared" si="2090"/>
        <v>0</v>
      </c>
      <c r="AX196" s="6">
        <f t="shared" si="2090"/>
        <v>0</v>
      </c>
      <c r="AY196" s="6">
        <f t="shared" si="2090"/>
        <v>0</v>
      </c>
      <c r="AZ196" s="6">
        <f t="shared" si="2090"/>
        <v>0</v>
      </c>
      <c r="BA196" s="6">
        <f t="shared" si="2090"/>
        <v>0</v>
      </c>
      <c r="BB196" s="6">
        <f t="shared" si="2090"/>
        <v>0</v>
      </c>
      <c r="BC196" s="6">
        <f t="shared" si="2090"/>
        <v>0</v>
      </c>
      <c r="BD196" s="6">
        <f t="shared" si="2090"/>
        <v>0</v>
      </c>
      <c r="BE196" s="6">
        <f t="shared" si="2090"/>
        <v>0</v>
      </c>
      <c r="BF196" s="6">
        <f t="shared" si="2090"/>
        <v>0</v>
      </c>
      <c r="BG196" s="6">
        <f t="shared" si="2090"/>
        <v>0</v>
      </c>
      <c r="BH196" s="6">
        <f t="shared" si="2090"/>
        <v>0</v>
      </c>
      <c r="BI196" s="6">
        <f t="shared" si="2090"/>
        <v>0</v>
      </c>
      <c r="BJ196" s="6">
        <f t="shared" si="2090"/>
        <v>0</v>
      </c>
      <c r="BK196" s="6">
        <f t="shared" si="2090"/>
        <v>0</v>
      </c>
      <c r="BL196" s="6">
        <f t="shared" si="2090"/>
        <v>0</v>
      </c>
      <c r="BM196" s="6">
        <f t="shared" si="2090"/>
        <v>0</v>
      </c>
      <c r="BN196" s="6">
        <f t="shared" si="2090"/>
        <v>0</v>
      </c>
      <c r="BO196" s="6">
        <f t="shared" si="2090"/>
        <v>0</v>
      </c>
      <c r="BP196" s="6">
        <f t="shared" si="2090"/>
        <v>0</v>
      </c>
      <c r="BQ196" s="6">
        <f t="shared" si="2090"/>
        <v>0</v>
      </c>
      <c r="BR196" s="6">
        <f t="shared" ref="BR196:CW196" si="2091">IF(BR183=Exit_Date,+BR187,0)</f>
        <v>0</v>
      </c>
      <c r="BS196" s="6">
        <f t="shared" si="2091"/>
        <v>0</v>
      </c>
      <c r="BT196" s="6">
        <f t="shared" si="2091"/>
        <v>0</v>
      </c>
      <c r="BU196" s="6">
        <f t="shared" si="2091"/>
        <v>0</v>
      </c>
      <c r="BV196" s="6">
        <f t="shared" si="2091"/>
        <v>0</v>
      </c>
      <c r="BW196" s="6">
        <f t="shared" si="2091"/>
        <v>0</v>
      </c>
      <c r="BX196" s="6">
        <f t="shared" si="2091"/>
        <v>0</v>
      </c>
      <c r="BY196" s="6">
        <f t="shared" si="2091"/>
        <v>0</v>
      </c>
      <c r="BZ196" s="6">
        <f t="shared" si="2091"/>
        <v>1630286562.4189317</v>
      </c>
      <c r="CA196" s="6">
        <f t="shared" si="2091"/>
        <v>0</v>
      </c>
      <c r="CB196" s="6">
        <f t="shared" si="2091"/>
        <v>0</v>
      </c>
      <c r="CC196" s="6">
        <f t="shared" si="2091"/>
        <v>0</v>
      </c>
      <c r="CD196" s="6">
        <f t="shared" si="2091"/>
        <v>0</v>
      </c>
      <c r="CE196" s="6">
        <f t="shared" si="2091"/>
        <v>0</v>
      </c>
      <c r="CF196" s="6">
        <f t="shared" si="2091"/>
        <v>0</v>
      </c>
      <c r="CG196" s="6">
        <f t="shared" si="2091"/>
        <v>0</v>
      </c>
      <c r="CH196" s="6">
        <f t="shared" si="2091"/>
        <v>0</v>
      </c>
      <c r="CI196" s="6">
        <f t="shared" si="2091"/>
        <v>0</v>
      </c>
      <c r="CJ196" s="6">
        <f t="shared" si="2091"/>
        <v>0</v>
      </c>
      <c r="CK196" s="6">
        <f t="shared" si="2091"/>
        <v>0</v>
      </c>
      <c r="CL196" s="6">
        <f t="shared" si="2091"/>
        <v>0</v>
      </c>
      <c r="CM196" s="6">
        <f t="shared" si="2091"/>
        <v>0</v>
      </c>
      <c r="CN196" s="6">
        <f t="shared" si="2091"/>
        <v>0</v>
      </c>
      <c r="CO196" s="6">
        <f t="shared" si="2091"/>
        <v>0</v>
      </c>
      <c r="CP196" s="6">
        <f t="shared" si="2091"/>
        <v>0</v>
      </c>
      <c r="CQ196" s="6">
        <f t="shared" si="2091"/>
        <v>0</v>
      </c>
      <c r="CR196" s="6">
        <f t="shared" si="2091"/>
        <v>0</v>
      </c>
      <c r="CS196" s="6">
        <f t="shared" si="2091"/>
        <v>0</v>
      </c>
      <c r="CT196" s="6">
        <f t="shared" si="2091"/>
        <v>0</v>
      </c>
      <c r="CU196" s="6">
        <f t="shared" si="2091"/>
        <v>0</v>
      </c>
      <c r="CV196" s="6">
        <f t="shared" si="2091"/>
        <v>0</v>
      </c>
      <c r="CW196" s="6">
        <f t="shared" si="2091"/>
        <v>0</v>
      </c>
    </row>
    <row r="197" spans="3:101" outlineLevel="1" x14ac:dyDescent="0.25">
      <c r="C197" s="20" t="s">
        <v>78</v>
      </c>
      <c r="D197" s="47" t="s">
        <v>107</v>
      </c>
      <c r="F197" s="6">
        <f t="shared" ref="F197:AK197" si="2092">-F196*Exit_Fee_Pct</f>
        <v>0</v>
      </c>
      <c r="G197" s="6">
        <f t="shared" si="2092"/>
        <v>0</v>
      </c>
      <c r="H197" s="6">
        <f t="shared" si="2092"/>
        <v>0</v>
      </c>
      <c r="I197" s="6">
        <f t="shared" si="2092"/>
        <v>0</v>
      </c>
      <c r="J197" s="6">
        <f t="shared" si="2092"/>
        <v>0</v>
      </c>
      <c r="K197" s="6">
        <f t="shared" si="2092"/>
        <v>0</v>
      </c>
      <c r="L197" s="6">
        <f t="shared" si="2092"/>
        <v>0</v>
      </c>
      <c r="M197" s="6">
        <f t="shared" si="2092"/>
        <v>0</v>
      </c>
      <c r="N197" s="6">
        <f t="shared" si="2092"/>
        <v>0</v>
      </c>
      <c r="O197" s="6">
        <f t="shared" si="2092"/>
        <v>0</v>
      </c>
      <c r="P197" s="6">
        <f t="shared" si="2092"/>
        <v>0</v>
      </c>
      <c r="Q197" s="6">
        <f t="shared" si="2092"/>
        <v>0</v>
      </c>
      <c r="R197" s="6">
        <f t="shared" si="2092"/>
        <v>0</v>
      </c>
      <c r="S197" s="6">
        <f t="shared" si="2092"/>
        <v>0</v>
      </c>
      <c r="T197" s="6">
        <f t="shared" si="2092"/>
        <v>0</v>
      </c>
      <c r="U197" s="6">
        <f t="shared" si="2092"/>
        <v>0</v>
      </c>
      <c r="V197" s="6">
        <f t="shared" si="2092"/>
        <v>0</v>
      </c>
      <c r="W197" s="6">
        <f t="shared" si="2092"/>
        <v>0</v>
      </c>
      <c r="X197" s="6">
        <f t="shared" si="2092"/>
        <v>0</v>
      </c>
      <c r="Y197" s="6">
        <f t="shared" si="2092"/>
        <v>0</v>
      </c>
      <c r="Z197" s="6">
        <f t="shared" si="2092"/>
        <v>0</v>
      </c>
      <c r="AA197" s="6">
        <f t="shared" si="2092"/>
        <v>0</v>
      </c>
      <c r="AB197" s="6">
        <f t="shared" si="2092"/>
        <v>0</v>
      </c>
      <c r="AC197" s="6">
        <f t="shared" si="2092"/>
        <v>0</v>
      </c>
      <c r="AD197" s="6">
        <f t="shared" si="2092"/>
        <v>0</v>
      </c>
      <c r="AE197" s="6">
        <f t="shared" si="2092"/>
        <v>0</v>
      </c>
      <c r="AF197" s="6">
        <f t="shared" si="2092"/>
        <v>0</v>
      </c>
      <c r="AG197" s="6">
        <f t="shared" si="2092"/>
        <v>0</v>
      </c>
      <c r="AH197" s="6">
        <f t="shared" si="2092"/>
        <v>0</v>
      </c>
      <c r="AI197" s="6">
        <f t="shared" si="2092"/>
        <v>0</v>
      </c>
      <c r="AJ197" s="6">
        <f t="shared" si="2092"/>
        <v>0</v>
      </c>
      <c r="AK197" s="6">
        <f t="shared" si="2092"/>
        <v>0</v>
      </c>
      <c r="AL197" s="6">
        <f t="shared" ref="AL197:BQ197" si="2093">-AL196*Exit_Fee_Pct</f>
        <v>0</v>
      </c>
      <c r="AM197" s="6">
        <f t="shared" si="2093"/>
        <v>0</v>
      </c>
      <c r="AN197" s="6">
        <f t="shared" si="2093"/>
        <v>0</v>
      </c>
      <c r="AO197" s="6">
        <f t="shared" si="2093"/>
        <v>0</v>
      </c>
      <c r="AP197" s="6">
        <f t="shared" si="2093"/>
        <v>0</v>
      </c>
      <c r="AQ197" s="6">
        <f t="shared" si="2093"/>
        <v>0</v>
      </c>
      <c r="AR197" s="6">
        <f t="shared" si="2093"/>
        <v>0</v>
      </c>
      <c r="AS197" s="6">
        <f t="shared" si="2093"/>
        <v>0</v>
      </c>
      <c r="AT197" s="6">
        <f t="shared" si="2093"/>
        <v>0</v>
      </c>
      <c r="AU197" s="6">
        <f t="shared" si="2093"/>
        <v>0</v>
      </c>
      <c r="AV197" s="6">
        <f t="shared" si="2093"/>
        <v>0</v>
      </c>
      <c r="AW197" s="6">
        <f t="shared" si="2093"/>
        <v>0</v>
      </c>
      <c r="AX197" s="6">
        <f t="shared" si="2093"/>
        <v>0</v>
      </c>
      <c r="AY197" s="6">
        <f t="shared" si="2093"/>
        <v>0</v>
      </c>
      <c r="AZ197" s="6">
        <f t="shared" si="2093"/>
        <v>0</v>
      </c>
      <c r="BA197" s="6">
        <f t="shared" si="2093"/>
        <v>0</v>
      </c>
      <c r="BB197" s="6">
        <f t="shared" si="2093"/>
        <v>0</v>
      </c>
      <c r="BC197" s="6">
        <f t="shared" si="2093"/>
        <v>0</v>
      </c>
      <c r="BD197" s="6">
        <f t="shared" si="2093"/>
        <v>0</v>
      </c>
      <c r="BE197" s="6">
        <f t="shared" si="2093"/>
        <v>0</v>
      </c>
      <c r="BF197" s="6">
        <f t="shared" si="2093"/>
        <v>0</v>
      </c>
      <c r="BG197" s="6">
        <f t="shared" si="2093"/>
        <v>0</v>
      </c>
      <c r="BH197" s="6">
        <f t="shared" si="2093"/>
        <v>0</v>
      </c>
      <c r="BI197" s="6">
        <f t="shared" si="2093"/>
        <v>0</v>
      </c>
      <c r="BJ197" s="6">
        <f t="shared" si="2093"/>
        <v>0</v>
      </c>
      <c r="BK197" s="6">
        <f t="shared" si="2093"/>
        <v>0</v>
      </c>
      <c r="BL197" s="6">
        <f t="shared" si="2093"/>
        <v>0</v>
      </c>
      <c r="BM197" s="6">
        <f t="shared" si="2093"/>
        <v>0</v>
      </c>
      <c r="BN197" s="6">
        <f t="shared" si="2093"/>
        <v>0</v>
      </c>
      <c r="BO197" s="6">
        <f t="shared" si="2093"/>
        <v>0</v>
      </c>
      <c r="BP197" s="6">
        <f t="shared" si="2093"/>
        <v>0</v>
      </c>
      <c r="BQ197" s="6">
        <f t="shared" si="2093"/>
        <v>0</v>
      </c>
      <c r="BR197" s="6">
        <f t="shared" ref="BR197:CW197" si="2094">-BR196*Exit_Fee_Pct</f>
        <v>0</v>
      </c>
      <c r="BS197" s="6">
        <f t="shared" si="2094"/>
        <v>0</v>
      </c>
      <c r="BT197" s="6">
        <f t="shared" si="2094"/>
        <v>0</v>
      </c>
      <c r="BU197" s="6">
        <f t="shared" si="2094"/>
        <v>0</v>
      </c>
      <c r="BV197" s="6">
        <f t="shared" si="2094"/>
        <v>0</v>
      </c>
      <c r="BW197" s="6">
        <f t="shared" si="2094"/>
        <v>0</v>
      </c>
      <c r="BX197" s="6">
        <f t="shared" si="2094"/>
        <v>0</v>
      </c>
      <c r="BY197" s="6">
        <f t="shared" si="2094"/>
        <v>0</v>
      </c>
      <c r="BZ197" s="6">
        <f t="shared" si="2094"/>
        <v>-24454298.436283976</v>
      </c>
      <c r="CA197" s="6">
        <f t="shared" si="2094"/>
        <v>0</v>
      </c>
      <c r="CB197" s="6">
        <f t="shared" si="2094"/>
        <v>0</v>
      </c>
      <c r="CC197" s="6">
        <f t="shared" si="2094"/>
        <v>0</v>
      </c>
      <c r="CD197" s="6">
        <f t="shared" si="2094"/>
        <v>0</v>
      </c>
      <c r="CE197" s="6">
        <f t="shared" si="2094"/>
        <v>0</v>
      </c>
      <c r="CF197" s="6">
        <f t="shared" si="2094"/>
        <v>0</v>
      </c>
      <c r="CG197" s="6">
        <f t="shared" si="2094"/>
        <v>0</v>
      </c>
      <c r="CH197" s="6">
        <f t="shared" si="2094"/>
        <v>0</v>
      </c>
      <c r="CI197" s="6">
        <f t="shared" si="2094"/>
        <v>0</v>
      </c>
      <c r="CJ197" s="6">
        <f t="shared" si="2094"/>
        <v>0</v>
      </c>
      <c r="CK197" s="6">
        <f t="shared" si="2094"/>
        <v>0</v>
      </c>
      <c r="CL197" s="6">
        <f t="shared" si="2094"/>
        <v>0</v>
      </c>
      <c r="CM197" s="6">
        <f t="shared" si="2094"/>
        <v>0</v>
      </c>
      <c r="CN197" s="6">
        <f t="shared" si="2094"/>
        <v>0</v>
      </c>
      <c r="CO197" s="6">
        <f t="shared" si="2094"/>
        <v>0</v>
      </c>
      <c r="CP197" s="6">
        <f t="shared" si="2094"/>
        <v>0</v>
      </c>
      <c r="CQ197" s="6">
        <f t="shared" si="2094"/>
        <v>0</v>
      </c>
      <c r="CR197" s="6">
        <f t="shared" si="2094"/>
        <v>0</v>
      </c>
      <c r="CS197" s="6">
        <f t="shared" si="2094"/>
        <v>0</v>
      </c>
      <c r="CT197" s="6">
        <f t="shared" si="2094"/>
        <v>0</v>
      </c>
      <c r="CU197" s="6">
        <f t="shared" si="2094"/>
        <v>0</v>
      </c>
      <c r="CV197" s="6">
        <f t="shared" si="2094"/>
        <v>0</v>
      </c>
      <c r="CW197" s="6">
        <f t="shared" si="2094"/>
        <v>0</v>
      </c>
    </row>
    <row r="198" spans="3:101" outlineLevel="1" x14ac:dyDescent="0.25">
      <c r="C198" s="20" t="s">
        <v>245</v>
      </c>
      <c r="D198" s="47" t="s">
        <v>107</v>
      </c>
      <c r="F198" s="6">
        <f t="shared" ref="F198:AK198" si="2095">IF(F183=Exit_Date,+F143,0)</f>
        <v>0</v>
      </c>
      <c r="G198" s="6">
        <f t="shared" si="2095"/>
        <v>0</v>
      </c>
      <c r="H198" s="6">
        <f t="shared" si="2095"/>
        <v>0</v>
      </c>
      <c r="I198" s="6">
        <f t="shared" si="2095"/>
        <v>0</v>
      </c>
      <c r="J198" s="6">
        <f t="shared" si="2095"/>
        <v>0</v>
      </c>
      <c r="K198" s="6">
        <f t="shared" si="2095"/>
        <v>0</v>
      </c>
      <c r="L198" s="6">
        <f t="shared" si="2095"/>
        <v>0</v>
      </c>
      <c r="M198" s="6">
        <f t="shared" si="2095"/>
        <v>0</v>
      </c>
      <c r="N198" s="6">
        <f t="shared" si="2095"/>
        <v>0</v>
      </c>
      <c r="O198" s="6">
        <f t="shared" si="2095"/>
        <v>0</v>
      </c>
      <c r="P198" s="6">
        <f t="shared" si="2095"/>
        <v>0</v>
      </c>
      <c r="Q198" s="6">
        <f t="shared" si="2095"/>
        <v>0</v>
      </c>
      <c r="R198" s="6">
        <f t="shared" si="2095"/>
        <v>0</v>
      </c>
      <c r="S198" s="6">
        <f t="shared" si="2095"/>
        <v>0</v>
      </c>
      <c r="T198" s="6">
        <f t="shared" si="2095"/>
        <v>0</v>
      </c>
      <c r="U198" s="6">
        <f t="shared" si="2095"/>
        <v>0</v>
      </c>
      <c r="V198" s="6">
        <f t="shared" si="2095"/>
        <v>0</v>
      </c>
      <c r="W198" s="6">
        <f t="shared" si="2095"/>
        <v>0</v>
      </c>
      <c r="X198" s="6">
        <f t="shared" si="2095"/>
        <v>0</v>
      </c>
      <c r="Y198" s="6">
        <f t="shared" si="2095"/>
        <v>0</v>
      </c>
      <c r="Z198" s="6">
        <f t="shared" si="2095"/>
        <v>0</v>
      </c>
      <c r="AA198" s="6">
        <f t="shared" si="2095"/>
        <v>0</v>
      </c>
      <c r="AB198" s="6">
        <f t="shared" si="2095"/>
        <v>0</v>
      </c>
      <c r="AC198" s="6">
        <f t="shared" si="2095"/>
        <v>0</v>
      </c>
      <c r="AD198" s="6">
        <f t="shared" si="2095"/>
        <v>0</v>
      </c>
      <c r="AE198" s="6">
        <f t="shared" si="2095"/>
        <v>0</v>
      </c>
      <c r="AF198" s="6">
        <f t="shared" si="2095"/>
        <v>0</v>
      </c>
      <c r="AG198" s="6">
        <f t="shared" si="2095"/>
        <v>0</v>
      </c>
      <c r="AH198" s="6">
        <f t="shared" si="2095"/>
        <v>0</v>
      </c>
      <c r="AI198" s="6">
        <f t="shared" si="2095"/>
        <v>0</v>
      </c>
      <c r="AJ198" s="6">
        <f t="shared" si="2095"/>
        <v>0</v>
      </c>
      <c r="AK198" s="6">
        <f t="shared" si="2095"/>
        <v>0</v>
      </c>
      <c r="AL198" s="6">
        <f t="shared" ref="AL198:BQ198" si="2096">IF(AL183=Exit_Date,+AL143,0)</f>
        <v>0</v>
      </c>
      <c r="AM198" s="6">
        <f t="shared" si="2096"/>
        <v>0</v>
      </c>
      <c r="AN198" s="6">
        <f t="shared" si="2096"/>
        <v>0</v>
      </c>
      <c r="AO198" s="6">
        <f t="shared" si="2096"/>
        <v>0</v>
      </c>
      <c r="AP198" s="6">
        <f t="shared" si="2096"/>
        <v>0</v>
      </c>
      <c r="AQ198" s="6">
        <f t="shared" si="2096"/>
        <v>0</v>
      </c>
      <c r="AR198" s="6">
        <f t="shared" si="2096"/>
        <v>0</v>
      </c>
      <c r="AS198" s="6">
        <f t="shared" si="2096"/>
        <v>0</v>
      </c>
      <c r="AT198" s="6">
        <f t="shared" si="2096"/>
        <v>0</v>
      </c>
      <c r="AU198" s="6">
        <f t="shared" si="2096"/>
        <v>0</v>
      </c>
      <c r="AV198" s="6">
        <f t="shared" si="2096"/>
        <v>0</v>
      </c>
      <c r="AW198" s="6">
        <f t="shared" si="2096"/>
        <v>0</v>
      </c>
      <c r="AX198" s="6">
        <f t="shared" si="2096"/>
        <v>0</v>
      </c>
      <c r="AY198" s="6">
        <f t="shared" si="2096"/>
        <v>0</v>
      </c>
      <c r="AZ198" s="6">
        <f t="shared" si="2096"/>
        <v>0</v>
      </c>
      <c r="BA198" s="6">
        <f t="shared" si="2096"/>
        <v>0</v>
      </c>
      <c r="BB198" s="6">
        <f t="shared" si="2096"/>
        <v>0</v>
      </c>
      <c r="BC198" s="6">
        <f t="shared" si="2096"/>
        <v>0</v>
      </c>
      <c r="BD198" s="6">
        <f t="shared" si="2096"/>
        <v>0</v>
      </c>
      <c r="BE198" s="6">
        <f t="shared" si="2096"/>
        <v>0</v>
      </c>
      <c r="BF198" s="6">
        <f t="shared" si="2096"/>
        <v>0</v>
      </c>
      <c r="BG198" s="6">
        <f t="shared" si="2096"/>
        <v>0</v>
      </c>
      <c r="BH198" s="6">
        <f t="shared" si="2096"/>
        <v>0</v>
      </c>
      <c r="BI198" s="6">
        <f t="shared" si="2096"/>
        <v>0</v>
      </c>
      <c r="BJ198" s="6">
        <f t="shared" si="2096"/>
        <v>0</v>
      </c>
      <c r="BK198" s="6">
        <f t="shared" si="2096"/>
        <v>0</v>
      </c>
      <c r="BL198" s="6">
        <f t="shared" si="2096"/>
        <v>0</v>
      </c>
      <c r="BM198" s="6">
        <f t="shared" si="2096"/>
        <v>0</v>
      </c>
      <c r="BN198" s="6">
        <f t="shared" si="2096"/>
        <v>0</v>
      </c>
      <c r="BO198" s="6">
        <f t="shared" si="2096"/>
        <v>0</v>
      </c>
      <c r="BP198" s="6">
        <f t="shared" si="2096"/>
        <v>0</v>
      </c>
      <c r="BQ198" s="6">
        <f t="shared" si="2096"/>
        <v>0</v>
      </c>
      <c r="BR198" s="6">
        <f t="shared" ref="BR198:CW198" si="2097">IF(BR183=Exit_Date,+BR143,0)</f>
        <v>0</v>
      </c>
      <c r="BS198" s="6">
        <f t="shared" si="2097"/>
        <v>0</v>
      </c>
      <c r="BT198" s="6">
        <f t="shared" si="2097"/>
        <v>0</v>
      </c>
      <c r="BU198" s="6">
        <f t="shared" si="2097"/>
        <v>0</v>
      </c>
      <c r="BV198" s="6">
        <f t="shared" si="2097"/>
        <v>0</v>
      </c>
      <c r="BW198" s="6">
        <f t="shared" si="2097"/>
        <v>0</v>
      </c>
      <c r="BX198" s="6">
        <f t="shared" si="2097"/>
        <v>0</v>
      </c>
      <c r="BY198" s="6">
        <f t="shared" si="2097"/>
        <v>0</v>
      </c>
      <c r="BZ198" s="6">
        <f t="shared" si="2097"/>
        <v>2196104.9621121241</v>
      </c>
      <c r="CA198" s="6">
        <f t="shared" si="2097"/>
        <v>0</v>
      </c>
      <c r="CB198" s="6">
        <f t="shared" si="2097"/>
        <v>0</v>
      </c>
      <c r="CC198" s="6">
        <f t="shared" si="2097"/>
        <v>0</v>
      </c>
      <c r="CD198" s="6">
        <f t="shared" si="2097"/>
        <v>0</v>
      </c>
      <c r="CE198" s="6">
        <f t="shared" si="2097"/>
        <v>0</v>
      </c>
      <c r="CF198" s="6">
        <f t="shared" si="2097"/>
        <v>0</v>
      </c>
      <c r="CG198" s="6">
        <f t="shared" si="2097"/>
        <v>0</v>
      </c>
      <c r="CH198" s="6">
        <f t="shared" si="2097"/>
        <v>0</v>
      </c>
      <c r="CI198" s="6">
        <f t="shared" si="2097"/>
        <v>0</v>
      </c>
      <c r="CJ198" s="6">
        <f t="shared" si="2097"/>
        <v>0</v>
      </c>
      <c r="CK198" s="6">
        <f t="shared" si="2097"/>
        <v>0</v>
      </c>
      <c r="CL198" s="6">
        <f t="shared" si="2097"/>
        <v>0</v>
      </c>
      <c r="CM198" s="6">
        <f t="shared" si="2097"/>
        <v>0</v>
      </c>
      <c r="CN198" s="6">
        <f t="shared" si="2097"/>
        <v>0</v>
      </c>
      <c r="CO198" s="6">
        <f t="shared" si="2097"/>
        <v>0</v>
      </c>
      <c r="CP198" s="6">
        <f t="shared" si="2097"/>
        <v>0</v>
      </c>
      <c r="CQ198" s="6">
        <f t="shared" si="2097"/>
        <v>0</v>
      </c>
      <c r="CR198" s="6">
        <f t="shared" si="2097"/>
        <v>0</v>
      </c>
      <c r="CS198" s="6">
        <f t="shared" si="2097"/>
        <v>0</v>
      </c>
      <c r="CT198" s="6">
        <f t="shared" si="2097"/>
        <v>0</v>
      </c>
      <c r="CU198" s="6">
        <f t="shared" si="2097"/>
        <v>0</v>
      </c>
      <c r="CV198" s="6">
        <f t="shared" si="2097"/>
        <v>0</v>
      </c>
      <c r="CW198" s="6">
        <f t="shared" si="2097"/>
        <v>0</v>
      </c>
    </row>
    <row r="199" spans="3:101" outlineLevel="1" x14ac:dyDescent="0.25">
      <c r="C199" s="20" t="s">
        <v>175</v>
      </c>
      <c r="D199" s="47" t="s">
        <v>107</v>
      </c>
      <c r="F199" s="6">
        <f t="shared" ref="F199:AK199" si="2098">IF(F183=Exit_Date,-F179,0)</f>
        <v>0</v>
      </c>
      <c r="G199" s="6">
        <f t="shared" si="2098"/>
        <v>0</v>
      </c>
      <c r="H199" s="6">
        <f t="shared" si="2098"/>
        <v>0</v>
      </c>
      <c r="I199" s="6">
        <f t="shared" si="2098"/>
        <v>0</v>
      </c>
      <c r="J199" s="6">
        <f t="shared" si="2098"/>
        <v>0</v>
      </c>
      <c r="K199" s="6">
        <f t="shared" si="2098"/>
        <v>0</v>
      </c>
      <c r="L199" s="6">
        <f t="shared" si="2098"/>
        <v>0</v>
      </c>
      <c r="M199" s="6">
        <f t="shared" si="2098"/>
        <v>0</v>
      </c>
      <c r="N199" s="6">
        <f t="shared" si="2098"/>
        <v>0</v>
      </c>
      <c r="O199" s="6">
        <f t="shared" si="2098"/>
        <v>0</v>
      </c>
      <c r="P199" s="6">
        <f t="shared" si="2098"/>
        <v>0</v>
      </c>
      <c r="Q199" s="6">
        <f t="shared" si="2098"/>
        <v>0</v>
      </c>
      <c r="R199" s="6">
        <f t="shared" si="2098"/>
        <v>0</v>
      </c>
      <c r="S199" s="6">
        <f t="shared" si="2098"/>
        <v>0</v>
      </c>
      <c r="T199" s="6">
        <f t="shared" si="2098"/>
        <v>0</v>
      </c>
      <c r="U199" s="6">
        <f t="shared" si="2098"/>
        <v>0</v>
      </c>
      <c r="V199" s="6">
        <f t="shared" si="2098"/>
        <v>0</v>
      </c>
      <c r="W199" s="6">
        <f t="shared" si="2098"/>
        <v>0</v>
      </c>
      <c r="X199" s="6">
        <f t="shared" si="2098"/>
        <v>0</v>
      </c>
      <c r="Y199" s="6">
        <f t="shared" si="2098"/>
        <v>0</v>
      </c>
      <c r="Z199" s="6">
        <f t="shared" si="2098"/>
        <v>0</v>
      </c>
      <c r="AA199" s="6">
        <f t="shared" si="2098"/>
        <v>0</v>
      </c>
      <c r="AB199" s="6">
        <f t="shared" si="2098"/>
        <v>0</v>
      </c>
      <c r="AC199" s="6">
        <f t="shared" si="2098"/>
        <v>0</v>
      </c>
      <c r="AD199" s="6">
        <f t="shared" si="2098"/>
        <v>0</v>
      </c>
      <c r="AE199" s="6">
        <f t="shared" si="2098"/>
        <v>0</v>
      </c>
      <c r="AF199" s="6">
        <f t="shared" si="2098"/>
        <v>0</v>
      </c>
      <c r="AG199" s="6">
        <f t="shared" si="2098"/>
        <v>0</v>
      </c>
      <c r="AH199" s="6">
        <f t="shared" si="2098"/>
        <v>0</v>
      </c>
      <c r="AI199" s="6">
        <f t="shared" si="2098"/>
        <v>0</v>
      </c>
      <c r="AJ199" s="6">
        <f t="shared" si="2098"/>
        <v>0</v>
      </c>
      <c r="AK199" s="6">
        <f t="shared" si="2098"/>
        <v>0</v>
      </c>
      <c r="AL199" s="6">
        <f t="shared" ref="AL199:BQ199" si="2099">IF(AL183=Exit_Date,-AL179,0)</f>
        <v>0</v>
      </c>
      <c r="AM199" s="6">
        <f t="shared" si="2099"/>
        <v>0</v>
      </c>
      <c r="AN199" s="6">
        <f t="shared" si="2099"/>
        <v>0</v>
      </c>
      <c r="AO199" s="6">
        <f t="shared" si="2099"/>
        <v>0</v>
      </c>
      <c r="AP199" s="6">
        <f t="shared" si="2099"/>
        <v>0</v>
      </c>
      <c r="AQ199" s="6">
        <f t="shared" si="2099"/>
        <v>0</v>
      </c>
      <c r="AR199" s="6">
        <f t="shared" si="2099"/>
        <v>0</v>
      </c>
      <c r="AS199" s="6">
        <f t="shared" si="2099"/>
        <v>0</v>
      </c>
      <c r="AT199" s="6">
        <f t="shared" si="2099"/>
        <v>0</v>
      </c>
      <c r="AU199" s="6">
        <f t="shared" si="2099"/>
        <v>0</v>
      </c>
      <c r="AV199" s="6">
        <f t="shared" si="2099"/>
        <v>0</v>
      </c>
      <c r="AW199" s="6">
        <f t="shared" si="2099"/>
        <v>0</v>
      </c>
      <c r="AX199" s="6">
        <f t="shared" si="2099"/>
        <v>0</v>
      </c>
      <c r="AY199" s="6">
        <f t="shared" si="2099"/>
        <v>0</v>
      </c>
      <c r="AZ199" s="6">
        <f t="shared" si="2099"/>
        <v>0</v>
      </c>
      <c r="BA199" s="6">
        <f t="shared" si="2099"/>
        <v>0</v>
      </c>
      <c r="BB199" s="6">
        <f t="shared" si="2099"/>
        <v>0</v>
      </c>
      <c r="BC199" s="6">
        <f t="shared" si="2099"/>
        <v>0</v>
      </c>
      <c r="BD199" s="6">
        <f t="shared" si="2099"/>
        <v>0</v>
      </c>
      <c r="BE199" s="6">
        <f t="shared" si="2099"/>
        <v>0</v>
      </c>
      <c r="BF199" s="6">
        <f t="shared" si="2099"/>
        <v>0</v>
      </c>
      <c r="BG199" s="6">
        <f t="shared" si="2099"/>
        <v>0</v>
      </c>
      <c r="BH199" s="6">
        <f t="shared" si="2099"/>
        <v>0</v>
      </c>
      <c r="BI199" s="6">
        <f t="shared" si="2099"/>
        <v>0</v>
      </c>
      <c r="BJ199" s="6">
        <f t="shared" si="2099"/>
        <v>0</v>
      </c>
      <c r="BK199" s="6">
        <f t="shared" si="2099"/>
        <v>0</v>
      </c>
      <c r="BL199" s="6">
        <f t="shared" si="2099"/>
        <v>0</v>
      </c>
      <c r="BM199" s="6">
        <f t="shared" si="2099"/>
        <v>0</v>
      </c>
      <c r="BN199" s="6">
        <f t="shared" si="2099"/>
        <v>0</v>
      </c>
      <c r="BO199" s="6">
        <f t="shared" si="2099"/>
        <v>0</v>
      </c>
      <c r="BP199" s="6">
        <f t="shared" si="2099"/>
        <v>0</v>
      </c>
      <c r="BQ199" s="6">
        <f t="shared" si="2099"/>
        <v>0</v>
      </c>
      <c r="BR199" s="6">
        <f t="shared" ref="BR199:CW199" si="2100">IF(BR183=Exit_Date,-BR179,0)</f>
        <v>0</v>
      </c>
      <c r="BS199" s="6">
        <f t="shared" si="2100"/>
        <v>0</v>
      </c>
      <c r="BT199" s="6">
        <f t="shared" si="2100"/>
        <v>0</v>
      </c>
      <c r="BU199" s="6">
        <f t="shared" si="2100"/>
        <v>0</v>
      </c>
      <c r="BV199" s="6">
        <f t="shared" si="2100"/>
        <v>0</v>
      </c>
      <c r="BW199" s="6">
        <f t="shared" si="2100"/>
        <v>0</v>
      </c>
      <c r="BX199" s="6">
        <f t="shared" si="2100"/>
        <v>0</v>
      </c>
      <c r="BY199" s="6">
        <f t="shared" si="2100"/>
        <v>0</v>
      </c>
      <c r="BZ199" s="6">
        <f t="shared" si="2100"/>
        <v>-668619777.77205729</v>
      </c>
      <c r="CA199" s="6">
        <f t="shared" si="2100"/>
        <v>0</v>
      </c>
      <c r="CB199" s="6">
        <f t="shared" si="2100"/>
        <v>0</v>
      </c>
      <c r="CC199" s="6">
        <f t="shared" si="2100"/>
        <v>0</v>
      </c>
      <c r="CD199" s="6">
        <f t="shared" si="2100"/>
        <v>0</v>
      </c>
      <c r="CE199" s="6">
        <f t="shared" si="2100"/>
        <v>0</v>
      </c>
      <c r="CF199" s="6">
        <f t="shared" si="2100"/>
        <v>0</v>
      </c>
      <c r="CG199" s="6">
        <f t="shared" si="2100"/>
        <v>0</v>
      </c>
      <c r="CH199" s="6">
        <f t="shared" si="2100"/>
        <v>0</v>
      </c>
      <c r="CI199" s="6">
        <f t="shared" si="2100"/>
        <v>0</v>
      </c>
      <c r="CJ199" s="6">
        <f t="shared" si="2100"/>
        <v>0</v>
      </c>
      <c r="CK199" s="6">
        <f t="shared" si="2100"/>
        <v>0</v>
      </c>
      <c r="CL199" s="6">
        <f t="shared" si="2100"/>
        <v>0</v>
      </c>
      <c r="CM199" s="6">
        <f t="shared" si="2100"/>
        <v>0</v>
      </c>
      <c r="CN199" s="6">
        <f t="shared" si="2100"/>
        <v>0</v>
      </c>
      <c r="CO199" s="6">
        <f t="shared" si="2100"/>
        <v>0</v>
      </c>
      <c r="CP199" s="6">
        <f t="shared" si="2100"/>
        <v>0</v>
      </c>
      <c r="CQ199" s="6">
        <f t="shared" si="2100"/>
        <v>0</v>
      </c>
      <c r="CR199" s="6">
        <f t="shared" si="2100"/>
        <v>0</v>
      </c>
      <c r="CS199" s="6">
        <f t="shared" si="2100"/>
        <v>0</v>
      </c>
      <c r="CT199" s="6">
        <f t="shared" si="2100"/>
        <v>0</v>
      </c>
      <c r="CU199" s="6">
        <f t="shared" si="2100"/>
        <v>0</v>
      </c>
      <c r="CV199" s="6">
        <f t="shared" si="2100"/>
        <v>0</v>
      </c>
      <c r="CW199" s="6">
        <f t="shared" si="2100"/>
        <v>0</v>
      </c>
    </row>
    <row r="200" spans="3:101" outlineLevel="1" x14ac:dyDescent="0.25">
      <c r="C200" s="20" t="s">
        <v>168</v>
      </c>
      <c r="D200" s="47" t="s">
        <v>107</v>
      </c>
      <c r="F200" s="6">
        <f t="shared" ref="F200:AK200" si="2101">IF(F183=Exit_Date,-F180,0)</f>
        <v>0</v>
      </c>
      <c r="G200" s="6">
        <f t="shared" si="2101"/>
        <v>0</v>
      </c>
      <c r="H200" s="6">
        <f t="shared" si="2101"/>
        <v>0</v>
      </c>
      <c r="I200" s="6">
        <f t="shared" si="2101"/>
        <v>0</v>
      </c>
      <c r="J200" s="6">
        <f t="shared" si="2101"/>
        <v>0</v>
      </c>
      <c r="K200" s="6">
        <f t="shared" si="2101"/>
        <v>0</v>
      </c>
      <c r="L200" s="6">
        <f t="shared" si="2101"/>
        <v>0</v>
      </c>
      <c r="M200" s="6">
        <f t="shared" si="2101"/>
        <v>0</v>
      </c>
      <c r="N200" s="6">
        <f t="shared" si="2101"/>
        <v>0</v>
      </c>
      <c r="O200" s="6">
        <f t="shared" si="2101"/>
        <v>0</v>
      </c>
      <c r="P200" s="6">
        <f t="shared" si="2101"/>
        <v>0</v>
      </c>
      <c r="Q200" s="6">
        <f t="shared" si="2101"/>
        <v>0</v>
      </c>
      <c r="R200" s="6">
        <f t="shared" si="2101"/>
        <v>0</v>
      </c>
      <c r="S200" s="6">
        <f t="shared" si="2101"/>
        <v>0</v>
      </c>
      <c r="T200" s="6">
        <f t="shared" si="2101"/>
        <v>0</v>
      </c>
      <c r="U200" s="6">
        <f t="shared" si="2101"/>
        <v>0</v>
      </c>
      <c r="V200" s="6">
        <f t="shared" si="2101"/>
        <v>0</v>
      </c>
      <c r="W200" s="6">
        <f t="shared" si="2101"/>
        <v>0</v>
      </c>
      <c r="X200" s="6">
        <f t="shared" si="2101"/>
        <v>0</v>
      </c>
      <c r="Y200" s="6">
        <f t="shared" si="2101"/>
        <v>0</v>
      </c>
      <c r="Z200" s="6">
        <f t="shared" si="2101"/>
        <v>0</v>
      </c>
      <c r="AA200" s="6">
        <f t="shared" si="2101"/>
        <v>0</v>
      </c>
      <c r="AB200" s="6">
        <f t="shared" si="2101"/>
        <v>0</v>
      </c>
      <c r="AC200" s="6">
        <f t="shared" si="2101"/>
        <v>0</v>
      </c>
      <c r="AD200" s="6">
        <f t="shared" si="2101"/>
        <v>0</v>
      </c>
      <c r="AE200" s="6">
        <f t="shared" si="2101"/>
        <v>0</v>
      </c>
      <c r="AF200" s="6">
        <f t="shared" si="2101"/>
        <v>0</v>
      </c>
      <c r="AG200" s="6">
        <f t="shared" si="2101"/>
        <v>0</v>
      </c>
      <c r="AH200" s="6">
        <f t="shared" si="2101"/>
        <v>0</v>
      </c>
      <c r="AI200" s="6">
        <f t="shared" si="2101"/>
        <v>0</v>
      </c>
      <c r="AJ200" s="6">
        <f t="shared" si="2101"/>
        <v>0</v>
      </c>
      <c r="AK200" s="6">
        <f t="shared" si="2101"/>
        <v>0</v>
      </c>
      <c r="AL200" s="6">
        <f t="shared" ref="AL200:BQ200" si="2102">IF(AL183=Exit_Date,-AL180,0)</f>
        <v>0</v>
      </c>
      <c r="AM200" s="6">
        <f t="shared" si="2102"/>
        <v>0</v>
      </c>
      <c r="AN200" s="6">
        <f t="shared" si="2102"/>
        <v>0</v>
      </c>
      <c r="AO200" s="6">
        <f t="shared" si="2102"/>
        <v>0</v>
      </c>
      <c r="AP200" s="6">
        <f t="shared" si="2102"/>
        <v>0</v>
      </c>
      <c r="AQ200" s="6">
        <f t="shared" si="2102"/>
        <v>0</v>
      </c>
      <c r="AR200" s="6">
        <f t="shared" si="2102"/>
        <v>0</v>
      </c>
      <c r="AS200" s="6">
        <f t="shared" si="2102"/>
        <v>0</v>
      </c>
      <c r="AT200" s="6">
        <f t="shared" si="2102"/>
        <v>0</v>
      </c>
      <c r="AU200" s="6">
        <f t="shared" si="2102"/>
        <v>0</v>
      </c>
      <c r="AV200" s="6">
        <f t="shared" si="2102"/>
        <v>0</v>
      </c>
      <c r="AW200" s="6">
        <f t="shared" si="2102"/>
        <v>0</v>
      </c>
      <c r="AX200" s="6">
        <f t="shared" si="2102"/>
        <v>0</v>
      </c>
      <c r="AY200" s="6">
        <f t="shared" si="2102"/>
        <v>0</v>
      </c>
      <c r="AZ200" s="6">
        <f t="shared" si="2102"/>
        <v>0</v>
      </c>
      <c r="BA200" s="6">
        <f t="shared" si="2102"/>
        <v>0</v>
      </c>
      <c r="BB200" s="6">
        <f t="shared" si="2102"/>
        <v>0</v>
      </c>
      <c r="BC200" s="6">
        <f t="shared" si="2102"/>
        <v>0</v>
      </c>
      <c r="BD200" s="6">
        <f t="shared" si="2102"/>
        <v>0</v>
      </c>
      <c r="BE200" s="6">
        <f t="shared" si="2102"/>
        <v>0</v>
      </c>
      <c r="BF200" s="6">
        <f t="shared" si="2102"/>
        <v>0</v>
      </c>
      <c r="BG200" s="6">
        <f t="shared" si="2102"/>
        <v>0</v>
      </c>
      <c r="BH200" s="6">
        <f t="shared" si="2102"/>
        <v>0</v>
      </c>
      <c r="BI200" s="6">
        <f t="shared" si="2102"/>
        <v>0</v>
      </c>
      <c r="BJ200" s="6">
        <f t="shared" si="2102"/>
        <v>0</v>
      </c>
      <c r="BK200" s="6">
        <f t="shared" si="2102"/>
        <v>0</v>
      </c>
      <c r="BL200" s="6">
        <f t="shared" si="2102"/>
        <v>0</v>
      </c>
      <c r="BM200" s="6">
        <f t="shared" si="2102"/>
        <v>0</v>
      </c>
      <c r="BN200" s="6">
        <f t="shared" si="2102"/>
        <v>0</v>
      </c>
      <c r="BO200" s="6">
        <f t="shared" si="2102"/>
        <v>0</v>
      </c>
      <c r="BP200" s="6">
        <f t="shared" si="2102"/>
        <v>0</v>
      </c>
      <c r="BQ200" s="6">
        <f t="shared" si="2102"/>
        <v>0</v>
      </c>
      <c r="BR200" s="6">
        <f t="shared" ref="BR200:CW200" si="2103">IF(BR183=Exit_Date,-BR180,0)</f>
        <v>0</v>
      </c>
      <c r="BS200" s="6">
        <f t="shared" si="2103"/>
        <v>0</v>
      </c>
      <c r="BT200" s="6">
        <f t="shared" si="2103"/>
        <v>0</v>
      </c>
      <c r="BU200" s="6">
        <f t="shared" si="2103"/>
        <v>0</v>
      </c>
      <c r="BV200" s="6">
        <f t="shared" si="2103"/>
        <v>0</v>
      </c>
      <c r="BW200" s="6">
        <f t="shared" si="2103"/>
        <v>0</v>
      </c>
      <c r="BX200" s="6">
        <f t="shared" si="2103"/>
        <v>0</v>
      </c>
      <c r="BY200" s="6">
        <f t="shared" si="2103"/>
        <v>0</v>
      </c>
      <c r="BZ200" s="6">
        <f t="shared" si="2103"/>
        <v>-126110454.36213796</v>
      </c>
      <c r="CA200" s="6">
        <f t="shared" si="2103"/>
        <v>0</v>
      </c>
      <c r="CB200" s="6">
        <f t="shared" si="2103"/>
        <v>0</v>
      </c>
      <c r="CC200" s="6">
        <f t="shared" si="2103"/>
        <v>0</v>
      </c>
      <c r="CD200" s="6">
        <f t="shared" si="2103"/>
        <v>0</v>
      </c>
      <c r="CE200" s="6">
        <f t="shared" si="2103"/>
        <v>0</v>
      </c>
      <c r="CF200" s="6">
        <f t="shared" si="2103"/>
        <v>0</v>
      </c>
      <c r="CG200" s="6">
        <f t="shared" si="2103"/>
        <v>0</v>
      </c>
      <c r="CH200" s="6">
        <f t="shared" si="2103"/>
        <v>0</v>
      </c>
      <c r="CI200" s="6">
        <f t="shared" si="2103"/>
        <v>0</v>
      </c>
      <c r="CJ200" s="6">
        <f t="shared" si="2103"/>
        <v>0</v>
      </c>
      <c r="CK200" s="6">
        <f t="shared" si="2103"/>
        <v>0</v>
      </c>
      <c r="CL200" s="6">
        <f t="shared" si="2103"/>
        <v>0</v>
      </c>
      <c r="CM200" s="6">
        <f t="shared" si="2103"/>
        <v>0</v>
      </c>
      <c r="CN200" s="6">
        <f t="shared" si="2103"/>
        <v>0</v>
      </c>
      <c r="CO200" s="6">
        <f t="shared" si="2103"/>
        <v>0</v>
      </c>
      <c r="CP200" s="6">
        <f t="shared" si="2103"/>
        <v>0</v>
      </c>
      <c r="CQ200" s="6">
        <f t="shared" si="2103"/>
        <v>0</v>
      </c>
      <c r="CR200" s="6">
        <f t="shared" si="2103"/>
        <v>0</v>
      </c>
      <c r="CS200" s="6">
        <f t="shared" si="2103"/>
        <v>0</v>
      </c>
      <c r="CT200" s="6">
        <f t="shared" si="2103"/>
        <v>0</v>
      </c>
      <c r="CU200" s="6">
        <f t="shared" si="2103"/>
        <v>0</v>
      </c>
      <c r="CV200" s="6">
        <f t="shared" si="2103"/>
        <v>0</v>
      </c>
      <c r="CW200" s="6">
        <f t="shared" si="2103"/>
        <v>0</v>
      </c>
    </row>
    <row r="201" spans="3:101" outlineLevel="1" x14ac:dyDescent="0.25">
      <c r="C201" s="20" t="s">
        <v>176</v>
      </c>
      <c r="D201" s="152" t="s">
        <v>107</v>
      </c>
      <c r="F201" s="6">
        <f t="shared" ref="F201:AK201" si="2104">IF(AND(F183=Exit_Date,F183&lt;Senior_Loan_Maturity),-F179*Perm_Loan_Prepay_Penalty,0)</f>
        <v>0</v>
      </c>
      <c r="G201" s="6">
        <f t="shared" si="2104"/>
        <v>0</v>
      </c>
      <c r="H201" s="6">
        <f t="shared" si="2104"/>
        <v>0</v>
      </c>
      <c r="I201" s="6">
        <f t="shared" si="2104"/>
        <v>0</v>
      </c>
      <c r="J201" s="6">
        <f t="shared" si="2104"/>
        <v>0</v>
      </c>
      <c r="K201" s="6">
        <f t="shared" si="2104"/>
        <v>0</v>
      </c>
      <c r="L201" s="6">
        <f t="shared" si="2104"/>
        <v>0</v>
      </c>
      <c r="M201" s="6">
        <f t="shared" si="2104"/>
        <v>0</v>
      </c>
      <c r="N201" s="6">
        <f t="shared" si="2104"/>
        <v>0</v>
      </c>
      <c r="O201" s="6">
        <f t="shared" si="2104"/>
        <v>0</v>
      </c>
      <c r="P201" s="6">
        <f t="shared" si="2104"/>
        <v>0</v>
      </c>
      <c r="Q201" s="6">
        <f t="shared" si="2104"/>
        <v>0</v>
      </c>
      <c r="R201" s="6">
        <f t="shared" si="2104"/>
        <v>0</v>
      </c>
      <c r="S201" s="6">
        <f t="shared" si="2104"/>
        <v>0</v>
      </c>
      <c r="T201" s="6">
        <f t="shared" si="2104"/>
        <v>0</v>
      </c>
      <c r="U201" s="6">
        <f t="shared" si="2104"/>
        <v>0</v>
      </c>
      <c r="V201" s="6">
        <f t="shared" si="2104"/>
        <v>0</v>
      </c>
      <c r="W201" s="6">
        <f t="shared" si="2104"/>
        <v>0</v>
      </c>
      <c r="X201" s="6">
        <f t="shared" si="2104"/>
        <v>0</v>
      </c>
      <c r="Y201" s="6">
        <f t="shared" si="2104"/>
        <v>0</v>
      </c>
      <c r="Z201" s="6">
        <f t="shared" si="2104"/>
        <v>0</v>
      </c>
      <c r="AA201" s="6">
        <f t="shared" si="2104"/>
        <v>0</v>
      </c>
      <c r="AB201" s="6">
        <f t="shared" si="2104"/>
        <v>0</v>
      </c>
      <c r="AC201" s="6">
        <f t="shared" si="2104"/>
        <v>0</v>
      </c>
      <c r="AD201" s="6">
        <f t="shared" si="2104"/>
        <v>0</v>
      </c>
      <c r="AE201" s="6">
        <f t="shared" si="2104"/>
        <v>0</v>
      </c>
      <c r="AF201" s="6">
        <f t="shared" si="2104"/>
        <v>0</v>
      </c>
      <c r="AG201" s="6">
        <f t="shared" si="2104"/>
        <v>0</v>
      </c>
      <c r="AH201" s="6">
        <f t="shared" si="2104"/>
        <v>0</v>
      </c>
      <c r="AI201" s="6">
        <f t="shared" si="2104"/>
        <v>0</v>
      </c>
      <c r="AJ201" s="6">
        <f t="shared" si="2104"/>
        <v>0</v>
      </c>
      <c r="AK201" s="6">
        <f t="shared" si="2104"/>
        <v>0</v>
      </c>
      <c r="AL201" s="6">
        <f t="shared" ref="AL201:BQ201" si="2105">IF(AND(AL183=Exit_Date,AL183&lt;Senior_Loan_Maturity),-AL179*Perm_Loan_Prepay_Penalty,0)</f>
        <v>0</v>
      </c>
      <c r="AM201" s="6">
        <f t="shared" si="2105"/>
        <v>0</v>
      </c>
      <c r="AN201" s="6">
        <f t="shared" si="2105"/>
        <v>0</v>
      </c>
      <c r="AO201" s="6">
        <f t="shared" si="2105"/>
        <v>0</v>
      </c>
      <c r="AP201" s="6">
        <f t="shared" si="2105"/>
        <v>0</v>
      </c>
      <c r="AQ201" s="6">
        <f t="shared" si="2105"/>
        <v>0</v>
      </c>
      <c r="AR201" s="6">
        <f t="shared" si="2105"/>
        <v>0</v>
      </c>
      <c r="AS201" s="6">
        <f t="shared" si="2105"/>
        <v>0</v>
      </c>
      <c r="AT201" s="6">
        <f t="shared" si="2105"/>
        <v>0</v>
      </c>
      <c r="AU201" s="6">
        <f t="shared" si="2105"/>
        <v>0</v>
      </c>
      <c r="AV201" s="6">
        <f t="shared" si="2105"/>
        <v>0</v>
      </c>
      <c r="AW201" s="6">
        <f t="shared" si="2105"/>
        <v>0</v>
      </c>
      <c r="AX201" s="6">
        <f t="shared" si="2105"/>
        <v>0</v>
      </c>
      <c r="AY201" s="6">
        <f t="shared" si="2105"/>
        <v>0</v>
      </c>
      <c r="AZ201" s="6">
        <f t="shared" si="2105"/>
        <v>0</v>
      </c>
      <c r="BA201" s="6">
        <f t="shared" si="2105"/>
        <v>0</v>
      </c>
      <c r="BB201" s="6">
        <f t="shared" si="2105"/>
        <v>0</v>
      </c>
      <c r="BC201" s="6">
        <f t="shared" si="2105"/>
        <v>0</v>
      </c>
      <c r="BD201" s="6">
        <f t="shared" si="2105"/>
        <v>0</v>
      </c>
      <c r="BE201" s="6">
        <f t="shared" si="2105"/>
        <v>0</v>
      </c>
      <c r="BF201" s="6">
        <f t="shared" si="2105"/>
        <v>0</v>
      </c>
      <c r="BG201" s="6">
        <f t="shared" si="2105"/>
        <v>0</v>
      </c>
      <c r="BH201" s="6">
        <f t="shared" si="2105"/>
        <v>0</v>
      </c>
      <c r="BI201" s="6">
        <f t="shared" si="2105"/>
        <v>0</v>
      </c>
      <c r="BJ201" s="6">
        <f t="shared" si="2105"/>
        <v>0</v>
      </c>
      <c r="BK201" s="6">
        <f t="shared" si="2105"/>
        <v>0</v>
      </c>
      <c r="BL201" s="6">
        <f t="shared" si="2105"/>
        <v>0</v>
      </c>
      <c r="BM201" s="6">
        <f t="shared" si="2105"/>
        <v>0</v>
      </c>
      <c r="BN201" s="6">
        <f t="shared" si="2105"/>
        <v>0</v>
      </c>
      <c r="BO201" s="6">
        <f t="shared" si="2105"/>
        <v>0</v>
      </c>
      <c r="BP201" s="6">
        <f t="shared" si="2105"/>
        <v>0</v>
      </c>
      <c r="BQ201" s="6">
        <f t="shared" si="2105"/>
        <v>0</v>
      </c>
      <c r="BR201" s="6">
        <f t="shared" ref="BR201:CW201" si="2106">IF(AND(BR183=Exit_Date,BR183&lt;Senior_Loan_Maturity),-BR179*Perm_Loan_Prepay_Penalty,0)</f>
        <v>0</v>
      </c>
      <c r="BS201" s="6">
        <f t="shared" si="2106"/>
        <v>0</v>
      </c>
      <c r="BT201" s="6">
        <f t="shared" si="2106"/>
        <v>0</v>
      </c>
      <c r="BU201" s="6">
        <f t="shared" si="2106"/>
        <v>0</v>
      </c>
      <c r="BV201" s="6">
        <f t="shared" si="2106"/>
        <v>0</v>
      </c>
      <c r="BW201" s="6">
        <f t="shared" si="2106"/>
        <v>0</v>
      </c>
      <c r="BX201" s="6">
        <f t="shared" si="2106"/>
        <v>0</v>
      </c>
      <c r="BY201" s="6">
        <f t="shared" si="2106"/>
        <v>0</v>
      </c>
      <c r="BZ201" s="6">
        <f t="shared" si="2106"/>
        <v>-6686197.7777205734</v>
      </c>
      <c r="CA201" s="6">
        <f t="shared" si="2106"/>
        <v>0</v>
      </c>
      <c r="CB201" s="6">
        <f t="shared" si="2106"/>
        <v>0</v>
      </c>
      <c r="CC201" s="6">
        <f t="shared" si="2106"/>
        <v>0</v>
      </c>
      <c r="CD201" s="6">
        <f t="shared" si="2106"/>
        <v>0</v>
      </c>
      <c r="CE201" s="6">
        <f t="shared" si="2106"/>
        <v>0</v>
      </c>
      <c r="CF201" s="6">
        <f t="shared" si="2106"/>
        <v>0</v>
      </c>
      <c r="CG201" s="6">
        <f t="shared" si="2106"/>
        <v>0</v>
      </c>
      <c r="CH201" s="6">
        <f t="shared" si="2106"/>
        <v>0</v>
      </c>
      <c r="CI201" s="6">
        <f t="shared" si="2106"/>
        <v>0</v>
      </c>
      <c r="CJ201" s="6">
        <f t="shared" si="2106"/>
        <v>0</v>
      </c>
      <c r="CK201" s="6">
        <f t="shared" si="2106"/>
        <v>0</v>
      </c>
      <c r="CL201" s="6">
        <f t="shared" si="2106"/>
        <v>0</v>
      </c>
      <c r="CM201" s="6">
        <f t="shared" si="2106"/>
        <v>0</v>
      </c>
      <c r="CN201" s="6">
        <f t="shared" si="2106"/>
        <v>0</v>
      </c>
      <c r="CO201" s="6">
        <f t="shared" si="2106"/>
        <v>0</v>
      </c>
      <c r="CP201" s="6">
        <f t="shared" si="2106"/>
        <v>0</v>
      </c>
      <c r="CQ201" s="6">
        <f t="shared" si="2106"/>
        <v>0</v>
      </c>
      <c r="CR201" s="6">
        <f t="shared" si="2106"/>
        <v>0</v>
      </c>
      <c r="CS201" s="6">
        <f t="shared" si="2106"/>
        <v>0</v>
      </c>
      <c r="CT201" s="6">
        <f t="shared" si="2106"/>
        <v>0</v>
      </c>
      <c r="CU201" s="6">
        <f t="shared" si="2106"/>
        <v>0</v>
      </c>
      <c r="CV201" s="6">
        <f t="shared" si="2106"/>
        <v>0</v>
      </c>
      <c r="CW201" s="6">
        <f t="shared" si="2106"/>
        <v>0</v>
      </c>
    </row>
    <row r="202" spans="3:101" outlineLevel="1" x14ac:dyDescent="0.25">
      <c r="C202" s="20" t="s">
        <v>169</v>
      </c>
      <c r="D202" s="152" t="s">
        <v>107</v>
      </c>
      <c r="F202" s="6">
        <f t="shared" ref="F202:AK202" si="2107">IF(AND(F183=Exit_Date,F183&lt;Mezz_Maturity),-F180*Perm_Loan_Prepay_Penalty,0)</f>
        <v>0</v>
      </c>
      <c r="G202" s="6">
        <f t="shared" si="2107"/>
        <v>0</v>
      </c>
      <c r="H202" s="6">
        <f t="shared" si="2107"/>
        <v>0</v>
      </c>
      <c r="I202" s="6">
        <f t="shared" si="2107"/>
        <v>0</v>
      </c>
      <c r="J202" s="6">
        <f t="shared" si="2107"/>
        <v>0</v>
      </c>
      <c r="K202" s="6">
        <f t="shared" si="2107"/>
        <v>0</v>
      </c>
      <c r="L202" s="6">
        <f t="shared" si="2107"/>
        <v>0</v>
      </c>
      <c r="M202" s="6">
        <f t="shared" si="2107"/>
        <v>0</v>
      </c>
      <c r="N202" s="6">
        <f t="shared" si="2107"/>
        <v>0</v>
      </c>
      <c r="O202" s="6">
        <f t="shared" si="2107"/>
        <v>0</v>
      </c>
      <c r="P202" s="6">
        <f t="shared" si="2107"/>
        <v>0</v>
      </c>
      <c r="Q202" s="6">
        <f t="shared" si="2107"/>
        <v>0</v>
      </c>
      <c r="R202" s="6">
        <f t="shared" si="2107"/>
        <v>0</v>
      </c>
      <c r="S202" s="6">
        <f t="shared" si="2107"/>
        <v>0</v>
      </c>
      <c r="T202" s="6">
        <f t="shared" si="2107"/>
        <v>0</v>
      </c>
      <c r="U202" s="6">
        <f t="shared" si="2107"/>
        <v>0</v>
      </c>
      <c r="V202" s="6">
        <f t="shared" si="2107"/>
        <v>0</v>
      </c>
      <c r="W202" s="6">
        <f t="shared" si="2107"/>
        <v>0</v>
      </c>
      <c r="X202" s="6">
        <f t="shared" si="2107"/>
        <v>0</v>
      </c>
      <c r="Y202" s="6">
        <f t="shared" si="2107"/>
        <v>0</v>
      </c>
      <c r="Z202" s="6">
        <f t="shared" si="2107"/>
        <v>0</v>
      </c>
      <c r="AA202" s="6">
        <f t="shared" si="2107"/>
        <v>0</v>
      </c>
      <c r="AB202" s="6">
        <f t="shared" si="2107"/>
        <v>0</v>
      </c>
      <c r="AC202" s="6">
        <f t="shared" si="2107"/>
        <v>0</v>
      </c>
      <c r="AD202" s="6">
        <f t="shared" si="2107"/>
        <v>0</v>
      </c>
      <c r="AE202" s="6">
        <f t="shared" si="2107"/>
        <v>0</v>
      </c>
      <c r="AF202" s="6">
        <f t="shared" si="2107"/>
        <v>0</v>
      </c>
      <c r="AG202" s="6">
        <f t="shared" si="2107"/>
        <v>0</v>
      </c>
      <c r="AH202" s="6">
        <f t="shared" si="2107"/>
        <v>0</v>
      </c>
      <c r="AI202" s="6">
        <f t="shared" si="2107"/>
        <v>0</v>
      </c>
      <c r="AJ202" s="6">
        <f t="shared" si="2107"/>
        <v>0</v>
      </c>
      <c r="AK202" s="6">
        <f t="shared" si="2107"/>
        <v>0</v>
      </c>
      <c r="AL202" s="6">
        <f t="shared" ref="AL202:BQ202" si="2108">IF(AND(AL183=Exit_Date,AL183&lt;Mezz_Maturity),-AL180*Perm_Loan_Prepay_Penalty,0)</f>
        <v>0</v>
      </c>
      <c r="AM202" s="6">
        <f t="shared" si="2108"/>
        <v>0</v>
      </c>
      <c r="AN202" s="6">
        <f t="shared" si="2108"/>
        <v>0</v>
      </c>
      <c r="AO202" s="6">
        <f t="shared" si="2108"/>
        <v>0</v>
      </c>
      <c r="AP202" s="6">
        <f t="shared" si="2108"/>
        <v>0</v>
      </c>
      <c r="AQ202" s="6">
        <f t="shared" si="2108"/>
        <v>0</v>
      </c>
      <c r="AR202" s="6">
        <f t="shared" si="2108"/>
        <v>0</v>
      </c>
      <c r="AS202" s="6">
        <f t="shared" si="2108"/>
        <v>0</v>
      </c>
      <c r="AT202" s="6">
        <f t="shared" si="2108"/>
        <v>0</v>
      </c>
      <c r="AU202" s="6">
        <f t="shared" si="2108"/>
        <v>0</v>
      </c>
      <c r="AV202" s="6">
        <f t="shared" si="2108"/>
        <v>0</v>
      </c>
      <c r="AW202" s="6">
        <f t="shared" si="2108"/>
        <v>0</v>
      </c>
      <c r="AX202" s="6">
        <f t="shared" si="2108"/>
        <v>0</v>
      </c>
      <c r="AY202" s="6">
        <f t="shared" si="2108"/>
        <v>0</v>
      </c>
      <c r="AZ202" s="6">
        <f t="shared" si="2108"/>
        <v>0</v>
      </c>
      <c r="BA202" s="6">
        <f t="shared" si="2108"/>
        <v>0</v>
      </c>
      <c r="BB202" s="6">
        <f t="shared" si="2108"/>
        <v>0</v>
      </c>
      <c r="BC202" s="6">
        <f t="shared" si="2108"/>
        <v>0</v>
      </c>
      <c r="BD202" s="6">
        <f t="shared" si="2108"/>
        <v>0</v>
      </c>
      <c r="BE202" s="6">
        <f t="shared" si="2108"/>
        <v>0</v>
      </c>
      <c r="BF202" s="6">
        <f t="shared" si="2108"/>
        <v>0</v>
      </c>
      <c r="BG202" s="6">
        <f t="shared" si="2108"/>
        <v>0</v>
      </c>
      <c r="BH202" s="6">
        <f t="shared" si="2108"/>
        <v>0</v>
      </c>
      <c r="BI202" s="6">
        <f t="shared" si="2108"/>
        <v>0</v>
      </c>
      <c r="BJ202" s="6">
        <f t="shared" si="2108"/>
        <v>0</v>
      </c>
      <c r="BK202" s="6">
        <f t="shared" si="2108"/>
        <v>0</v>
      </c>
      <c r="BL202" s="6">
        <f t="shared" si="2108"/>
        <v>0</v>
      </c>
      <c r="BM202" s="6">
        <f t="shared" si="2108"/>
        <v>0</v>
      </c>
      <c r="BN202" s="6">
        <f t="shared" si="2108"/>
        <v>0</v>
      </c>
      <c r="BO202" s="6">
        <f t="shared" si="2108"/>
        <v>0</v>
      </c>
      <c r="BP202" s="6">
        <f t="shared" si="2108"/>
        <v>0</v>
      </c>
      <c r="BQ202" s="6">
        <f t="shared" si="2108"/>
        <v>0</v>
      </c>
      <c r="BR202" s="6">
        <f t="shared" ref="BR202:CW202" si="2109">IF(AND(BR183=Exit_Date,BR183&lt;Mezz_Maturity),-BR180*Perm_Loan_Prepay_Penalty,0)</f>
        <v>0</v>
      </c>
      <c r="BS202" s="6">
        <f t="shared" si="2109"/>
        <v>0</v>
      </c>
      <c r="BT202" s="6">
        <f t="shared" si="2109"/>
        <v>0</v>
      </c>
      <c r="BU202" s="6">
        <f t="shared" si="2109"/>
        <v>0</v>
      </c>
      <c r="BV202" s="6">
        <f t="shared" si="2109"/>
        <v>0</v>
      </c>
      <c r="BW202" s="6">
        <f t="shared" si="2109"/>
        <v>0</v>
      </c>
      <c r="BX202" s="6">
        <f t="shared" si="2109"/>
        <v>0</v>
      </c>
      <c r="BY202" s="6">
        <f t="shared" si="2109"/>
        <v>0</v>
      </c>
      <c r="BZ202" s="6">
        <f t="shared" si="2109"/>
        <v>-1261104.5436213796</v>
      </c>
      <c r="CA202" s="6">
        <f t="shared" si="2109"/>
        <v>0</v>
      </c>
      <c r="CB202" s="6">
        <f t="shared" si="2109"/>
        <v>0</v>
      </c>
      <c r="CC202" s="6">
        <f t="shared" si="2109"/>
        <v>0</v>
      </c>
      <c r="CD202" s="6">
        <f t="shared" si="2109"/>
        <v>0</v>
      </c>
      <c r="CE202" s="6">
        <f t="shared" si="2109"/>
        <v>0</v>
      </c>
      <c r="CF202" s="6">
        <f t="shared" si="2109"/>
        <v>0</v>
      </c>
      <c r="CG202" s="6">
        <f t="shared" si="2109"/>
        <v>0</v>
      </c>
      <c r="CH202" s="6">
        <f t="shared" si="2109"/>
        <v>0</v>
      </c>
      <c r="CI202" s="6">
        <f t="shared" si="2109"/>
        <v>0</v>
      </c>
      <c r="CJ202" s="6">
        <f t="shared" si="2109"/>
        <v>0</v>
      </c>
      <c r="CK202" s="6">
        <f t="shared" si="2109"/>
        <v>0</v>
      </c>
      <c r="CL202" s="6">
        <f t="shared" si="2109"/>
        <v>0</v>
      </c>
      <c r="CM202" s="6">
        <f t="shared" si="2109"/>
        <v>0</v>
      </c>
      <c r="CN202" s="6">
        <f t="shared" si="2109"/>
        <v>0</v>
      </c>
      <c r="CO202" s="6">
        <f t="shared" si="2109"/>
        <v>0</v>
      </c>
      <c r="CP202" s="6">
        <f t="shared" si="2109"/>
        <v>0</v>
      </c>
      <c r="CQ202" s="6">
        <f t="shared" si="2109"/>
        <v>0</v>
      </c>
      <c r="CR202" s="6">
        <f t="shared" si="2109"/>
        <v>0</v>
      </c>
      <c r="CS202" s="6">
        <f t="shared" si="2109"/>
        <v>0</v>
      </c>
      <c r="CT202" s="6">
        <f t="shared" si="2109"/>
        <v>0</v>
      </c>
      <c r="CU202" s="6">
        <f t="shared" si="2109"/>
        <v>0</v>
      </c>
      <c r="CV202" s="6">
        <f t="shared" si="2109"/>
        <v>0</v>
      </c>
      <c r="CW202" s="6">
        <f t="shared" si="2109"/>
        <v>0</v>
      </c>
    </row>
    <row r="203" spans="3:101" outlineLevel="1" x14ac:dyDescent="0.25">
      <c r="C203" s="20" t="s">
        <v>163</v>
      </c>
      <c r="D203" s="130" t="s">
        <v>107</v>
      </c>
      <c r="E203" s="7"/>
      <c r="F203" s="26">
        <f t="shared" ref="F203:AK203" si="2110">IF(F183=Exit_Date,-SUM(F189:F202)*Mezz_Equity_Pct,0)</f>
        <v>0</v>
      </c>
      <c r="G203" s="26">
        <f t="shared" si="2110"/>
        <v>0</v>
      </c>
      <c r="H203" s="26">
        <f t="shared" si="2110"/>
        <v>0</v>
      </c>
      <c r="I203" s="26">
        <f t="shared" si="2110"/>
        <v>0</v>
      </c>
      <c r="J203" s="26">
        <f t="shared" si="2110"/>
        <v>0</v>
      </c>
      <c r="K203" s="26">
        <f t="shared" si="2110"/>
        <v>0</v>
      </c>
      <c r="L203" s="26">
        <f t="shared" si="2110"/>
        <v>0</v>
      </c>
      <c r="M203" s="26">
        <f t="shared" si="2110"/>
        <v>0</v>
      </c>
      <c r="N203" s="26">
        <f t="shared" si="2110"/>
        <v>0</v>
      </c>
      <c r="O203" s="26">
        <f t="shared" si="2110"/>
        <v>0</v>
      </c>
      <c r="P203" s="26">
        <f t="shared" si="2110"/>
        <v>0</v>
      </c>
      <c r="Q203" s="26">
        <f t="shared" si="2110"/>
        <v>0</v>
      </c>
      <c r="R203" s="26">
        <f t="shared" si="2110"/>
        <v>0</v>
      </c>
      <c r="S203" s="26">
        <f t="shared" si="2110"/>
        <v>0</v>
      </c>
      <c r="T203" s="26">
        <f t="shared" si="2110"/>
        <v>0</v>
      </c>
      <c r="U203" s="26">
        <f t="shared" si="2110"/>
        <v>0</v>
      </c>
      <c r="V203" s="26">
        <f t="shared" si="2110"/>
        <v>0</v>
      </c>
      <c r="W203" s="26">
        <f t="shared" si="2110"/>
        <v>0</v>
      </c>
      <c r="X203" s="26">
        <f t="shared" si="2110"/>
        <v>0</v>
      </c>
      <c r="Y203" s="26">
        <f t="shared" si="2110"/>
        <v>0</v>
      </c>
      <c r="Z203" s="26">
        <f t="shared" si="2110"/>
        <v>0</v>
      </c>
      <c r="AA203" s="26">
        <f t="shared" si="2110"/>
        <v>0</v>
      </c>
      <c r="AB203" s="26">
        <f t="shared" si="2110"/>
        <v>0</v>
      </c>
      <c r="AC203" s="26">
        <f t="shared" si="2110"/>
        <v>0</v>
      </c>
      <c r="AD203" s="26">
        <f t="shared" si="2110"/>
        <v>0</v>
      </c>
      <c r="AE203" s="26">
        <f t="shared" si="2110"/>
        <v>0</v>
      </c>
      <c r="AF203" s="26">
        <f t="shared" si="2110"/>
        <v>0</v>
      </c>
      <c r="AG203" s="26">
        <f t="shared" si="2110"/>
        <v>0</v>
      </c>
      <c r="AH203" s="26">
        <f t="shared" si="2110"/>
        <v>0</v>
      </c>
      <c r="AI203" s="26">
        <f t="shared" si="2110"/>
        <v>0</v>
      </c>
      <c r="AJ203" s="26">
        <f t="shared" si="2110"/>
        <v>0</v>
      </c>
      <c r="AK203" s="26">
        <f t="shared" si="2110"/>
        <v>0</v>
      </c>
      <c r="AL203" s="26">
        <f t="shared" ref="AL203:BQ203" si="2111">IF(AL183=Exit_Date,-SUM(AL189:AL202)*Mezz_Equity_Pct,0)</f>
        <v>0</v>
      </c>
      <c r="AM203" s="26">
        <f t="shared" si="2111"/>
        <v>0</v>
      </c>
      <c r="AN203" s="26">
        <f t="shared" si="2111"/>
        <v>0</v>
      </c>
      <c r="AO203" s="26">
        <f t="shared" si="2111"/>
        <v>0</v>
      </c>
      <c r="AP203" s="26">
        <f t="shared" si="2111"/>
        <v>0</v>
      </c>
      <c r="AQ203" s="26">
        <f t="shared" si="2111"/>
        <v>0</v>
      </c>
      <c r="AR203" s="26">
        <f t="shared" si="2111"/>
        <v>0</v>
      </c>
      <c r="AS203" s="26">
        <f t="shared" si="2111"/>
        <v>0</v>
      </c>
      <c r="AT203" s="26">
        <f t="shared" si="2111"/>
        <v>0</v>
      </c>
      <c r="AU203" s="26">
        <f t="shared" si="2111"/>
        <v>0</v>
      </c>
      <c r="AV203" s="26">
        <f t="shared" si="2111"/>
        <v>0</v>
      </c>
      <c r="AW203" s="26">
        <f t="shared" si="2111"/>
        <v>0</v>
      </c>
      <c r="AX203" s="26">
        <f t="shared" si="2111"/>
        <v>0</v>
      </c>
      <c r="AY203" s="26">
        <f t="shared" si="2111"/>
        <v>0</v>
      </c>
      <c r="AZ203" s="26">
        <f t="shared" si="2111"/>
        <v>0</v>
      </c>
      <c r="BA203" s="26">
        <f t="shared" si="2111"/>
        <v>0</v>
      </c>
      <c r="BB203" s="26">
        <f t="shared" si="2111"/>
        <v>0</v>
      </c>
      <c r="BC203" s="26">
        <f t="shared" si="2111"/>
        <v>0</v>
      </c>
      <c r="BD203" s="26">
        <f t="shared" si="2111"/>
        <v>0</v>
      </c>
      <c r="BE203" s="26">
        <f t="shared" si="2111"/>
        <v>0</v>
      </c>
      <c r="BF203" s="26">
        <f t="shared" si="2111"/>
        <v>0</v>
      </c>
      <c r="BG203" s="26">
        <f t="shared" si="2111"/>
        <v>0</v>
      </c>
      <c r="BH203" s="26">
        <f t="shared" si="2111"/>
        <v>0</v>
      </c>
      <c r="BI203" s="26">
        <f t="shared" si="2111"/>
        <v>0</v>
      </c>
      <c r="BJ203" s="26">
        <f t="shared" si="2111"/>
        <v>0</v>
      </c>
      <c r="BK203" s="26">
        <f t="shared" si="2111"/>
        <v>0</v>
      </c>
      <c r="BL203" s="26">
        <f t="shared" si="2111"/>
        <v>0</v>
      </c>
      <c r="BM203" s="26">
        <f t="shared" si="2111"/>
        <v>0</v>
      </c>
      <c r="BN203" s="26">
        <f t="shared" si="2111"/>
        <v>0</v>
      </c>
      <c r="BO203" s="26">
        <f t="shared" si="2111"/>
        <v>0</v>
      </c>
      <c r="BP203" s="26">
        <f t="shared" si="2111"/>
        <v>0</v>
      </c>
      <c r="BQ203" s="26">
        <f t="shared" si="2111"/>
        <v>0</v>
      </c>
      <c r="BR203" s="26">
        <f t="shared" ref="BR203:CW203" si="2112">IF(BR183=Exit_Date,-SUM(BR189:BR202)*Mezz_Equity_Pct,0)</f>
        <v>0</v>
      </c>
      <c r="BS203" s="26">
        <f t="shared" si="2112"/>
        <v>0</v>
      </c>
      <c r="BT203" s="26">
        <f t="shared" si="2112"/>
        <v>0</v>
      </c>
      <c r="BU203" s="26">
        <f t="shared" si="2112"/>
        <v>0</v>
      </c>
      <c r="BV203" s="26">
        <f t="shared" si="2112"/>
        <v>0</v>
      </c>
      <c r="BW203" s="26">
        <f t="shared" si="2112"/>
        <v>0</v>
      </c>
      <c r="BX203" s="26">
        <f t="shared" si="2112"/>
        <v>0</v>
      </c>
      <c r="BY203" s="26">
        <f t="shared" si="2112"/>
        <v>0</v>
      </c>
      <c r="BZ203" s="26">
        <f t="shared" si="2112"/>
        <v>-8057766.5295419991</v>
      </c>
      <c r="CA203" s="26">
        <f t="shared" si="2112"/>
        <v>0</v>
      </c>
      <c r="CB203" s="26">
        <f t="shared" si="2112"/>
        <v>0</v>
      </c>
      <c r="CC203" s="26">
        <f t="shared" si="2112"/>
        <v>0</v>
      </c>
      <c r="CD203" s="26">
        <f t="shared" si="2112"/>
        <v>0</v>
      </c>
      <c r="CE203" s="26">
        <f t="shared" si="2112"/>
        <v>0</v>
      </c>
      <c r="CF203" s="26">
        <f t="shared" si="2112"/>
        <v>0</v>
      </c>
      <c r="CG203" s="26">
        <f t="shared" si="2112"/>
        <v>0</v>
      </c>
      <c r="CH203" s="26">
        <f t="shared" si="2112"/>
        <v>0</v>
      </c>
      <c r="CI203" s="26">
        <f t="shared" si="2112"/>
        <v>0</v>
      </c>
      <c r="CJ203" s="26">
        <f t="shared" si="2112"/>
        <v>0</v>
      </c>
      <c r="CK203" s="26">
        <f t="shared" si="2112"/>
        <v>0</v>
      </c>
      <c r="CL203" s="26">
        <f t="shared" si="2112"/>
        <v>0</v>
      </c>
      <c r="CM203" s="26">
        <f t="shared" si="2112"/>
        <v>0</v>
      </c>
      <c r="CN203" s="26">
        <f t="shared" si="2112"/>
        <v>0</v>
      </c>
      <c r="CO203" s="26">
        <f t="shared" si="2112"/>
        <v>0</v>
      </c>
      <c r="CP203" s="26">
        <f t="shared" si="2112"/>
        <v>0</v>
      </c>
      <c r="CQ203" s="26">
        <f t="shared" si="2112"/>
        <v>0</v>
      </c>
      <c r="CR203" s="26">
        <f t="shared" si="2112"/>
        <v>0</v>
      </c>
      <c r="CS203" s="26">
        <f t="shared" si="2112"/>
        <v>0</v>
      </c>
      <c r="CT203" s="26">
        <f t="shared" si="2112"/>
        <v>0</v>
      </c>
      <c r="CU203" s="26">
        <f t="shared" si="2112"/>
        <v>0</v>
      </c>
      <c r="CV203" s="26">
        <f t="shared" si="2112"/>
        <v>0</v>
      </c>
      <c r="CW203" s="26">
        <f t="shared" si="2112"/>
        <v>0</v>
      </c>
    </row>
    <row r="204" spans="3:101" outlineLevel="1" x14ac:dyDescent="0.25">
      <c r="C204" s="38" t="s">
        <v>30</v>
      </c>
      <c r="D204" s="47" t="s">
        <v>107</v>
      </c>
      <c r="F204" s="132">
        <f>SUM(F189:F203)</f>
        <v>-77970000</v>
      </c>
      <c r="G204" s="132">
        <f t="shared" ref="G204:BR204" si="2113">SUM(G189:G203)</f>
        <v>-2520000</v>
      </c>
      <c r="H204" s="132">
        <f t="shared" si="2113"/>
        <v>-4320000</v>
      </c>
      <c r="I204" s="132">
        <f t="shared" si="2113"/>
        <v>-4770000</v>
      </c>
      <c r="J204" s="132">
        <f t="shared" si="2113"/>
        <v>-2970000</v>
      </c>
      <c r="K204" s="132">
        <f t="shared" si="2113"/>
        <v>-77790000</v>
      </c>
      <c r="L204" s="132">
        <f t="shared" si="2113"/>
        <v>-7560000</v>
      </c>
      <c r="M204" s="132">
        <f t="shared" si="2113"/>
        <v>-5580000</v>
      </c>
      <c r="N204" s="132">
        <f t="shared" si="2113"/>
        <v>-6570000</v>
      </c>
      <c r="O204" s="132">
        <f t="shared" si="2113"/>
        <v>-9270000</v>
      </c>
      <c r="P204" s="132">
        <f t="shared" si="2113"/>
        <v>-13320000</v>
      </c>
      <c r="Q204" s="132">
        <f t="shared" si="2113"/>
        <v>-15750000</v>
      </c>
      <c r="R204" s="132">
        <f t="shared" si="2113"/>
        <v>-24750000</v>
      </c>
      <c r="S204" s="132">
        <f t="shared" si="2113"/>
        <v>-27900000.000000004</v>
      </c>
      <c r="T204" s="132">
        <f t="shared" si="2113"/>
        <v>-28440000</v>
      </c>
      <c r="U204" s="132">
        <f t="shared" si="2113"/>
        <v>-41940000</v>
      </c>
      <c r="V204" s="132">
        <f t="shared" si="2113"/>
        <v>-41940000</v>
      </c>
      <c r="W204" s="132">
        <f t="shared" si="2113"/>
        <v>-21877056</v>
      </c>
      <c r="X204" s="132">
        <f t="shared" si="2113"/>
        <v>0</v>
      </c>
      <c r="Y204" s="132">
        <f t="shared" si="2113"/>
        <v>0</v>
      </c>
      <c r="Z204" s="132">
        <f t="shared" si="2113"/>
        <v>0</v>
      </c>
      <c r="AA204" s="132">
        <f t="shared" si="2113"/>
        <v>0</v>
      </c>
      <c r="AB204" s="132">
        <f t="shared" si="2113"/>
        <v>0</v>
      </c>
      <c r="AC204" s="132">
        <f t="shared" si="2113"/>
        <v>0</v>
      </c>
      <c r="AD204" s="132">
        <f t="shared" si="2113"/>
        <v>0</v>
      </c>
      <c r="AE204" s="132">
        <f t="shared" si="2113"/>
        <v>0</v>
      </c>
      <c r="AF204" s="132">
        <f t="shared" si="2113"/>
        <v>0</v>
      </c>
      <c r="AG204" s="132">
        <f t="shared" si="2113"/>
        <v>0</v>
      </c>
      <c r="AH204" s="132">
        <f t="shared" si="2113"/>
        <v>0</v>
      </c>
      <c r="AI204" s="132">
        <f t="shared" si="2113"/>
        <v>0</v>
      </c>
      <c r="AJ204" s="132">
        <f t="shared" si="2113"/>
        <v>0</v>
      </c>
      <c r="AK204" s="132">
        <f t="shared" si="2113"/>
        <v>0</v>
      </c>
      <c r="AL204" s="132">
        <f t="shared" si="2113"/>
        <v>0</v>
      </c>
      <c r="AM204" s="132">
        <f t="shared" si="2113"/>
        <v>0</v>
      </c>
      <c r="AN204" s="132">
        <f t="shared" si="2113"/>
        <v>0</v>
      </c>
      <c r="AO204" s="132">
        <f t="shared" si="2113"/>
        <v>0</v>
      </c>
      <c r="AP204" s="132">
        <f t="shared" si="2113"/>
        <v>0</v>
      </c>
      <c r="AQ204" s="132">
        <f t="shared" si="2113"/>
        <v>0</v>
      </c>
      <c r="AR204" s="132">
        <f t="shared" si="2113"/>
        <v>0</v>
      </c>
      <c r="AS204" s="132">
        <f t="shared" si="2113"/>
        <v>0</v>
      </c>
      <c r="AT204" s="132">
        <f t="shared" si="2113"/>
        <v>0</v>
      </c>
      <c r="AU204" s="132">
        <f t="shared" si="2113"/>
        <v>0</v>
      </c>
      <c r="AV204" s="132">
        <f t="shared" si="2113"/>
        <v>0</v>
      </c>
      <c r="AW204" s="132">
        <f t="shared" si="2113"/>
        <v>0</v>
      </c>
      <c r="AX204" s="132">
        <f t="shared" si="2113"/>
        <v>0</v>
      </c>
      <c r="AY204" s="132">
        <f t="shared" si="2113"/>
        <v>0</v>
      </c>
      <c r="AZ204" s="132">
        <f t="shared" si="2113"/>
        <v>0</v>
      </c>
      <c r="BA204" s="132">
        <f t="shared" si="2113"/>
        <v>195972697.55504143</v>
      </c>
      <c r="BB204" s="132">
        <f t="shared" si="2113"/>
        <v>-4420811.8889556434</v>
      </c>
      <c r="BC204" s="132">
        <f t="shared" si="2113"/>
        <v>-4423784.4150807997</v>
      </c>
      <c r="BD204" s="132">
        <f t="shared" si="2113"/>
        <v>-4426764.2239402821</v>
      </c>
      <c r="BE204" s="132">
        <f t="shared" si="2113"/>
        <v>-4429751.3348315293</v>
      </c>
      <c r="BF204" s="132">
        <f t="shared" si="2113"/>
        <v>-4432745.7671067128</v>
      </c>
      <c r="BG204" s="132">
        <f t="shared" si="2113"/>
        <v>-4435747.540172915</v>
      </c>
      <c r="BH204" s="132">
        <f t="shared" si="2113"/>
        <v>-1746621.930835864</v>
      </c>
      <c r="BI204" s="132">
        <f t="shared" si="2113"/>
        <v>-1749638.4439257793</v>
      </c>
      <c r="BJ204" s="132">
        <f t="shared" si="2113"/>
        <v>-1752662.3563590213</v>
      </c>
      <c r="BK204" s="132">
        <f t="shared" si="2113"/>
        <v>260510.52409639768</v>
      </c>
      <c r="BL204" s="132">
        <f t="shared" si="2113"/>
        <v>-1588427.3695743023</v>
      </c>
      <c r="BM204" s="132">
        <f t="shared" si="2113"/>
        <v>254425.52557937941</v>
      </c>
      <c r="BN204" s="132">
        <f t="shared" si="2113"/>
        <v>357115.8026597132</v>
      </c>
      <c r="BO204" s="132">
        <f t="shared" si="2113"/>
        <v>353860.19695820985</v>
      </c>
      <c r="BP204" s="132">
        <f t="shared" si="2113"/>
        <v>350596.31281394279</v>
      </c>
      <c r="BQ204" s="132">
        <f t="shared" si="2113"/>
        <v>347324.12802694738</v>
      </c>
      <c r="BR204" s="132">
        <f t="shared" si="2113"/>
        <v>344043.6203346923</v>
      </c>
      <c r="BS204" s="132">
        <f t="shared" ref="BS204:CW204" si="2114">SUM(BS189:BS203)</f>
        <v>340754.76741187461</v>
      </c>
      <c r="BT204" s="132">
        <f t="shared" si="2114"/>
        <v>337457.54687023768</v>
      </c>
      <c r="BU204" s="132">
        <f t="shared" si="2114"/>
        <v>334151.93625840172</v>
      </c>
      <c r="BV204" s="132">
        <f t="shared" si="2114"/>
        <v>330837.91306165652</v>
      </c>
      <c r="BW204" s="132">
        <f t="shared" si="2114"/>
        <v>327515.45470179198</v>
      </c>
      <c r="BX204" s="132">
        <f t="shared" si="2114"/>
        <v>324184.53853690112</v>
      </c>
      <c r="BY204" s="132">
        <f t="shared" si="2114"/>
        <v>320845.14186119335</v>
      </c>
      <c r="BZ204" s="132">
        <f t="shared" si="2114"/>
        <v>797718886.42465794</v>
      </c>
      <c r="CA204" s="132">
        <f t="shared" si="2114"/>
        <v>0</v>
      </c>
      <c r="CB204" s="132">
        <f t="shared" si="2114"/>
        <v>0</v>
      </c>
      <c r="CC204" s="132">
        <f t="shared" si="2114"/>
        <v>0</v>
      </c>
      <c r="CD204" s="132">
        <f t="shared" si="2114"/>
        <v>0</v>
      </c>
      <c r="CE204" s="132">
        <f t="shared" si="2114"/>
        <v>0</v>
      </c>
      <c r="CF204" s="132">
        <f t="shared" si="2114"/>
        <v>0</v>
      </c>
      <c r="CG204" s="132">
        <f t="shared" si="2114"/>
        <v>0</v>
      </c>
      <c r="CH204" s="132">
        <f t="shared" si="2114"/>
        <v>0</v>
      </c>
      <c r="CI204" s="132">
        <f t="shared" si="2114"/>
        <v>0</v>
      </c>
      <c r="CJ204" s="132">
        <f t="shared" si="2114"/>
        <v>0</v>
      </c>
      <c r="CK204" s="132">
        <f t="shared" si="2114"/>
        <v>0</v>
      </c>
      <c r="CL204" s="132">
        <f t="shared" si="2114"/>
        <v>0</v>
      </c>
      <c r="CM204" s="132">
        <f t="shared" si="2114"/>
        <v>0</v>
      </c>
      <c r="CN204" s="132">
        <f t="shared" si="2114"/>
        <v>0</v>
      </c>
      <c r="CO204" s="132">
        <f t="shared" si="2114"/>
        <v>0</v>
      </c>
      <c r="CP204" s="132">
        <f t="shared" si="2114"/>
        <v>0</v>
      </c>
      <c r="CQ204" s="132">
        <f t="shared" si="2114"/>
        <v>0</v>
      </c>
      <c r="CR204" s="132">
        <f t="shared" si="2114"/>
        <v>0</v>
      </c>
      <c r="CS204" s="132">
        <f t="shared" si="2114"/>
        <v>0</v>
      </c>
      <c r="CT204" s="132">
        <f t="shared" si="2114"/>
        <v>0</v>
      </c>
      <c r="CU204" s="132">
        <f t="shared" si="2114"/>
        <v>0</v>
      </c>
      <c r="CV204" s="132">
        <f t="shared" si="2114"/>
        <v>0</v>
      </c>
      <c r="CW204" s="132">
        <f t="shared" si="2114"/>
        <v>0</v>
      </c>
    </row>
    <row r="205" spans="3:101" outlineLevel="1" x14ac:dyDescent="0.25">
      <c r="F205" s="153"/>
      <c r="CL205" s="117"/>
      <c r="CM205" s="117"/>
      <c r="CN205" s="117"/>
      <c r="CO205" s="117"/>
      <c r="CP205" s="117"/>
      <c r="CQ205" s="117"/>
      <c r="CR205" s="117"/>
      <c r="CS205" s="117"/>
      <c r="CT205" s="117"/>
      <c r="CU205" s="117"/>
      <c r="CV205" s="117"/>
      <c r="CW205" s="117"/>
    </row>
    <row r="206" spans="3:101" outlineLevel="1" x14ac:dyDescent="0.25">
      <c r="C206" s="83" t="s">
        <v>31</v>
      </c>
      <c r="D206" s="84" t="s">
        <v>39</v>
      </c>
      <c r="E206" s="85">
        <f>XIRR(F204:CW204,F183:CW183)</f>
        <v>0.18959111571311948</v>
      </c>
      <c r="CK206" s="27"/>
      <c r="CL206" s="117"/>
      <c r="CM206" s="117"/>
      <c r="CN206" s="117"/>
      <c r="CO206" s="117"/>
      <c r="CP206" s="117"/>
      <c r="CQ206" s="117"/>
      <c r="CR206" s="117"/>
      <c r="CS206" s="117"/>
      <c r="CT206" s="117"/>
      <c r="CU206" s="117"/>
      <c r="CV206" s="117"/>
      <c r="CW206" s="117"/>
    </row>
    <row r="207" spans="3:101" outlineLevel="1" x14ac:dyDescent="0.25">
      <c r="CL207" s="117"/>
      <c r="CM207" s="117"/>
      <c r="CN207" s="117"/>
      <c r="CO207" s="117"/>
      <c r="CP207" s="117"/>
      <c r="CQ207" s="117"/>
      <c r="CR207" s="117"/>
      <c r="CS207" s="117"/>
      <c r="CT207" s="117"/>
      <c r="CU207" s="117"/>
      <c r="CV207" s="117"/>
      <c r="CW207" s="117"/>
    </row>
    <row r="208" spans="3:101" outlineLevel="1" x14ac:dyDescent="0.25">
      <c r="C208" s="98" t="s">
        <v>81</v>
      </c>
      <c r="D208" s="47" t="s">
        <v>107</v>
      </c>
      <c r="E208" s="16">
        <f>SUMIF(F204:CW204,"&gt;0",F204:CW204)</f>
        <v>998275207.38887072</v>
      </c>
      <c r="CL208" s="117"/>
      <c r="CM208" s="117"/>
      <c r="CN208" s="117"/>
      <c r="CO208" s="117"/>
      <c r="CP208" s="117"/>
      <c r="CQ208" s="117"/>
      <c r="CR208" s="117"/>
      <c r="CS208" s="117"/>
      <c r="CT208" s="117"/>
      <c r="CU208" s="117"/>
      <c r="CV208" s="117"/>
      <c r="CW208" s="117"/>
    </row>
    <row r="209" spans="2:101" outlineLevel="1" x14ac:dyDescent="0.25">
      <c r="C209" s="98" t="s">
        <v>82</v>
      </c>
      <c r="D209" s="47" t="s">
        <v>107</v>
      </c>
      <c r="E209" s="16">
        <f>-SUMIF(F204:CW204,"&lt;=0",F204:CW204)</f>
        <v>448644011.27078283</v>
      </c>
      <c r="CL209" s="117"/>
      <c r="CM209" s="117"/>
      <c r="CN209" s="117"/>
      <c r="CO209" s="117"/>
      <c r="CP209" s="117"/>
      <c r="CQ209" s="117"/>
      <c r="CR209" s="117"/>
      <c r="CS209" s="117"/>
      <c r="CT209" s="117"/>
      <c r="CU209" s="117"/>
      <c r="CV209" s="117"/>
      <c r="CW209" s="117"/>
    </row>
    <row r="210" spans="2:101" outlineLevel="1" x14ac:dyDescent="0.25">
      <c r="C210" s="98" t="s">
        <v>83</v>
      </c>
      <c r="D210" s="89" t="s">
        <v>74</v>
      </c>
      <c r="E210" s="213">
        <f>+E208/E209</f>
        <v>2.2250942446802293</v>
      </c>
      <c r="CL210" s="117"/>
      <c r="CM210" s="117"/>
      <c r="CN210" s="117"/>
      <c r="CO210" s="117"/>
      <c r="CP210" s="117"/>
      <c r="CQ210" s="117"/>
      <c r="CR210" s="117"/>
      <c r="CS210" s="117"/>
      <c r="CT210" s="117"/>
      <c r="CU210" s="117"/>
      <c r="CV210" s="117"/>
      <c r="CW210" s="117"/>
    </row>
    <row r="211" spans="2:101" x14ac:dyDescent="0.25">
      <c r="CL211" s="117"/>
      <c r="CM211" s="117"/>
      <c r="CN211" s="117"/>
      <c r="CO211" s="117"/>
      <c r="CP211" s="117"/>
      <c r="CQ211" s="117"/>
      <c r="CR211" s="117"/>
      <c r="CS211" s="117"/>
      <c r="CT211" s="117"/>
      <c r="CU211" s="117"/>
      <c r="CV211" s="117"/>
      <c r="CW211" s="117"/>
    </row>
    <row r="212" spans="2:101" x14ac:dyDescent="0.25">
      <c r="B212" s="52" t="s">
        <v>162</v>
      </c>
      <c r="C212" s="52"/>
      <c r="D212" s="40" t="str">
        <f>+$D$5</f>
        <v>Units:</v>
      </c>
      <c r="E212" s="52"/>
      <c r="F212" s="120">
        <f>Constr_Start_Date</f>
        <v>42155</v>
      </c>
      <c r="G212" s="120">
        <f>EOMONTH(F212,1)</f>
        <v>42185</v>
      </c>
      <c r="H212" s="120">
        <f t="shared" ref="H212" si="2115">EOMONTH(G212,1)</f>
        <v>42216</v>
      </c>
      <c r="I212" s="120">
        <f t="shared" ref="I212" si="2116">EOMONTH(H212,1)</f>
        <v>42247</v>
      </c>
      <c r="J212" s="120">
        <f t="shared" ref="J212" si="2117">EOMONTH(I212,1)</f>
        <v>42277</v>
      </c>
      <c r="K212" s="120">
        <f t="shared" ref="K212" si="2118">EOMONTH(J212,1)</f>
        <v>42308</v>
      </c>
      <c r="L212" s="120">
        <f t="shared" ref="L212" si="2119">EOMONTH(K212,1)</f>
        <v>42338</v>
      </c>
      <c r="M212" s="120">
        <f t="shared" ref="M212" si="2120">EOMONTH(L212,1)</f>
        <v>42369</v>
      </c>
      <c r="N212" s="120">
        <f t="shared" ref="N212" si="2121">EOMONTH(M212,1)</f>
        <v>42400</v>
      </c>
      <c r="O212" s="120">
        <f t="shared" ref="O212" si="2122">EOMONTH(N212,1)</f>
        <v>42429</v>
      </c>
      <c r="P212" s="120">
        <f t="shared" ref="P212" si="2123">EOMONTH(O212,1)</f>
        <v>42460</v>
      </c>
      <c r="Q212" s="120">
        <f t="shared" ref="Q212" si="2124">EOMONTH(P212,1)</f>
        <v>42490</v>
      </c>
      <c r="R212" s="120">
        <f t="shared" ref="R212" si="2125">EOMONTH(Q212,1)</f>
        <v>42521</v>
      </c>
      <c r="S212" s="120">
        <f t="shared" ref="S212" si="2126">EOMONTH(R212,1)</f>
        <v>42551</v>
      </c>
      <c r="T212" s="120">
        <f t="shared" ref="T212" si="2127">EOMONTH(S212,1)</f>
        <v>42582</v>
      </c>
      <c r="U212" s="120">
        <f t="shared" ref="U212" si="2128">EOMONTH(T212,1)</f>
        <v>42613</v>
      </c>
      <c r="V212" s="120">
        <f t="shared" ref="V212" si="2129">EOMONTH(U212,1)</f>
        <v>42643</v>
      </c>
      <c r="W212" s="120">
        <f t="shared" ref="W212" si="2130">EOMONTH(V212,1)</f>
        <v>42674</v>
      </c>
      <c r="X212" s="120">
        <f t="shared" ref="X212" si="2131">EOMONTH(W212,1)</f>
        <v>42704</v>
      </c>
      <c r="Y212" s="120">
        <f t="shared" ref="Y212" si="2132">EOMONTH(X212,1)</f>
        <v>42735</v>
      </c>
      <c r="Z212" s="120">
        <f t="shared" ref="Z212" si="2133">EOMONTH(Y212,1)</f>
        <v>42766</v>
      </c>
      <c r="AA212" s="120">
        <f t="shared" ref="AA212" si="2134">EOMONTH(Z212,1)</f>
        <v>42794</v>
      </c>
      <c r="AB212" s="120">
        <f t="shared" ref="AB212" si="2135">EOMONTH(AA212,1)</f>
        <v>42825</v>
      </c>
      <c r="AC212" s="120">
        <f t="shared" ref="AC212" si="2136">EOMONTH(AB212,1)</f>
        <v>42855</v>
      </c>
      <c r="AD212" s="120">
        <f t="shared" ref="AD212" si="2137">EOMONTH(AC212,1)</f>
        <v>42886</v>
      </c>
      <c r="AE212" s="120">
        <f t="shared" ref="AE212" si="2138">EOMONTH(AD212,1)</f>
        <v>42916</v>
      </c>
      <c r="AF212" s="120">
        <f t="shared" ref="AF212" si="2139">EOMONTH(AE212,1)</f>
        <v>42947</v>
      </c>
      <c r="AG212" s="120">
        <f t="shared" ref="AG212" si="2140">EOMONTH(AF212,1)</f>
        <v>42978</v>
      </c>
      <c r="AH212" s="120">
        <f t="shared" ref="AH212" si="2141">EOMONTH(AG212,1)</f>
        <v>43008</v>
      </c>
      <c r="AI212" s="120">
        <f t="shared" ref="AI212" si="2142">EOMONTH(AH212,1)</f>
        <v>43039</v>
      </c>
      <c r="AJ212" s="120">
        <f t="shared" ref="AJ212" si="2143">EOMONTH(AI212,1)</f>
        <v>43069</v>
      </c>
      <c r="AK212" s="120">
        <f t="shared" ref="AK212" si="2144">EOMONTH(AJ212,1)</f>
        <v>43100</v>
      </c>
      <c r="AL212" s="120">
        <f t="shared" ref="AL212" si="2145">EOMONTH(AK212,1)</f>
        <v>43131</v>
      </c>
      <c r="AM212" s="120">
        <f t="shared" ref="AM212" si="2146">EOMONTH(AL212,1)</f>
        <v>43159</v>
      </c>
      <c r="AN212" s="120">
        <f t="shared" ref="AN212" si="2147">EOMONTH(AM212,1)</f>
        <v>43190</v>
      </c>
      <c r="AO212" s="120">
        <f t="shared" ref="AO212" si="2148">EOMONTH(AN212,1)</f>
        <v>43220</v>
      </c>
      <c r="AP212" s="120">
        <f t="shared" ref="AP212" si="2149">EOMONTH(AO212,1)</f>
        <v>43251</v>
      </c>
      <c r="AQ212" s="120">
        <f t="shared" ref="AQ212" si="2150">EOMONTH(AP212,1)</f>
        <v>43281</v>
      </c>
      <c r="AR212" s="120">
        <f t="shared" ref="AR212" si="2151">EOMONTH(AQ212,1)</f>
        <v>43312</v>
      </c>
      <c r="AS212" s="120">
        <f t="shared" ref="AS212" si="2152">EOMONTH(AR212,1)</f>
        <v>43343</v>
      </c>
      <c r="AT212" s="120">
        <f t="shared" ref="AT212" si="2153">EOMONTH(AS212,1)</f>
        <v>43373</v>
      </c>
      <c r="AU212" s="120">
        <f t="shared" ref="AU212" si="2154">EOMONTH(AT212,1)</f>
        <v>43404</v>
      </c>
      <c r="AV212" s="120">
        <f t="shared" ref="AV212" si="2155">EOMONTH(AU212,1)</f>
        <v>43434</v>
      </c>
      <c r="AW212" s="120">
        <f t="shared" ref="AW212" si="2156">EOMONTH(AV212,1)</f>
        <v>43465</v>
      </c>
      <c r="AX212" s="120">
        <f t="shared" ref="AX212" si="2157">EOMONTH(AW212,1)</f>
        <v>43496</v>
      </c>
      <c r="AY212" s="120">
        <f t="shared" ref="AY212" si="2158">EOMONTH(AX212,1)</f>
        <v>43524</v>
      </c>
      <c r="AZ212" s="120">
        <f t="shared" ref="AZ212" si="2159">EOMONTH(AY212,1)</f>
        <v>43555</v>
      </c>
      <c r="BA212" s="120">
        <f t="shared" ref="BA212" si="2160">EOMONTH(AZ212,1)</f>
        <v>43585</v>
      </c>
      <c r="BB212" s="120">
        <f t="shared" ref="BB212" si="2161">EOMONTH(BA212,1)</f>
        <v>43616</v>
      </c>
      <c r="BC212" s="120">
        <f t="shared" ref="BC212" si="2162">EOMONTH(BB212,1)</f>
        <v>43646</v>
      </c>
      <c r="BD212" s="120">
        <f t="shared" ref="BD212" si="2163">EOMONTH(BC212,1)</f>
        <v>43677</v>
      </c>
      <c r="BE212" s="120">
        <f t="shared" ref="BE212" si="2164">EOMONTH(BD212,1)</f>
        <v>43708</v>
      </c>
      <c r="BF212" s="120">
        <f t="shared" ref="BF212" si="2165">EOMONTH(BE212,1)</f>
        <v>43738</v>
      </c>
      <c r="BG212" s="120">
        <f t="shared" ref="BG212" si="2166">EOMONTH(BF212,1)</f>
        <v>43769</v>
      </c>
      <c r="BH212" s="120">
        <f t="shared" ref="BH212" si="2167">EOMONTH(BG212,1)</f>
        <v>43799</v>
      </c>
      <c r="BI212" s="120">
        <f t="shared" ref="BI212" si="2168">EOMONTH(BH212,1)</f>
        <v>43830</v>
      </c>
      <c r="BJ212" s="120">
        <f t="shared" ref="BJ212" si="2169">EOMONTH(BI212,1)</f>
        <v>43861</v>
      </c>
      <c r="BK212" s="120">
        <f t="shared" ref="BK212" si="2170">EOMONTH(BJ212,1)</f>
        <v>43890</v>
      </c>
      <c r="BL212" s="120">
        <f t="shared" ref="BL212" si="2171">EOMONTH(BK212,1)</f>
        <v>43921</v>
      </c>
      <c r="BM212" s="120">
        <f t="shared" ref="BM212" si="2172">EOMONTH(BL212,1)</f>
        <v>43951</v>
      </c>
      <c r="BN212" s="120">
        <f t="shared" ref="BN212" si="2173">EOMONTH(BM212,1)</f>
        <v>43982</v>
      </c>
      <c r="BO212" s="120">
        <f t="shared" ref="BO212" si="2174">EOMONTH(BN212,1)</f>
        <v>44012</v>
      </c>
      <c r="BP212" s="120">
        <f t="shared" ref="BP212" si="2175">EOMONTH(BO212,1)</f>
        <v>44043</v>
      </c>
      <c r="BQ212" s="120">
        <f t="shared" ref="BQ212" si="2176">EOMONTH(BP212,1)</f>
        <v>44074</v>
      </c>
      <c r="BR212" s="120">
        <f t="shared" ref="BR212" si="2177">EOMONTH(BQ212,1)</f>
        <v>44104</v>
      </c>
      <c r="BS212" s="120">
        <f t="shared" ref="BS212" si="2178">EOMONTH(BR212,1)</f>
        <v>44135</v>
      </c>
      <c r="BT212" s="120">
        <f t="shared" ref="BT212" si="2179">EOMONTH(BS212,1)</f>
        <v>44165</v>
      </c>
      <c r="BU212" s="120">
        <f t="shared" ref="BU212" si="2180">EOMONTH(BT212,1)</f>
        <v>44196</v>
      </c>
      <c r="BV212" s="120">
        <f t="shared" ref="BV212" si="2181">EOMONTH(BU212,1)</f>
        <v>44227</v>
      </c>
      <c r="BW212" s="120">
        <f t="shared" ref="BW212" si="2182">EOMONTH(BV212,1)</f>
        <v>44255</v>
      </c>
      <c r="BX212" s="120">
        <f t="shared" ref="BX212" si="2183">EOMONTH(BW212,1)</f>
        <v>44286</v>
      </c>
      <c r="BY212" s="120">
        <f t="shared" ref="BY212" si="2184">EOMONTH(BX212,1)</f>
        <v>44316</v>
      </c>
      <c r="BZ212" s="120">
        <f t="shared" ref="BZ212" si="2185">EOMONTH(BY212,1)</f>
        <v>44347</v>
      </c>
      <c r="CA212" s="120">
        <f t="shared" ref="CA212" si="2186">EOMONTH(BZ212,1)</f>
        <v>44377</v>
      </c>
      <c r="CB212" s="120">
        <f t="shared" ref="CB212" si="2187">EOMONTH(CA212,1)</f>
        <v>44408</v>
      </c>
      <c r="CC212" s="120">
        <f t="shared" ref="CC212" si="2188">EOMONTH(CB212,1)</f>
        <v>44439</v>
      </c>
      <c r="CD212" s="120">
        <f t="shared" ref="CD212" si="2189">EOMONTH(CC212,1)</f>
        <v>44469</v>
      </c>
      <c r="CE212" s="120">
        <f t="shared" ref="CE212" si="2190">EOMONTH(CD212,1)</f>
        <v>44500</v>
      </c>
      <c r="CF212" s="120">
        <f t="shared" ref="CF212" si="2191">EOMONTH(CE212,1)</f>
        <v>44530</v>
      </c>
      <c r="CG212" s="120">
        <f t="shared" ref="CG212" si="2192">EOMONTH(CF212,1)</f>
        <v>44561</v>
      </c>
      <c r="CH212" s="120">
        <f t="shared" ref="CH212" si="2193">EOMONTH(CG212,1)</f>
        <v>44592</v>
      </c>
      <c r="CI212" s="120">
        <f t="shared" ref="CI212" si="2194">EOMONTH(CH212,1)</f>
        <v>44620</v>
      </c>
      <c r="CJ212" s="120">
        <f t="shared" ref="CJ212" si="2195">EOMONTH(CI212,1)</f>
        <v>44651</v>
      </c>
      <c r="CK212" s="120">
        <f t="shared" ref="CK212" si="2196">EOMONTH(CJ212,1)</f>
        <v>44681</v>
      </c>
      <c r="CL212" s="120">
        <f t="shared" ref="CL212" si="2197">EOMONTH(CK212,1)</f>
        <v>44712</v>
      </c>
      <c r="CM212" s="120">
        <f t="shared" ref="CM212" si="2198">EOMONTH(CL212,1)</f>
        <v>44742</v>
      </c>
      <c r="CN212" s="120">
        <f t="shared" ref="CN212" si="2199">EOMONTH(CM212,1)</f>
        <v>44773</v>
      </c>
      <c r="CO212" s="120">
        <f t="shared" ref="CO212" si="2200">EOMONTH(CN212,1)</f>
        <v>44804</v>
      </c>
      <c r="CP212" s="120">
        <f t="shared" ref="CP212" si="2201">EOMONTH(CO212,1)</f>
        <v>44834</v>
      </c>
      <c r="CQ212" s="120">
        <f t="shared" ref="CQ212" si="2202">EOMONTH(CP212,1)</f>
        <v>44865</v>
      </c>
      <c r="CR212" s="120">
        <f t="shared" ref="CR212" si="2203">EOMONTH(CQ212,1)</f>
        <v>44895</v>
      </c>
      <c r="CS212" s="120">
        <f t="shared" ref="CS212" si="2204">EOMONTH(CR212,1)</f>
        <v>44926</v>
      </c>
      <c r="CT212" s="120">
        <f t="shared" ref="CT212" si="2205">EOMONTH(CS212,1)</f>
        <v>44957</v>
      </c>
      <c r="CU212" s="120">
        <f t="shared" ref="CU212" si="2206">EOMONTH(CT212,1)</f>
        <v>44985</v>
      </c>
      <c r="CV212" s="120">
        <f t="shared" ref="CV212" si="2207">EOMONTH(CU212,1)</f>
        <v>45016</v>
      </c>
      <c r="CW212" s="120">
        <f t="shared" ref="CW212" si="2208">EOMONTH(CV212,1)</f>
        <v>45046</v>
      </c>
    </row>
    <row r="213" spans="2:101" outlineLevel="1" x14ac:dyDescent="0.25"/>
    <row r="214" spans="2:101" outlineLevel="1" x14ac:dyDescent="0.25">
      <c r="C214" s="20" t="s">
        <v>171</v>
      </c>
      <c r="D214" s="47" t="s">
        <v>107</v>
      </c>
      <c r="F214" s="153">
        <f>-F191</f>
        <v>0</v>
      </c>
      <c r="G214" s="153">
        <f t="shared" ref="G214:BR214" si="2209">-G191</f>
        <v>0</v>
      </c>
      <c r="H214" s="153">
        <f t="shared" si="2209"/>
        <v>0</v>
      </c>
      <c r="I214" s="153">
        <f t="shared" si="2209"/>
        <v>0</v>
      </c>
      <c r="J214" s="153">
        <f t="shared" si="2209"/>
        <v>0</v>
      </c>
      <c r="K214" s="153">
        <f t="shared" si="2209"/>
        <v>0</v>
      </c>
      <c r="L214" s="153">
        <f t="shared" si="2209"/>
        <v>0</v>
      </c>
      <c r="M214" s="153">
        <f t="shared" si="2209"/>
        <v>0</v>
      </c>
      <c r="N214" s="153">
        <f t="shared" si="2209"/>
        <v>0</v>
      </c>
      <c r="O214" s="153">
        <f t="shared" si="2209"/>
        <v>0</v>
      </c>
      <c r="P214" s="153">
        <f t="shared" si="2209"/>
        <v>0</v>
      </c>
      <c r="Q214" s="153">
        <f t="shared" si="2209"/>
        <v>0</v>
      </c>
      <c r="R214" s="153">
        <f t="shared" si="2209"/>
        <v>0</v>
      </c>
      <c r="S214" s="153">
        <f t="shared" si="2209"/>
        <v>0</v>
      </c>
      <c r="T214" s="153">
        <f t="shared" si="2209"/>
        <v>0</v>
      </c>
      <c r="U214" s="153">
        <f t="shared" si="2209"/>
        <v>0</v>
      </c>
      <c r="V214" s="153">
        <f t="shared" si="2209"/>
        <v>0</v>
      </c>
      <c r="W214" s="153">
        <f t="shared" si="2209"/>
        <v>0</v>
      </c>
      <c r="X214" s="153">
        <f t="shared" si="2209"/>
        <v>0</v>
      </c>
      <c r="Y214" s="153">
        <f t="shared" si="2209"/>
        <v>0</v>
      </c>
      <c r="Z214" s="153">
        <f t="shared" si="2209"/>
        <v>0</v>
      </c>
      <c r="AA214" s="153">
        <f t="shared" si="2209"/>
        <v>0</v>
      </c>
      <c r="AB214" s="153">
        <f t="shared" si="2209"/>
        <v>0</v>
      </c>
      <c r="AC214" s="153">
        <f t="shared" si="2209"/>
        <v>0</v>
      </c>
      <c r="AD214" s="153">
        <f t="shared" si="2209"/>
        <v>0</v>
      </c>
      <c r="AE214" s="153">
        <f t="shared" si="2209"/>
        <v>0</v>
      </c>
      <c r="AF214" s="153">
        <f t="shared" si="2209"/>
        <v>0</v>
      </c>
      <c r="AG214" s="153">
        <f t="shared" si="2209"/>
        <v>0</v>
      </c>
      <c r="AH214" s="153">
        <f t="shared" si="2209"/>
        <v>0</v>
      </c>
      <c r="AI214" s="153">
        <f t="shared" si="2209"/>
        <v>0</v>
      </c>
      <c r="AJ214" s="153">
        <f t="shared" si="2209"/>
        <v>0</v>
      </c>
      <c r="AK214" s="153">
        <f t="shared" si="2209"/>
        <v>0</v>
      </c>
      <c r="AL214" s="153">
        <f t="shared" si="2209"/>
        <v>0</v>
      </c>
      <c r="AM214" s="153">
        <f t="shared" si="2209"/>
        <v>0</v>
      </c>
      <c r="AN214" s="153">
        <f t="shared" si="2209"/>
        <v>0</v>
      </c>
      <c r="AO214" s="153">
        <f t="shared" si="2209"/>
        <v>0</v>
      </c>
      <c r="AP214" s="153">
        <f t="shared" si="2209"/>
        <v>0</v>
      </c>
      <c r="AQ214" s="153">
        <f t="shared" si="2209"/>
        <v>0</v>
      </c>
      <c r="AR214" s="153">
        <f t="shared" si="2209"/>
        <v>0</v>
      </c>
      <c r="AS214" s="153">
        <f t="shared" si="2209"/>
        <v>0</v>
      </c>
      <c r="AT214" s="153">
        <f t="shared" si="2209"/>
        <v>0</v>
      </c>
      <c r="AU214" s="153">
        <f t="shared" si="2209"/>
        <v>0</v>
      </c>
      <c r="AV214" s="153">
        <f t="shared" si="2209"/>
        <v>0</v>
      </c>
      <c r="AW214" s="153">
        <f t="shared" si="2209"/>
        <v>0</v>
      </c>
      <c r="AX214" s="153">
        <f t="shared" si="2209"/>
        <v>0</v>
      </c>
      <c r="AY214" s="153">
        <f t="shared" si="2209"/>
        <v>0</v>
      </c>
      <c r="AZ214" s="153">
        <f t="shared" si="2209"/>
        <v>0</v>
      </c>
      <c r="BA214" s="153">
        <f t="shared" si="2209"/>
        <v>-116215744.00254714</v>
      </c>
      <c r="BB214" s="153">
        <f t="shared" si="2209"/>
        <v>0</v>
      </c>
      <c r="BC214" s="153">
        <f t="shared" si="2209"/>
        <v>0</v>
      </c>
      <c r="BD214" s="153">
        <f t="shared" si="2209"/>
        <v>0</v>
      </c>
      <c r="BE214" s="153">
        <f t="shared" si="2209"/>
        <v>0</v>
      </c>
      <c r="BF214" s="153">
        <f t="shared" si="2209"/>
        <v>0</v>
      </c>
      <c r="BG214" s="153">
        <f t="shared" si="2209"/>
        <v>0</v>
      </c>
      <c r="BH214" s="153">
        <f t="shared" si="2209"/>
        <v>0</v>
      </c>
      <c r="BI214" s="153">
        <f t="shared" si="2209"/>
        <v>0</v>
      </c>
      <c r="BJ214" s="153">
        <f t="shared" si="2209"/>
        <v>0</v>
      </c>
      <c r="BK214" s="153">
        <f t="shared" si="2209"/>
        <v>0</v>
      </c>
      <c r="BL214" s="153">
        <f t="shared" si="2209"/>
        <v>0</v>
      </c>
      <c r="BM214" s="153">
        <f t="shared" si="2209"/>
        <v>0</v>
      </c>
      <c r="BN214" s="153">
        <f t="shared" si="2209"/>
        <v>0</v>
      </c>
      <c r="BO214" s="153">
        <f t="shared" si="2209"/>
        <v>0</v>
      </c>
      <c r="BP214" s="153">
        <f t="shared" si="2209"/>
        <v>0</v>
      </c>
      <c r="BQ214" s="153">
        <f t="shared" si="2209"/>
        <v>0</v>
      </c>
      <c r="BR214" s="153">
        <f t="shared" si="2209"/>
        <v>0</v>
      </c>
      <c r="BS214" s="153">
        <f t="shared" ref="BS214:CW214" si="2210">-BS191</f>
        <v>0</v>
      </c>
      <c r="BT214" s="153">
        <f t="shared" si="2210"/>
        <v>0</v>
      </c>
      <c r="BU214" s="153">
        <f t="shared" si="2210"/>
        <v>0</v>
      </c>
      <c r="BV214" s="153">
        <f t="shared" si="2210"/>
        <v>0</v>
      </c>
      <c r="BW214" s="153">
        <f t="shared" si="2210"/>
        <v>0</v>
      </c>
      <c r="BX214" s="153">
        <f t="shared" si="2210"/>
        <v>0</v>
      </c>
      <c r="BY214" s="153">
        <f t="shared" si="2210"/>
        <v>0</v>
      </c>
      <c r="BZ214" s="153">
        <f t="shared" si="2210"/>
        <v>0</v>
      </c>
      <c r="CA214" s="153">
        <f t="shared" si="2210"/>
        <v>0</v>
      </c>
      <c r="CB214" s="153">
        <f t="shared" si="2210"/>
        <v>0</v>
      </c>
      <c r="CC214" s="153">
        <f t="shared" si="2210"/>
        <v>0</v>
      </c>
      <c r="CD214" s="153">
        <f t="shared" si="2210"/>
        <v>0</v>
      </c>
      <c r="CE214" s="153">
        <f t="shared" si="2210"/>
        <v>0</v>
      </c>
      <c r="CF214" s="153">
        <f t="shared" si="2210"/>
        <v>0</v>
      </c>
      <c r="CG214" s="153">
        <f t="shared" si="2210"/>
        <v>0</v>
      </c>
      <c r="CH214" s="153">
        <f t="shared" si="2210"/>
        <v>0</v>
      </c>
      <c r="CI214" s="153">
        <f t="shared" si="2210"/>
        <v>0</v>
      </c>
      <c r="CJ214" s="153">
        <f t="shared" si="2210"/>
        <v>0</v>
      </c>
      <c r="CK214" s="153">
        <f t="shared" si="2210"/>
        <v>0</v>
      </c>
      <c r="CL214" s="153">
        <f t="shared" si="2210"/>
        <v>0</v>
      </c>
      <c r="CM214" s="153">
        <f t="shared" si="2210"/>
        <v>0</v>
      </c>
      <c r="CN214" s="153">
        <f t="shared" si="2210"/>
        <v>0</v>
      </c>
      <c r="CO214" s="153">
        <f t="shared" si="2210"/>
        <v>0</v>
      </c>
      <c r="CP214" s="153">
        <f t="shared" si="2210"/>
        <v>0</v>
      </c>
      <c r="CQ214" s="153">
        <f t="shared" si="2210"/>
        <v>0</v>
      </c>
      <c r="CR214" s="153">
        <f t="shared" si="2210"/>
        <v>0</v>
      </c>
      <c r="CS214" s="153">
        <f t="shared" si="2210"/>
        <v>0</v>
      </c>
      <c r="CT214" s="153">
        <f t="shared" si="2210"/>
        <v>0</v>
      </c>
      <c r="CU214" s="153">
        <f t="shared" si="2210"/>
        <v>0</v>
      </c>
      <c r="CV214" s="153">
        <f t="shared" si="2210"/>
        <v>0</v>
      </c>
      <c r="CW214" s="153">
        <f t="shared" si="2210"/>
        <v>0</v>
      </c>
    </row>
    <row r="215" spans="2:101" outlineLevel="1" x14ac:dyDescent="0.25">
      <c r="C215" s="20" t="s">
        <v>177</v>
      </c>
      <c r="D215" s="47" t="s">
        <v>107</v>
      </c>
      <c r="F215" s="6">
        <f t="shared" ref="F215:AK215" si="2211">IF(F212&lt;=Exit_Date,-F172,0)</f>
        <v>0</v>
      </c>
      <c r="G215" s="6">
        <f t="shared" si="2211"/>
        <v>0</v>
      </c>
      <c r="H215" s="6">
        <f t="shared" si="2211"/>
        <v>0</v>
      </c>
      <c r="I215" s="6">
        <f t="shared" si="2211"/>
        <v>0</v>
      </c>
      <c r="J215" s="6">
        <f t="shared" si="2211"/>
        <v>0</v>
      </c>
      <c r="K215" s="6">
        <f t="shared" si="2211"/>
        <v>0</v>
      </c>
      <c r="L215" s="6">
        <f t="shared" si="2211"/>
        <v>0</v>
      </c>
      <c r="M215" s="6">
        <f t="shared" si="2211"/>
        <v>0</v>
      </c>
      <c r="N215" s="6">
        <f t="shared" si="2211"/>
        <v>0</v>
      </c>
      <c r="O215" s="6">
        <f t="shared" si="2211"/>
        <v>0</v>
      </c>
      <c r="P215" s="6">
        <f t="shared" si="2211"/>
        <v>0</v>
      </c>
      <c r="Q215" s="6">
        <f t="shared" si="2211"/>
        <v>0</v>
      </c>
      <c r="R215" s="6">
        <f t="shared" si="2211"/>
        <v>0</v>
      </c>
      <c r="S215" s="6">
        <f t="shared" si="2211"/>
        <v>0</v>
      </c>
      <c r="T215" s="6">
        <f t="shared" si="2211"/>
        <v>0</v>
      </c>
      <c r="U215" s="6">
        <f t="shared" si="2211"/>
        <v>0</v>
      </c>
      <c r="V215" s="6">
        <f t="shared" si="2211"/>
        <v>0</v>
      </c>
      <c r="W215" s="6">
        <f t="shared" si="2211"/>
        <v>0</v>
      </c>
      <c r="X215" s="6">
        <f t="shared" si="2211"/>
        <v>0</v>
      </c>
      <c r="Y215" s="6">
        <f t="shared" si="2211"/>
        <v>0</v>
      </c>
      <c r="Z215" s="6">
        <f t="shared" si="2211"/>
        <v>0</v>
      </c>
      <c r="AA215" s="6">
        <f t="shared" si="2211"/>
        <v>0</v>
      </c>
      <c r="AB215" s="6">
        <f t="shared" si="2211"/>
        <v>0</v>
      </c>
      <c r="AC215" s="6">
        <f t="shared" si="2211"/>
        <v>0</v>
      </c>
      <c r="AD215" s="6">
        <f t="shared" si="2211"/>
        <v>0</v>
      </c>
      <c r="AE215" s="6">
        <f t="shared" si="2211"/>
        <v>0</v>
      </c>
      <c r="AF215" s="6">
        <f t="shared" si="2211"/>
        <v>0</v>
      </c>
      <c r="AG215" s="6">
        <f t="shared" si="2211"/>
        <v>0</v>
      </c>
      <c r="AH215" s="6">
        <f t="shared" si="2211"/>
        <v>0</v>
      </c>
      <c r="AI215" s="6">
        <f t="shared" si="2211"/>
        <v>0</v>
      </c>
      <c r="AJ215" s="6">
        <f t="shared" si="2211"/>
        <v>0</v>
      </c>
      <c r="AK215" s="6">
        <f t="shared" si="2211"/>
        <v>0</v>
      </c>
      <c r="AL215" s="6">
        <f t="shared" ref="AL215:BQ215" si="2212">IF(AL212&lt;=Exit_Date,-AL172,0)</f>
        <v>0</v>
      </c>
      <c r="AM215" s="6">
        <f t="shared" si="2212"/>
        <v>0</v>
      </c>
      <c r="AN215" s="6">
        <f t="shared" si="2212"/>
        <v>0</v>
      </c>
      <c r="AO215" s="6">
        <f t="shared" si="2212"/>
        <v>0</v>
      </c>
      <c r="AP215" s="6">
        <f t="shared" si="2212"/>
        <v>0</v>
      </c>
      <c r="AQ215" s="6">
        <f t="shared" si="2212"/>
        <v>0</v>
      </c>
      <c r="AR215" s="6">
        <f t="shared" si="2212"/>
        <v>0</v>
      </c>
      <c r="AS215" s="6">
        <f t="shared" si="2212"/>
        <v>0</v>
      </c>
      <c r="AT215" s="6">
        <f t="shared" si="2212"/>
        <v>0</v>
      </c>
      <c r="AU215" s="6">
        <f t="shared" si="2212"/>
        <v>0</v>
      </c>
      <c r="AV215" s="6">
        <f t="shared" si="2212"/>
        <v>0</v>
      </c>
      <c r="AW215" s="6">
        <f t="shared" si="2212"/>
        <v>0</v>
      </c>
      <c r="AX215" s="6">
        <f t="shared" si="2212"/>
        <v>0</v>
      </c>
      <c r="AY215" s="6">
        <f t="shared" si="2212"/>
        <v>0</v>
      </c>
      <c r="AZ215" s="6">
        <f t="shared" si="2212"/>
        <v>0</v>
      </c>
      <c r="BA215" s="6">
        <f t="shared" si="2212"/>
        <v>0</v>
      </c>
      <c r="BB215" s="6">
        <f t="shared" si="2212"/>
        <v>380460.10445898346</v>
      </c>
      <c r="BC215" s="6">
        <f t="shared" si="2212"/>
        <v>381705.63183849043</v>
      </c>
      <c r="BD215" s="6">
        <f t="shared" si="2212"/>
        <v>382955.23675052944</v>
      </c>
      <c r="BE215" s="6">
        <f t="shared" si="2212"/>
        <v>384208.93254388106</v>
      </c>
      <c r="BF215" s="6">
        <f t="shared" si="2212"/>
        <v>385466.73261102615</v>
      </c>
      <c r="BG215" s="6">
        <f t="shared" si="2212"/>
        <v>386728.65038828907</v>
      </c>
      <c r="BH215" s="6">
        <f t="shared" si="2212"/>
        <v>387994.69935598131</v>
      </c>
      <c r="BI215" s="6">
        <f t="shared" si="2212"/>
        <v>389264.89303854527</v>
      </c>
      <c r="BJ215" s="6">
        <f t="shared" si="2212"/>
        <v>390539.24500469893</v>
      </c>
      <c r="BK215" s="6">
        <f t="shared" si="2212"/>
        <v>391817.76886758074</v>
      </c>
      <c r="BL215" s="6">
        <f t="shared" si="2212"/>
        <v>393100.47828489501</v>
      </c>
      <c r="BM215" s="6">
        <f t="shared" si="2212"/>
        <v>394387.38695905765</v>
      </c>
      <c r="BN215" s="6">
        <f t="shared" si="2212"/>
        <v>395678.50863734301</v>
      </c>
      <c r="BO215" s="6">
        <f t="shared" si="2212"/>
        <v>396973.85711203021</v>
      </c>
      <c r="BP215" s="6">
        <f t="shared" si="2212"/>
        <v>398273.44622055086</v>
      </c>
      <c r="BQ215" s="6">
        <f t="shared" si="2212"/>
        <v>399577.28984563652</v>
      </c>
      <c r="BR215" s="6">
        <f t="shared" ref="BR215:CW215" si="2213">IF(BR212&lt;=Exit_Date,-BR172,0)</f>
        <v>400885.40191546734</v>
      </c>
      <c r="BS215" s="6">
        <f t="shared" si="2213"/>
        <v>402197.7964038208</v>
      </c>
      <c r="BT215" s="6">
        <f t="shared" si="2213"/>
        <v>403514.48733022076</v>
      </c>
      <c r="BU215" s="6">
        <f t="shared" si="2213"/>
        <v>404835.48876008735</v>
      </c>
      <c r="BV215" s="6">
        <f t="shared" si="2213"/>
        <v>406160.81480488717</v>
      </c>
      <c r="BW215" s="6">
        <f t="shared" si="2213"/>
        <v>407490.47962228424</v>
      </c>
      <c r="BX215" s="6">
        <f t="shared" si="2213"/>
        <v>408824.49741629104</v>
      </c>
      <c r="BY215" s="6">
        <f t="shared" si="2213"/>
        <v>410162.88243742019</v>
      </c>
      <c r="BZ215" s="6">
        <f t="shared" si="2213"/>
        <v>411505.64898283698</v>
      </c>
      <c r="CA215" s="6">
        <f t="shared" si="2213"/>
        <v>0</v>
      </c>
      <c r="CB215" s="6">
        <f t="shared" si="2213"/>
        <v>0</v>
      </c>
      <c r="CC215" s="6">
        <f t="shared" si="2213"/>
        <v>0</v>
      </c>
      <c r="CD215" s="6">
        <f t="shared" si="2213"/>
        <v>0</v>
      </c>
      <c r="CE215" s="6">
        <f t="shared" si="2213"/>
        <v>0</v>
      </c>
      <c r="CF215" s="6">
        <f t="shared" si="2213"/>
        <v>0</v>
      </c>
      <c r="CG215" s="6">
        <f t="shared" si="2213"/>
        <v>0</v>
      </c>
      <c r="CH215" s="6">
        <f t="shared" si="2213"/>
        <v>0</v>
      </c>
      <c r="CI215" s="6">
        <f t="shared" si="2213"/>
        <v>0</v>
      </c>
      <c r="CJ215" s="6">
        <f t="shared" si="2213"/>
        <v>0</v>
      </c>
      <c r="CK215" s="6">
        <f t="shared" si="2213"/>
        <v>0</v>
      </c>
      <c r="CL215" s="6">
        <f t="shared" si="2213"/>
        <v>0</v>
      </c>
      <c r="CM215" s="6">
        <f t="shared" si="2213"/>
        <v>0</v>
      </c>
      <c r="CN215" s="6">
        <f t="shared" si="2213"/>
        <v>0</v>
      </c>
      <c r="CO215" s="6">
        <f t="shared" si="2213"/>
        <v>0</v>
      </c>
      <c r="CP215" s="6">
        <f t="shared" si="2213"/>
        <v>0</v>
      </c>
      <c r="CQ215" s="6">
        <f t="shared" si="2213"/>
        <v>0</v>
      </c>
      <c r="CR215" s="6">
        <f t="shared" si="2213"/>
        <v>0</v>
      </c>
      <c r="CS215" s="6">
        <f t="shared" si="2213"/>
        <v>0</v>
      </c>
      <c r="CT215" s="6">
        <f t="shared" si="2213"/>
        <v>0</v>
      </c>
      <c r="CU215" s="6">
        <f t="shared" si="2213"/>
        <v>0</v>
      </c>
      <c r="CV215" s="6">
        <f t="shared" si="2213"/>
        <v>0</v>
      </c>
      <c r="CW215" s="6">
        <f t="shared" si="2213"/>
        <v>0</v>
      </c>
    </row>
    <row r="216" spans="2:101" outlineLevel="1" x14ac:dyDescent="0.25">
      <c r="C216" s="20" t="s">
        <v>248</v>
      </c>
      <c r="D216" s="47" t="s">
        <v>107</v>
      </c>
      <c r="F216" s="6">
        <f>-F193</f>
        <v>0</v>
      </c>
      <c r="G216" s="6">
        <f t="shared" ref="G216:BR216" si="2214">-G193</f>
        <v>0</v>
      </c>
      <c r="H216" s="6">
        <f t="shared" si="2214"/>
        <v>0</v>
      </c>
      <c r="I216" s="6">
        <f t="shared" si="2214"/>
        <v>0</v>
      </c>
      <c r="J216" s="6">
        <f t="shared" si="2214"/>
        <v>0</v>
      </c>
      <c r="K216" s="6">
        <f t="shared" si="2214"/>
        <v>0</v>
      </c>
      <c r="L216" s="6">
        <f t="shared" si="2214"/>
        <v>0</v>
      </c>
      <c r="M216" s="6">
        <f t="shared" si="2214"/>
        <v>0</v>
      </c>
      <c r="N216" s="6">
        <f t="shared" si="2214"/>
        <v>0</v>
      </c>
      <c r="O216" s="6">
        <f t="shared" si="2214"/>
        <v>0</v>
      </c>
      <c r="P216" s="6">
        <f t="shared" si="2214"/>
        <v>0</v>
      </c>
      <c r="Q216" s="6">
        <f t="shared" si="2214"/>
        <v>0</v>
      </c>
      <c r="R216" s="6">
        <f t="shared" si="2214"/>
        <v>0</v>
      </c>
      <c r="S216" s="6">
        <f t="shared" si="2214"/>
        <v>0</v>
      </c>
      <c r="T216" s="6">
        <f t="shared" si="2214"/>
        <v>0</v>
      </c>
      <c r="U216" s="6">
        <f t="shared" si="2214"/>
        <v>0</v>
      </c>
      <c r="V216" s="6">
        <f t="shared" si="2214"/>
        <v>0</v>
      </c>
      <c r="W216" s="6">
        <f t="shared" si="2214"/>
        <v>0</v>
      </c>
      <c r="X216" s="6">
        <f t="shared" si="2214"/>
        <v>0</v>
      </c>
      <c r="Y216" s="6">
        <f t="shared" si="2214"/>
        <v>0</v>
      </c>
      <c r="Z216" s="6">
        <f t="shared" si="2214"/>
        <v>0</v>
      </c>
      <c r="AA216" s="6">
        <f t="shared" si="2214"/>
        <v>0</v>
      </c>
      <c r="AB216" s="6">
        <f t="shared" si="2214"/>
        <v>0</v>
      </c>
      <c r="AC216" s="6">
        <f t="shared" si="2214"/>
        <v>0</v>
      </c>
      <c r="AD216" s="6">
        <f t="shared" si="2214"/>
        <v>0</v>
      </c>
      <c r="AE216" s="6">
        <f t="shared" si="2214"/>
        <v>0</v>
      </c>
      <c r="AF216" s="6">
        <f t="shared" si="2214"/>
        <v>0</v>
      </c>
      <c r="AG216" s="6">
        <f t="shared" si="2214"/>
        <v>0</v>
      </c>
      <c r="AH216" s="6">
        <f t="shared" si="2214"/>
        <v>0</v>
      </c>
      <c r="AI216" s="6">
        <f t="shared" si="2214"/>
        <v>0</v>
      </c>
      <c r="AJ216" s="6">
        <f t="shared" si="2214"/>
        <v>0</v>
      </c>
      <c r="AK216" s="6">
        <f t="shared" si="2214"/>
        <v>0</v>
      </c>
      <c r="AL216" s="6">
        <f t="shared" si="2214"/>
        <v>0</v>
      </c>
      <c r="AM216" s="6">
        <f t="shared" si="2214"/>
        <v>0</v>
      </c>
      <c r="AN216" s="6">
        <f t="shared" si="2214"/>
        <v>0</v>
      </c>
      <c r="AO216" s="6">
        <f t="shared" si="2214"/>
        <v>0</v>
      </c>
      <c r="AP216" s="6">
        <f t="shared" si="2214"/>
        <v>0</v>
      </c>
      <c r="AQ216" s="6">
        <f t="shared" si="2214"/>
        <v>0</v>
      </c>
      <c r="AR216" s="6">
        <f t="shared" si="2214"/>
        <v>0</v>
      </c>
      <c r="AS216" s="6">
        <f t="shared" si="2214"/>
        <v>0</v>
      </c>
      <c r="AT216" s="6">
        <f t="shared" si="2214"/>
        <v>0</v>
      </c>
      <c r="AU216" s="6">
        <f t="shared" si="2214"/>
        <v>0</v>
      </c>
      <c r="AV216" s="6">
        <f t="shared" si="2214"/>
        <v>0</v>
      </c>
      <c r="AW216" s="6">
        <f t="shared" si="2214"/>
        <v>0</v>
      </c>
      <c r="AX216" s="6">
        <f t="shared" si="2214"/>
        <v>0</v>
      </c>
      <c r="AY216" s="6">
        <f t="shared" si="2214"/>
        <v>0</v>
      </c>
      <c r="AZ216" s="6">
        <f t="shared" si="2214"/>
        <v>0</v>
      </c>
      <c r="BA216" s="6">
        <f t="shared" si="2214"/>
        <v>1162157.4400254714</v>
      </c>
      <c r="BB216" s="6">
        <f t="shared" si="2214"/>
        <v>0</v>
      </c>
      <c r="BC216" s="6">
        <f t="shared" si="2214"/>
        <v>0</v>
      </c>
      <c r="BD216" s="6">
        <f t="shared" si="2214"/>
        <v>0</v>
      </c>
      <c r="BE216" s="6">
        <f t="shared" si="2214"/>
        <v>0</v>
      </c>
      <c r="BF216" s="6">
        <f t="shared" si="2214"/>
        <v>0</v>
      </c>
      <c r="BG216" s="6">
        <f t="shared" si="2214"/>
        <v>0</v>
      </c>
      <c r="BH216" s="6">
        <f t="shared" si="2214"/>
        <v>0</v>
      </c>
      <c r="BI216" s="6">
        <f t="shared" si="2214"/>
        <v>0</v>
      </c>
      <c r="BJ216" s="6">
        <f t="shared" si="2214"/>
        <v>0</v>
      </c>
      <c r="BK216" s="6">
        <f t="shared" si="2214"/>
        <v>0</v>
      </c>
      <c r="BL216" s="6">
        <f t="shared" si="2214"/>
        <v>0</v>
      </c>
      <c r="BM216" s="6">
        <f t="shared" si="2214"/>
        <v>0</v>
      </c>
      <c r="BN216" s="6">
        <f t="shared" si="2214"/>
        <v>0</v>
      </c>
      <c r="BO216" s="6">
        <f t="shared" si="2214"/>
        <v>0</v>
      </c>
      <c r="BP216" s="6">
        <f t="shared" si="2214"/>
        <v>0</v>
      </c>
      <c r="BQ216" s="6">
        <f t="shared" si="2214"/>
        <v>0</v>
      </c>
      <c r="BR216" s="6">
        <f t="shared" si="2214"/>
        <v>0</v>
      </c>
      <c r="BS216" s="6">
        <f t="shared" ref="BS216:CW216" si="2215">-BS193</f>
        <v>0</v>
      </c>
      <c r="BT216" s="6">
        <f t="shared" si="2215"/>
        <v>0</v>
      </c>
      <c r="BU216" s="6">
        <f t="shared" si="2215"/>
        <v>0</v>
      </c>
      <c r="BV216" s="6">
        <f t="shared" si="2215"/>
        <v>0</v>
      </c>
      <c r="BW216" s="6">
        <f t="shared" si="2215"/>
        <v>0</v>
      </c>
      <c r="BX216" s="6">
        <f t="shared" si="2215"/>
        <v>0</v>
      </c>
      <c r="BY216" s="6">
        <f t="shared" si="2215"/>
        <v>0</v>
      </c>
      <c r="BZ216" s="6">
        <f t="shared" si="2215"/>
        <v>0</v>
      </c>
      <c r="CA216" s="6">
        <f t="shared" si="2215"/>
        <v>0</v>
      </c>
      <c r="CB216" s="6">
        <f t="shared" si="2215"/>
        <v>0</v>
      </c>
      <c r="CC216" s="6">
        <f t="shared" si="2215"/>
        <v>0</v>
      </c>
      <c r="CD216" s="6">
        <f t="shared" si="2215"/>
        <v>0</v>
      </c>
      <c r="CE216" s="6">
        <f t="shared" si="2215"/>
        <v>0</v>
      </c>
      <c r="CF216" s="6">
        <f t="shared" si="2215"/>
        <v>0</v>
      </c>
      <c r="CG216" s="6">
        <f t="shared" si="2215"/>
        <v>0</v>
      </c>
      <c r="CH216" s="6">
        <f t="shared" si="2215"/>
        <v>0</v>
      </c>
      <c r="CI216" s="6">
        <f t="shared" si="2215"/>
        <v>0</v>
      </c>
      <c r="CJ216" s="6">
        <f t="shared" si="2215"/>
        <v>0</v>
      </c>
      <c r="CK216" s="6">
        <f t="shared" si="2215"/>
        <v>0</v>
      </c>
      <c r="CL216" s="6">
        <f t="shared" si="2215"/>
        <v>0</v>
      </c>
      <c r="CM216" s="6">
        <f t="shared" si="2215"/>
        <v>0</v>
      </c>
      <c r="CN216" s="6">
        <f t="shared" si="2215"/>
        <v>0</v>
      </c>
      <c r="CO216" s="6">
        <f t="shared" si="2215"/>
        <v>0</v>
      </c>
      <c r="CP216" s="6">
        <f t="shared" si="2215"/>
        <v>0</v>
      </c>
      <c r="CQ216" s="6">
        <f t="shared" si="2215"/>
        <v>0</v>
      </c>
      <c r="CR216" s="6">
        <f t="shared" si="2215"/>
        <v>0</v>
      </c>
      <c r="CS216" s="6">
        <f t="shared" si="2215"/>
        <v>0</v>
      </c>
      <c r="CT216" s="6">
        <f t="shared" si="2215"/>
        <v>0</v>
      </c>
      <c r="CU216" s="6">
        <f t="shared" si="2215"/>
        <v>0</v>
      </c>
      <c r="CV216" s="6">
        <f t="shared" si="2215"/>
        <v>0</v>
      </c>
      <c r="CW216" s="6">
        <f t="shared" si="2215"/>
        <v>0</v>
      </c>
    </row>
    <row r="217" spans="2:101" outlineLevel="1" x14ac:dyDescent="0.25">
      <c r="C217" s="20" t="s">
        <v>172</v>
      </c>
      <c r="D217" s="152" t="s">
        <v>107</v>
      </c>
      <c r="F217" s="6">
        <f>-F200</f>
        <v>0</v>
      </c>
      <c r="G217" s="6">
        <f t="shared" ref="G217:BR217" si="2216">-G200</f>
        <v>0</v>
      </c>
      <c r="H217" s="6">
        <f t="shared" si="2216"/>
        <v>0</v>
      </c>
      <c r="I217" s="6">
        <f t="shared" si="2216"/>
        <v>0</v>
      </c>
      <c r="J217" s="6">
        <f t="shared" si="2216"/>
        <v>0</v>
      </c>
      <c r="K217" s="6">
        <f t="shared" si="2216"/>
        <v>0</v>
      </c>
      <c r="L217" s="6">
        <f t="shared" si="2216"/>
        <v>0</v>
      </c>
      <c r="M217" s="6">
        <f t="shared" si="2216"/>
        <v>0</v>
      </c>
      <c r="N217" s="6">
        <f t="shared" si="2216"/>
        <v>0</v>
      </c>
      <c r="O217" s="6">
        <f t="shared" si="2216"/>
        <v>0</v>
      </c>
      <c r="P217" s="6">
        <f t="shared" si="2216"/>
        <v>0</v>
      </c>
      <c r="Q217" s="6">
        <f t="shared" si="2216"/>
        <v>0</v>
      </c>
      <c r="R217" s="6">
        <f t="shared" si="2216"/>
        <v>0</v>
      </c>
      <c r="S217" s="6">
        <f t="shared" si="2216"/>
        <v>0</v>
      </c>
      <c r="T217" s="6">
        <f t="shared" si="2216"/>
        <v>0</v>
      </c>
      <c r="U217" s="6">
        <f t="shared" si="2216"/>
        <v>0</v>
      </c>
      <c r="V217" s="6">
        <f t="shared" si="2216"/>
        <v>0</v>
      </c>
      <c r="W217" s="6">
        <f t="shared" si="2216"/>
        <v>0</v>
      </c>
      <c r="X217" s="6">
        <f t="shared" si="2216"/>
        <v>0</v>
      </c>
      <c r="Y217" s="6">
        <f t="shared" si="2216"/>
        <v>0</v>
      </c>
      <c r="Z217" s="6">
        <f t="shared" si="2216"/>
        <v>0</v>
      </c>
      <c r="AA217" s="6">
        <f t="shared" si="2216"/>
        <v>0</v>
      </c>
      <c r="AB217" s="6">
        <f t="shared" si="2216"/>
        <v>0</v>
      </c>
      <c r="AC217" s="6">
        <f t="shared" si="2216"/>
        <v>0</v>
      </c>
      <c r="AD217" s="6">
        <f t="shared" si="2216"/>
        <v>0</v>
      </c>
      <c r="AE217" s="6">
        <f t="shared" si="2216"/>
        <v>0</v>
      </c>
      <c r="AF217" s="6">
        <f t="shared" si="2216"/>
        <v>0</v>
      </c>
      <c r="AG217" s="6">
        <f t="shared" si="2216"/>
        <v>0</v>
      </c>
      <c r="AH217" s="6">
        <f t="shared" si="2216"/>
        <v>0</v>
      </c>
      <c r="AI217" s="6">
        <f t="shared" si="2216"/>
        <v>0</v>
      </c>
      <c r="AJ217" s="6">
        <f t="shared" si="2216"/>
        <v>0</v>
      </c>
      <c r="AK217" s="6">
        <f t="shared" si="2216"/>
        <v>0</v>
      </c>
      <c r="AL217" s="6">
        <f t="shared" si="2216"/>
        <v>0</v>
      </c>
      <c r="AM217" s="6">
        <f t="shared" si="2216"/>
        <v>0</v>
      </c>
      <c r="AN217" s="6">
        <f t="shared" si="2216"/>
        <v>0</v>
      </c>
      <c r="AO217" s="6">
        <f t="shared" si="2216"/>
        <v>0</v>
      </c>
      <c r="AP217" s="6">
        <f t="shared" si="2216"/>
        <v>0</v>
      </c>
      <c r="AQ217" s="6">
        <f t="shared" si="2216"/>
        <v>0</v>
      </c>
      <c r="AR217" s="6">
        <f t="shared" si="2216"/>
        <v>0</v>
      </c>
      <c r="AS217" s="6">
        <f t="shared" si="2216"/>
        <v>0</v>
      </c>
      <c r="AT217" s="6">
        <f t="shared" si="2216"/>
        <v>0</v>
      </c>
      <c r="AU217" s="6">
        <f t="shared" si="2216"/>
        <v>0</v>
      </c>
      <c r="AV217" s="6">
        <f t="shared" si="2216"/>
        <v>0</v>
      </c>
      <c r="AW217" s="6">
        <f t="shared" si="2216"/>
        <v>0</v>
      </c>
      <c r="AX217" s="6">
        <f t="shared" si="2216"/>
        <v>0</v>
      </c>
      <c r="AY217" s="6">
        <f t="shared" si="2216"/>
        <v>0</v>
      </c>
      <c r="AZ217" s="6">
        <f t="shared" si="2216"/>
        <v>0</v>
      </c>
      <c r="BA217" s="6">
        <f t="shared" si="2216"/>
        <v>0</v>
      </c>
      <c r="BB217" s="6">
        <f t="shared" si="2216"/>
        <v>0</v>
      </c>
      <c r="BC217" s="6">
        <f t="shared" si="2216"/>
        <v>0</v>
      </c>
      <c r="BD217" s="6">
        <f t="shared" si="2216"/>
        <v>0</v>
      </c>
      <c r="BE217" s="6">
        <f t="shared" si="2216"/>
        <v>0</v>
      </c>
      <c r="BF217" s="6">
        <f t="shared" si="2216"/>
        <v>0</v>
      </c>
      <c r="BG217" s="6">
        <f t="shared" si="2216"/>
        <v>0</v>
      </c>
      <c r="BH217" s="6">
        <f t="shared" si="2216"/>
        <v>0</v>
      </c>
      <c r="BI217" s="6">
        <f t="shared" si="2216"/>
        <v>0</v>
      </c>
      <c r="BJ217" s="6">
        <f t="shared" si="2216"/>
        <v>0</v>
      </c>
      <c r="BK217" s="6">
        <f t="shared" si="2216"/>
        <v>0</v>
      </c>
      <c r="BL217" s="6">
        <f t="shared" si="2216"/>
        <v>0</v>
      </c>
      <c r="BM217" s="6">
        <f t="shared" si="2216"/>
        <v>0</v>
      </c>
      <c r="BN217" s="6">
        <f t="shared" si="2216"/>
        <v>0</v>
      </c>
      <c r="BO217" s="6">
        <f t="shared" si="2216"/>
        <v>0</v>
      </c>
      <c r="BP217" s="6">
        <f t="shared" si="2216"/>
        <v>0</v>
      </c>
      <c r="BQ217" s="6">
        <f t="shared" si="2216"/>
        <v>0</v>
      </c>
      <c r="BR217" s="6">
        <f t="shared" si="2216"/>
        <v>0</v>
      </c>
      <c r="BS217" s="6">
        <f t="shared" ref="BS217:CW217" si="2217">-BS200</f>
        <v>0</v>
      </c>
      <c r="BT217" s="6">
        <f t="shared" si="2217"/>
        <v>0</v>
      </c>
      <c r="BU217" s="6">
        <f t="shared" si="2217"/>
        <v>0</v>
      </c>
      <c r="BV217" s="6">
        <f t="shared" si="2217"/>
        <v>0</v>
      </c>
      <c r="BW217" s="6">
        <f t="shared" si="2217"/>
        <v>0</v>
      </c>
      <c r="BX217" s="6">
        <f t="shared" si="2217"/>
        <v>0</v>
      </c>
      <c r="BY217" s="6">
        <f t="shared" si="2217"/>
        <v>0</v>
      </c>
      <c r="BZ217" s="6">
        <f t="shared" si="2217"/>
        <v>126110454.36213796</v>
      </c>
      <c r="CA217" s="6">
        <f t="shared" si="2217"/>
        <v>0</v>
      </c>
      <c r="CB217" s="6">
        <f t="shared" si="2217"/>
        <v>0</v>
      </c>
      <c r="CC217" s="6">
        <f t="shared" si="2217"/>
        <v>0</v>
      </c>
      <c r="CD217" s="6">
        <f t="shared" si="2217"/>
        <v>0</v>
      </c>
      <c r="CE217" s="6">
        <f t="shared" si="2217"/>
        <v>0</v>
      </c>
      <c r="CF217" s="6">
        <f t="shared" si="2217"/>
        <v>0</v>
      </c>
      <c r="CG217" s="6">
        <f t="shared" si="2217"/>
        <v>0</v>
      </c>
      <c r="CH217" s="6">
        <f t="shared" si="2217"/>
        <v>0</v>
      </c>
      <c r="CI217" s="6">
        <f t="shared" si="2217"/>
        <v>0</v>
      </c>
      <c r="CJ217" s="6">
        <f t="shared" si="2217"/>
        <v>0</v>
      </c>
      <c r="CK217" s="6">
        <f t="shared" si="2217"/>
        <v>0</v>
      </c>
      <c r="CL217" s="6">
        <f t="shared" si="2217"/>
        <v>0</v>
      </c>
      <c r="CM217" s="6">
        <f t="shared" si="2217"/>
        <v>0</v>
      </c>
      <c r="CN217" s="6">
        <f t="shared" si="2217"/>
        <v>0</v>
      </c>
      <c r="CO217" s="6">
        <f t="shared" si="2217"/>
        <v>0</v>
      </c>
      <c r="CP217" s="6">
        <f t="shared" si="2217"/>
        <v>0</v>
      </c>
      <c r="CQ217" s="6">
        <f t="shared" si="2217"/>
        <v>0</v>
      </c>
      <c r="CR217" s="6">
        <f t="shared" si="2217"/>
        <v>0</v>
      </c>
      <c r="CS217" s="6">
        <f t="shared" si="2217"/>
        <v>0</v>
      </c>
      <c r="CT217" s="6">
        <f t="shared" si="2217"/>
        <v>0</v>
      </c>
      <c r="CU217" s="6">
        <f t="shared" si="2217"/>
        <v>0</v>
      </c>
      <c r="CV217" s="6">
        <f t="shared" si="2217"/>
        <v>0</v>
      </c>
      <c r="CW217" s="6">
        <f t="shared" si="2217"/>
        <v>0</v>
      </c>
    </row>
    <row r="218" spans="2:101" outlineLevel="1" x14ac:dyDescent="0.25">
      <c r="C218" s="20" t="s">
        <v>173</v>
      </c>
      <c r="D218" s="152" t="s">
        <v>107</v>
      </c>
      <c r="F218" s="6">
        <f>-F202</f>
        <v>0</v>
      </c>
      <c r="G218" s="6">
        <f t="shared" ref="G218:BR218" si="2218">-G202</f>
        <v>0</v>
      </c>
      <c r="H218" s="6">
        <f t="shared" si="2218"/>
        <v>0</v>
      </c>
      <c r="I218" s="6">
        <f t="shared" si="2218"/>
        <v>0</v>
      </c>
      <c r="J218" s="6">
        <f t="shared" si="2218"/>
        <v>0</v>
      </c>
      <c r="K218" s="6">
        <f t="shared" si="2218"/>
        <v>0</v>
      </c>
      <c r="L218" s="6">
        <f t="shared" si="2218"/>
        <v>0</v>
      </c>
      <c r="M218" s="6">
        <f t="shared" si="2218"/>
        <v>0</v>
      </c>
      <c r="N218" s="6">
        <f t="shared" si="2218"/>
        <v>0</v>
      </c>
      <c r="O218" s="6">
        <f t="shared" si="2218"/>
        <v>0</v>
      </c>
      <c r="P218" s="6">
        <f t="shared" si="2218"/>
        <v>0</v>
      </c>
      <c r="Q218" s="6">
        <f t="shared" si="2218"/>
        <v>0</v>
      </c>
      <c r="R218" s="6">
        <f t="shared" si="2218"/>
        <v>0</v>
      </c>
      <c r="S218" s="6">
        <f t="shared" si="2218"/>
        <v>0</v>
      </c>
      <c r="T218" s="6">
        <f t="shared" si="2218"/>
        <v>0</v>
      </c>
      <c r="U218" s="6">
        <f t="shared" si="2218"/>
        <v>0</v>
      </c>
      <c r="V218" s="6">
        <f t="shared" si="2218"/>
        <v>0</v>
      </c>
      <c r="W218" s="6">
        <f t="shared" si="2218"/>
        <v>0</v>
      </c>
      <c r="X218" s="6">
        <f t="shared" si="2218"/>
        <v>0</v>
      </c>
      <c r="Y218" s="6">
        <f t="shared" si="2218"/>
        <v>0</v>
      </c>
      <c r="Z218" s="6">
        <f t="shared" si="2218"/>
        <v>0</v>
      </c>
      <c r="AA218" s="6">
        <f t="shared" si="2218"/>
        <v>0</v>
      </c>
      <c r="AB218" s="6">
        <f t="shared" si="2218"/>
        <v>0</v>
      </c>
      <c r="AC218" s="6">
        <f t="shared" si="2218"/>
        <v>0</v>
      </c>
      <c r="AD218" s="6">
        <f t="shared" si="2218"/>
        <v>0</v>
      </c>
      <c r="AE218" s="6">
        <f t="shared" si="2218"/>
        <v>0</v>
      </c>
      <c r="AF218" s="6">
        <f t="shared" si="2218"/>
        <v>0</v>
      </c>
      <c r="AG218" s="6">
        <f t="shared" si="2218"/>
        <v>0</v>
      </c>
      <c r="AH218" s="6">
        <f t="shared" si="2218"/>
        <v>0</v>
      </c>
      <c r="AI218" s="6">
        <f t="shared" si="2218"/>
        <v>0</v>
      </c>
      <c r="AJ218" s="6">
        <f t="shared" si="2218"/>
        <v>0</v>
      </c>
      <c r="AK218" s="6">
        <f t="shared" si="2218"/>
        <v>0</v>
      </c>
      <c r="AL218" s="6">
        <f t="shared" si="2218"/>
        <v>0</v>
      </c>
      <c r="AM218" s="6">
        <f t="shared" si="2218"/>
        <v>0</v>
      </c>
      <c r="AN218" s="6">
        <f t="shared" si="2218"/>
        <v>0</v>
      </c>
      <c r="AO218" s="6">
        <f t="shared" si="2218"/>
        <v>0</v>
      </c>
      <c r="AP218" s="6">
        <f t="shared" si="2218"/>
        <v>0</v>
      </c>
      <c r="AQ218" s="6">
        <f t="shared" si="2218"/>
        <v>0</v>
      </c>
      <c r="AR218" s="6">
        <f t="shared" si="2218"/>
        <v>0</v>
      </c>
      <c r="AS218" s="6">
        <f t="shared" si="2218"/>
        <v>0</v>
      </c>
      <c r="AT218" s="6">
        <f t="shared" si="2218"/>
        <v>0</v>
      </c>
      <c r="AU218" s="6">
        <f t="shared" si="2218"/>
        <v>0</v>
      </c>
      <c r="AV218" s="6">
        <f t="shared" si="2218"/>
        <v>0</v>
      </c>
      <c r="AW218" s="6">
        <f t="shared" si="2218"/>
        <v>0</v>
      </c>
      <c r="AX218" s="6">
        <f t="shared" si="2218"/>
        <v>0</v>
      </c>
      <c r="AY218" s="6">
        <f t="shared" si="2218"/>
        <v>0</v>
      </c>
      <c r="AZ218" s="6">
        <f t="shared" si="2218"/>
        <v>0</v>
      </c>
      <c r="BA218" s="6">
        <f t="shared" si="2218"/>
        <v>0</v>
      </c>
      <c r="BB218" s="6">
        <f t="shared" si="2218"/>
        <v>0</v>
      </c>
      <c r="BC218" s="6">
        <f t="shared" si="2218"/>
        <v>0</v>
      </c>
      <c r="BD218" s="6">
        <f t="shared" si="2218"/>
        <v>0</v>
      </c>
      <c r="BE218" s="6">
        <f t="shared" si="2218"/>
        <v>0</v>
      </c>
      <c r="BF218" s="6">
        <f t="shared" si="2218"/>
        <v>0</v>
      </c>
      <c r="BG218" s="6">
        <f t="shared" si="2218"/>
        <v>0</v>
      </c>
      <c r="BH218" s="6">
        <f t="shared" si="2218"/>
        <v>0</v>
      </c>
      <c r="BI218" s="6">
        <f t="shared" si="2218"/>
        <v>0</v>
      </c>
      <c r="BJ218" s="6">
        <f t="shared" si="2218"/>
        <v>0</v>
      </c>
      <c r="BK218" s="6">
        <f t="shared" si="2218"/>
        <v>0</v>
      </c>
      <c r="BL218" s="6">
        <f t="shared" si="2218"/>
        <v>0</v>
      </c>
      <c r="BM218" s="6">
        <f t="shared" si="2218"/>
        <v>0</v>
      </c>
      <c r="BN218" s="6">
        <f t="shared" si="2218"/>
        <v>0</v>
      </c>
      <c r="BO218" s="6">
        <f t="shared" si="2218"/>
        <v>0</v>
      </c>
      <c r="BP218" s="6">
        <f t="shared" si="2218"/>
        <v>0</v>
      </c>
      <c r="BQ218" s="6">
        <f t="shared" si="2218"/>
        <v>0</v>
      </c>
      <c r="BR218" s="6">
        <f t="shared" si="2218"/>
        <v>0</v>
      </c>
      <c r="BS218" s="6">
        <f t="shared" ref="BS218:CW218" si="2219">-BS202</f>
        <v>0</v>
      </c>
      <c r="BT218" s="6">
        <f t="shared" si="2219"/>
        <v>0</v>
      </c>
      <c r="BU218" s="6">
        <f t="shared" si="2219"/>
        <v>0</v>
      </c>
      <c r="BV218" s="6">
        <f t="shared" si="2219"/>
        <v>0</v>
      </c>
      <c r="BW218" s="6">
        <f t="shared" si="2219"/>
        <v>0</v>
      </c>
      <c r="BX218" s="6">
        <f t="shared" si="2219"/>
        <v>0</v>
      </c>
      <c r="BY218" s="6">
        <f t="shared" si="2219"/>
        <v>0</v>
      </c>
      <c r="BZ218" s="6">
        <f t="shared" si="2219"/>
        <v>1261104.5436213796</v>
      </c>
      <c r="CA218" s="6">
        <f t="shared" si="2219"/>
        <v>0</v>
      </c>
      <c r="CB218" s="6">
        <f t="shared" si="2219"/>
        <v>0</v>
      </c>
      <c r="CC218" s="6">
        <f t="shared" si="2219"/>
        <v>0</v>
      </c>
      <c r="CD218" s="6">
        <f t="shared" si="2219"/>
        <v>0</v>
      </c>
      <c r="CE218" s="6">
        <f t="shared" si="2219"/>
        <v>0</v>
      </c>
      <c r="CF218" s="6">
        <f t="shared" si="2219"/>
        <v>0</v>
      </c>
      <c r="CG218" s="6">
        <f t="shared" si="2219"/>
        <v>0</v>
      </c>
      <c r="CH218" s="6">
        <f t="shared" si="2219"/>
        <v>0</v>
      </c>
      <c r="CI218" s="6">
        <f t="shared" si="2219"/>
        <v>0</v>
      </c>
      <c r="CJ218" s="6">
        <f t="shared" si="2219"/>
        <v>0</v>
      </c>
      <c r="CK218" s="6">
        <f t="shared" si="2219"/>
        <v>0</v>
      </c>
      <c r="CL218" s="6">
        <f t="shared" si="2219"/>
        <v>0</v>
      </c>
      <c r="CM218" s="6">
        <f t="shared" si="2219"/>
        <v>0</v>
      </c>
      <c r="CN218" s="6">
        <f t="shared" si="2219"/>
        <v>0</v>
      </c>
      <c r="CO218" s="6">
        <f t="shared" si="2219"/>
        <v>0</v>
      </c>
      <c r="CP218" s="6">
        <f t="shared" si="2219"/>
        <v>0</v>
      </c>
      <c r="CQ218" s="6">
        <f t="shared" si="2219"/>
        <v>0</v>
      </c>
      <c r="CR218" s="6">
        <f t="shared" si="2219"/>
        <v>0</v>
      </c>
      <c r="CS218" s="6">
        <f t="shared" si="2219"/>
        <v>0</v>
      </c>
      <c r="CT218" s="6">
        <f t="shared" si="2219"/>
        <v>0</v>
      </c>
      <c r="CU218" s="6">
        <f t="shared" si="2219"/>
        <v>0</v>
      </c>
      <c r="CV218" s="6">
        <f t="shared" si="2219"/>
        <v>0</v>
      </c>
      <c r="CW218" s="6">
        <f t="shared" si="2219"/>
        <v>0</v>
      </c>
    </row>
    <row r="219" spans="2:101" outlineLevel="1" x14ac:dyDescent="0.25">
      <c r="C219" s="20" t="s">
        <v>174</v>
      </c>
      <c r="D219" s="130" t="s">
        <v>107</v>
      </c>
      <c r="E219" s="7"/>
      <c r="F219" s="26">
        <f>-F203</f>
        <v>0</v>
      </c>
      <c r="G219" s="26">
        <f t="shared" ref="G219:BR219" si="2220">-G203</f>
        <v>0</v>
      </c>
      <c r="H219" s="26">
        <f t="shared" si="2220"/>
        <v>0</v>
      </c>
      <c r="I219" s="26">
        <f t="shared" si="2220"/>
        <v>0</v>
      </c>
      <c r="J219" s="26">
        <f t="shared" si="2220"/>
        <v>0</v>
      </c>
      <c r="K219" s="26">
        <f t="shared" si="2220"/>
        <v>0</v>
      </c>
      <c r="L219" s="26">
        <f t="shared" si="2220"/>
        <v>0</v>
      </c>
      <c r="M219" s="26">
        <f t="shared" si="2220"/>
        <v>0</v>
      </c>
      <c r="N219" s="26">
        <f t="shared" si="2220"/>
        <v>0</v>
      </c>
      <c r="O219" s="26">
        <f t="shared" si="2220"/>
        <v>0</v>
      </c>
      <c r="P219" s="26">
        <f t="shared" si="2220"/>
        <v>0</v>
      </c>
      <c r="Q219" s="26">
        <f t="shared" si="2220"/>
        <v>0</v>
      </c>
      <c r="R219" s="26">
        <f t="shared" si="2220"/>
        <v>0</v>
      </c>
      <c r="S219" s="26">
        <f t="shared" si="2220"/>
        <v>0</v>
      </c>
      <c r="T219" s="26">
        <f t="shared" si="2220"/>
        <v>0</v>
      </c>
      <c r="U219" s="26">
        <f t="shared" si="2220"/>
        <v>0</v>
      </c>
      <c r="V219" s="26">
        <f t="shared" si="2220"/>
        <v>0</v>
      </c>
      <c r="W219" s="26">
        <f t="shared" si="2220"/>
        <v>0</v>
      </c>
      <c r="X219" s="26">
        <f t="shared" si="2220"/>
        <v>0</v>
      </c>
      <c r="Y219" s="26">
        <f t="shared" si="2220"/>
        <v>0</v>
      </c>
      <c r="Z219" s="26">
        <f t="shared" si="2220"/>
        <v>0</v>
      </c>
      <c r="AA219" s="26">
        <f t="shared" si="2220"/>
        <v>0</v>
      </c>
      <c r="AB219" s="26">
        <f t="shared" si="2220"/>
        <v>0</v>
      </c>
      <c r="AC219" s="26">
        <f t="shared" si="2220"/>
        <v>0</v>
      </c>
      <c r="AD219" s="26">
        <f t="shared" si="2220"/>
        <v>0</v>
      </c>
      <c r="AE219" s="26">
        <f t="shared" si="2220"/>
        <v>0</v>
      </c>
      <c r="AF219" s="26">
        <f t="shared" si="2220"/>
        <v>0</v>
      </c>
      <c r="AG219" s="26">
        <f t="shared" si="2220"/>
        <v>0</v>
      </c>
      <c r="AH219" s="26">
        <f t="shared" si="2220"/>
        <v>0</v>
      </c>
      <c r="AI219" s="26">
        <f t="shared" si="2220"/>
        <v>0</v>
      </c>
      <c r="AJ219" s="26">
        <f t="shared" si="2220"/>
        <v>0</v>
      </c>
      <c r="AK219" s="26">
        <f t="shared" si="2220"/>
        <v>0</v>
      </c>
      <c r="AL219" s="26">
        <f t="shared" si="2220"/>
        <v>0</v>
      </c>
      <c r="AM219" s="26">
        <f t="shared" si="2220"/>
        <v>0</v>
      </c>
      <c r="AN219" s="26">
        <f t="shared" si="2220"/>
        <v>0</v>
      </c>
      <c r="AO219" s="26">
        <f t="shared" si="2220"/>
        <v>0</v>
      </c>
      <c r="AP219" s="26">
        <f t="shared" si="2220"/>
        <v>0</v>
      </c>
      <c r="AQ219" s="26">
        <f t="shared" si="2220"/>
        <v>0</v>
      </c>
      <c r="AR219" s="26">
        <f t="shared" si="2220"/>
        <v>0</v>
      </c>
      <c r="AS219" s="26">
        <f t="shared" si="2220"/>
        <v>0</v>
      </c>
      <c r="AT219" s="26">
        <f t="shared" si="2220"/>
        <v>0</v>
      </c>
      <c r="AU219" s="26">
        <f t="shared" si="2220"/>
        <v>0</v>
      </c>
      <c r="AV219" s="26">
        <f t="shared" si="2220"/>
        <v>0</v>
      </c>
      <c r="AW219" s="26">
        <f t="shared" si="2220"/>
        <v>0</v>
      </c>
      <c r="AX219" s="26">
        <f t="shared" si="2220"/>
        <v>0</v>
      </c>
      <c r="AY219" s="26">
        <f t="shared" si="2220"/>
        <v>0</v>
      </c>
      <c r="AZ219" s="26">
        <f t="shared" si="2220"/>
        <v>0</v>
      </c>
      <c r="BA219" s="26">
        <f t="shared" si="2220"/>
        <v>0</v>
      </c>
      <c r="BB219" s="26">
        <f t="shared" si="2220"/>
        <v>0</v>
      </c>
      <c r="BC219" s="26">
        <f t="shared" si="2220"/>
        <v>0</v>
      </c>
      <c r="BD219" s="26">
        <f t="shared" si="2220"/>
        <v>0</v>
      </c>
      <c r="BE219" s="26">
        <f t="shared" si="2220"/>
        <v>0</v>
      </c>
      <c r="BF219" s="26">
        <f t="shared" si="2220"/>
        <v>0</v>
      </c>
      <c r="BG219" s="26">
        <f t="shared" si="2220"/>
        <v>0</v>
      </c>
      <c r="BH219" s="26">
        <f t="shared" si="2220"/>
        <v>0</v>
      </c>
      <c r="BI219" s="26">
        <f t="shared" si="2220"/>
        <v>0</v>
      </c>
      <c r="BJ219" s="26">
        <f t="shared" si="2220"/>
        <v>0</v>
      </c>
      <c r="BK219" s="26">
        <f t="shared" si="2220"/>
        <v>0</v>
      </c>
      <c r="BL219" s="26">
        <f t="shared" si="2220"/>
        <v>0</v>
      </c>
      <c r="BM219" s="26">
        <f t="shared" si="2220"/>
        <v>0</v>
      </c>
      <c r="BN219" s="26">
        <f t="shared" si="2220"/>
        <v>0</v>
      </c>
      <c r="BO219" s="26">
        <f t="shared" si="2220"/>
        <v>0</v>
      </c>
      <c r="BP219" s="26">
        <f t="shared" si="2220"/>
        <v>0</v>
      </c>
      <c r="BQ219" s="26">
        <f t="shared" si="2220"/>
        <v>0</v>
      </c>
      <c r="BR219" s="26">
        <f t="shared" si="2220"/>
        <v>0</v>
      </c>
      <c r="BS219" s="26">
        <f t="shared" ref="BS219:CW219" si="2221">-BS203</f>
        <v>0</v>
      </c>
      <c r="BT219" s="26">
        <f t="shared" si="2221"/>
        <v>0</v>
      </c>
      <c r="BU219" s="26">
        <f t="shared" si="2221"/>
        <v>0</v>
      </c>
      <c r="BV219" s="26">
        <f t="shared" si="2221"/>
        <v>0</v>
      </c>
      <c r="BW219" s="26">
        <f t="shared" si="2221"/>
        <v>0</v>
      </c>
      <c r="BX219" s="26">
        <f t="shared" si="2221"/>
        <v>0</v>
      </c>
      <c r="BY219" s="26">
        <f t="shared" si="2221"/>
        <v>0</v>
      </c>
      <c r="BZ219" s="26">
        <f t="shared" si="2221"/>
        <v>8057766.5295419991</v>
      </c>
      <c r="CA219" s="26">
        <f t="shared" si="2221"/>
        <v>0</v>
      </c>
      <c r="CB219" s="26">
        <f t="shared" si="2221"/>
        <v>0</v>
      </c>
      <c r="CC219" s="26">
        <f t="shared" si="2221"/>
        <v>0</v>
      </c>
      <c r="CD219" s="26">
        <f t="shared" si="2221"/>
        <v>0</v>
      </c>
      <c r="CE219" s="26">
        <f t="shared" si="2221"/>
        <v>0</v>
      </c>
      <c r="CF219" s="26">
        <f t="shared" si="2221"/>
        <v>0</v>
      </c>
      <c r="CG219" s="26">
        <f t="shared" si="2221"/>
        <v>0</v>
      </c>
      <c r="CH219" s="26">
        <f t="shared" si="2221"/>
        <v>0</v>
      </c>
      <c r="CI219" s="26">
        <f t="shared" si="2221"/>
        <v>0</v>
      </c>
      <c r="CJ219" s="26">
        <f t="shared" si="2221"/>
        <v>0</v>
      </c>
      <c r="CK219" s="26">
        <f t="shared" si="2221"/>
        <v>0</v>
      </c>
      <c r="CL219" s="26">
        <f t="shared" si="2221"/>
        <v>0</v>
      </c>
      <c r="CM219" s="26">
        <f t="shared" si="2221"/>
        <v>0</v>
      </c>
      <c r="CN219" s="26">
        <f t="shared" si="2221"/>
        <v>0</v>
      </c>
      <c r="CO219" s="26">
        <f t="shared" si="2221"/>
        <v>0</v>
      </c>
      <c r="CP219" s="26">
        <f t="shared" si="2221"/>
        <v>0</v>
      </c>
      <c r="CQ219" s="26">
        <f t="shared" si="2221"/>
        <v>0</v>
      </c>
      <c r="CR219" s="26">
        <f t="shared" si="2221"/>
        <v>0</v>
      </c>
      <c r="CS219" s="26">
        <f t="shared" si="2221"/>
        <v>0</v>
      </c>
      <c r="CT219" s="26">
        <f t="shared" si="2221"/>
        <v>0</v>
      </c>
      <c r="CU219" s="26">
        <f t="shared" si="2221"/>
        <v>0</v>
      </c>
      <c r="CV219" s="26">
        <f t="shared" si="2221"/>
        <v>0</v>
      </c>
      <c r="CW219" s="26">
        <f t="shared" si="2221"/>
        <v>0</v>
      </c>
    </row>
    <row r="220" spans="2:101" outlineLevel="1" x14ac:dyDescent="0.25">
      <c r="C220" s="38" t="s">
        <v>170</v>
      </c>
      <c r="D220" s="47" t="s">
        <v>107</v>
      </c>
      <c r="F220" s="132">
        <f>SUM(F214:F219)</f>
        <v>0</v>
      </c>
      <c r="G220" s="132">
        <f t="shared" ref="G220:BR220" si="2222">SUM(G214:G219)</f>
        <v>0</v>
      </c>
      <c r="H220" s="132">
        <f t="shared" si="2222"/>
        <v>0</v>
      </c>
      <c r="I220" s="132">
        <f t="shared" si="2222"/>
        <v>0</v>
      </c>
      <c r="J220" s="132">
        <f t="shared" si="2222"/>
        <v>0</v>
      </c>
      <c r="K220" s="132">
        <f t="shared" si="2222"/>
        <v>0</v>
      </c>
      <c r="L220" s="132">
        <f t="shared" si="2222"/>
        <v>0</v>
      </c>
      <c r="M220" s="132">
        <f t="shared" si="2222"/>
        <v>0</v>
      </c>
      <c r="N220" s="132">
        <f t="shared" si="2222"/>
        <v>0</v>
      </c>
      <c r="O220" s="132">
        <f t="shared" si="2222"/>
        <v>0</v>
      </c>
      <c r="P220" s="132">
        <f t="shared" si="2222"/>
        <v>0</v>
      </c>
      <c r="Q220" s="132">
        <f t="shared" si="2222"/>
        <v>0</v>
      </c>
      <c r="R220" s="132">
        <f t="shared" si="2222"/>
        <v>0</v>
      </c>
      <c r="S220" s="132">
        <f t="shared" si="2222"/>
        <v>0</v>
      </c>
      <c r="T220" s="132">
        <f t="shared" si="2222"/>
        <v>0</v>
      </c>
      <c r="U220" s="132">
        <f t="shared" si="2222"/>
        <v>0</v>
      </c>
      <c r="V220" s="132">
        <f t="shared" si="2222"/>
        <v>0</v>
      </c>
      <c r="W220" s="132">
        <f t="shared" si="2222"/>
        <v>0</v>
      </c>
      <c r="X220" s="132">
        <f t="shared" si="2222"/>
        <v>0</v>
      </c>
      <c r="Y220" s="132">
        <f t="shared" si="2222"/>
        <v>0</v>
      </c>
      <c r="Z220" s="132">
        <f t="shared" si="2222"/>
        <v>0</v>
      </c>
      <c r="AA220" s="132">
        <f t="shared" si="2222"/>
        <v>0</v>
      </c>
      <c r="AB220" s="132">
        <f t="shared" si="2222"/>
        <v>0</v>
      </c>
      <c r="AC220" s="132">
        <f t="shared" si="2222"/>
        <v>0</v>
      </c>
      <c r="AD220" s="132">
        <f t="shared" si="2222"/>
        <v>0</v>
      </c>
      <c r="AE220" s="132">
        <f t="shared" si="2222"/>
        <v>0</v>
      </c>
      <c r="AF220" s="132">
        <f t="shared" si="2222"/>
        <v>0</v>
      </c>
      <c r="AG220" s="132">
        <f t="shared" si="2222"/>
        <v>0</v>
      </c>
      <c r="AH220" s="132">
        <f t="shared" si="2222"/>
        <v>0</v>
      </c>
      <c r="AI220" s="132">
        <f t="shared" si="2222"/>
        <v>0</v>
      </c>
      <c r="AJ220" s="132">
        <f t="shared" si="2222"/>
        <v>0</v>
      </c>
      <c r="AK220" s="132">
        <f t="shared" si="2222"/>
        <v>0</v>
      </c>
      <c r="AL220" s="132">
        <f t="shared" si="2222"/>
        <v>0</v>
      </c>
      <c r="AM220" s="132">
        <f t="shared" si="2222"/>
        <v>0</v>
      </c>
      <c r="AN220" s="132">
        <f t="shared" si="2222"/>
        <v>0</v>
      </c>
      <c r="AO220" s="132">
        <f t="shared" si="2222"/>
        <v>0</v>
      </c>
      <c r="AP220" s="132">
        <f t="shared" si="2222"/>
        <v>0</v>
      </c>
      <c r="AQ220" s="132">
        <f t="shared" si="2222"/>
        <v>0</v>
      </c>
      <c r="AR220" s="132">
        <f t="shared" si="2222"/>
        <v>0</v>
      </c>
      <c r="AS220" s="132">
        <f t="shared" si="2222"/>
        <v>0</v>
      </c>
      <c r="AT220" s="132">
        <f t="shared" si="2222"/>
        <v>0</v>
      </c>
      <c r="AU220" s="132">
        <f t="shared" si="2222"/>
        <v>0</v>
      </c>
      <c r="AV220" s="132">
        <f t="shared" si="2222"/>
        <v>0</v>
      </c>
      <c r="AW220" s="132">
        <f t="shared" si="2222"/>
        <v>0</v>
      </c>
      <c r="AX220" s="132">
        <f t="shared" si="2222"/>
        <v>0</v>
      </c>
      <c r="AY220" s="132">
        <f t="shared" si="2222"/>
        <v>0</v>
      </c>
      <c r="AZ220" s="132">
        <f t="shared" si="2222"/>
        <v>0</v>
      </c>
      <c r="BA220" s="132">
        <f t="shared" si="2222"/>
        <v>-115053586.56252167</v>
      </c>
      <c r="BB220" s="132">
        <f t="shared" si="2222"/>
        <v>380460.10445898346</v>
      </c>
      <c r="BC220" s="132">
        <f t="shared" si="2222"/>
        <v>381705.63183849043</v>
      </c>
      <c r="BD220" s="132">
        <f t="shared" si="2222"/>
        <v>382955.23675052944</v>
      </c>
      <c r="BE220" s="132">
        <f t="shared" si="2222"/>
        <v>384208.93254388106</v>
      </c>
      <c r="BF220" s="132">
        <f t="shared" si="2222"/>
        <v>385466.73261102615</v>
      </c>
      <c r="BG220" s="132">
        <f t="shared" si="2222"/>
        <v>386728.65038828907</v>
      </c>
      <c r="BH220" s="132">
        <f t="shared" si="2222"/>
        <v>387994.69935598131</v>
      </c>
      <c r="BI220" s="132">
        <f t="shared" si="2222"/>
        <v>389264.89303854527</v>
      </c>
      <c r="BJ220" s="132">
        <f t="shared" si="2222"/>
        <v>390539.24500469893</v>
      </c>
      <c r="BK220" s="132">
        <f t="shared" si="2222"/>
        <v>391817.76886758074</v>
      </c>
      <c r="BL220" s="132">
        <f t="shared" si="2222"/>
        <v>393100.47828489501</v>
      </c>
      <c r="BM220" s="132">
        <f t="shared" si="2222"/>
        <v>394387.38695905765</v>
      </c>
      <c r="BN220" s="132">
        <f t="shared" si="2222"/>
        <v>395678.50863734301</v>
      </c>
      <c r="BO220" s="132">
        <f t="shared" si="2222"/>
        <v>396973.85711203021</v>
      </c>
      <c r="BP220" s="132">
        <f t="shared" si="2222"/>
        <v>398273.44622055086</v>
      </c>
      <c r="BQ220" s="132">
        <f t="shared" si="2222"/>
        <v>399577.28984563652</v>
      </c>
      <c r="BR220" s="132">
        <f t="shared" si="2222"/>
        <v>400885.40191546734</v>
      </c>
      <c r="BS220" s="132">
        <f t="shared" ref="BS220:CW220" si="2223">SUM(BS214:BS219)</f>
        <v>402197.7964038208</v>
      </c>
      <c r="BT220" s="132">
        <f t="shared" si="2223"/>
        <v>403514.48733022076</v>
      </c>
      <c r="BU220" s="132">
        <f t="shared" si="2223"/>
        <v>404835.48876008735</v>
      </c>
      <c r="BV220" s="132">
        <f t="shared" si="2223"/>
        <v>406160.81480488717</v>
      </c>
      <c r="BW220" s="132">
        <f t="shared" si="2223"/>
        <v>407490.47962228424</v>
      </c>
      <c r="BX220" s="132">
        <f t="shared" si="2223"/>
        <v>408824.49741629104</v>
      </c>
      <c r="BY220" s="132">
        <f t="shared" si="2223"/>
        <v>410162.88243742019</v>
      </c>
      <c r="BZ220" s="132">
        <f t="shared" si="2223"/>
        <v>135840831.08428419</v>
      </c>
      <c r="CA220" s="132">
        <f t="shared" si="2223"/>
        <v>0</v>
      </c>
      <c r="CB220" s="132">
        <f t="shared" si="2223"/>
        <v>0</v>
      </c>
      <c r="CC220" s="132">
        <f t="shared" si="2223"/>
        <v>0</v>
      </c>
      <c r="CD220" s="132">
        <f t="shared" si="2223"/>
        <v>0</v>
      </c>
      <c r="CE220" s="132">
        <f t="shared" si="2223"/>
        <v>0</v>
      </c>
      <c r="CF220" s="132">
        <f t="shared" si="2223"/>
        <v>0</v>
      </c>
      <c r="CG220" s="132">
        <f t="shared" si="2223"/>
        <v>0</v>
      </c>
      <c r="CH220" s="132">
        <f t="shared" si="2223"/>
        <v>0</v>
      </c>
      <c r="CI220" s="132">
        <f t="shared" si="2223"/>
        <v>0</v>
      </c>
      <c r="CJ220" s="132">
        <f t="shared" si="2223"/>
        <v>0</v>
      </c>
      <c r="CK220" s="132">
        <f t="shared" si="2223"/>
        <v>0</v>
      </c>
      <c r="CL220" s="132">
        <f t="shared" si="2223"/>
        <v>0</v>
      </c>
      <c r="CM220" s="132">
        <f t="shared" si="2223"/>
        <v>0</v>
      </c>
      <c r="CN220" s="132">
        <f t="shared" si="2223"/>
        <v>0</v>
      </c>
      <c r="CO220" s="132">
        <f t="shared" si="2223"/>
        <v>0</v>
      </c>
      <c r="CP220" s="132">
        <f t="shared" si="2223"/>
        <v>0</v>
      </c>
      <c r="CQ220" s="132">
        <f t="shared" si="2223"/>
        <v>0</v>
      </c>
      <c r="CR220" s="132">
        <f t="shared" si="2223"/>
        <v>0</v>
      </c>
      <c r="CS220" s="132">
        <f t="shared" si="2223"/>
        <v>0</v>
      </c>
      <c r="CT220" s="132">
        <f t="shared" si="2223"/>
        <v>0</v>
      </c>
      <c r="CU220" s="132">
        <f t="shared" si="2223"/>
        <v>0</v>
      </c>
      <c r="CV220" s="132">
        <f t="shared" si="2223"/>
        <v>0</v>
      </c>
      <c r="CW220" s="132">
        <f t="shared" si="2223"/>
        <v>0</v>
      </c>
    </row>
    <row r="221" spans="2:101" outlineLevel="1" x14ac:dyDescent="0.25">
      <c r="CL221" s="117"/>
      <c r="CM221" s="117"/>
      <c r="CN221" s="117"/>
      <c r="CO221" s="117"/>
      <c r="CP221" s="117"/>
      <c r="CQ221" s="117"/>
      <c r="CR221" s="117"/>
      <c r="CS221" s="117"/>
      <c r="CT221" s="117"/>
      <c r="CU221" s="117"/>
      <c r="CV221" s="117"/>
      <c r="CW221" s="117"/>
    </row>
    <row r="222" spans="2:101" outlineLevel="1" x14ac:dyDescent="0.25">
      <c r="C222" s="83" t="s">
        <v>31</v>
      </c>
      <c r="D222" s="84" t="s">
        <v>39</v>
      </c>
      <c r="E222" s="85">
        <f>XIRR(BA220:CW220,BA212:CW212)</f>
        <v>0.12288394570350644</v>
      </c>
      <c r="CL222" s="117"/>
      <c r="CM222" s="117"/>
      <c r="CN222" s="117"/>
      <c r="CO222" s="117"/>
      <c r="CP222" s="117"/>
      <c r="CQ222" s="117"/>
      <c r="CR222" s="117"/>
      <c r="CS222" s="117"/>
      <c r="CT222" s="117"/>
      <c r="CU222" s="117"/>
      <c r="CV222" s="117"/>
      <c r="CW222" s="117"/>
    </row>
    <row r="223" spans="2:101" outlineLevel="1" x14ac:dyDescent="0.25">
      <c r="CL223" s="117"/>
      <c r="CM223" s="117"/>
      <c r="CN223" s="117"/>
      <c r="CO223" s="117"/>
      <c r="CP223" s="117"/>
      <c r="CQ223" s="117"/>
      <c r="CR223" s="117"/>
      <c r="CS223" s="117"/>
      <c r="CT223" s="117"/>
      <c r="CU223" s="117"/>
      <c r="CV223" s="117"/>
      <c r="CW223" s="117"/>
    </row>
    <row r="224" spans="2:101" outlineLevel="1" x14ac:dyDescent="0.25">
      <c r="C224" s="98" t="s">
        <v>179</v>
      </c>
      <c r="D224" s="47" t="s">
        <v>107</v>
      </c>
      <c r="E224" s="16">
        <f>SUMIF(F220:CW220,"&gt;0",F220:CW220)</f>
        <v>145324035.79489219</v>
      </c>
      <c r="CL224" s="117"/>
      <c r="CM224" s="117"/>
      <c r="CN224" s="117"/>
      <c r="CO224" s="117"/>
      <c r="CP224" s="117"/>
      <c r="CQ224" s="117"/>
      <c r="CR224" s="117"/>
      <c r="CS224" s="117"/>
      <c r="CT224" s="117"/>
      <c r="CU224" s="117"/>
      <c r="CV224" s="117"/>
      <c r="CW224" s="117"/>
    </row>
    <row r="225" spans="2:101" outlineLevel="1" x14ac:dyDescent="0.25">
      <c r="C225" s="98" t="s">
        <v>178</v>
      </c>
      <c r="D225" s="47" t="s">
        <v>107</v>
      </c>
      <c r="E225" s="16">
        <f>-SUMIF(F220:CW220,"&lt;=0",F220:CW220)</f>
        <v>115053586.56252167</v>
      </c>
      <c r="CL225" s="117"/>
      <c r="CM225" s="117"/>
      <c r="CN225" s="117"/>
      <c r="CO225" s="117"/>
      <c r="CP225" s="117"/>
      <c r="CQ225" s="117"/>
      <c r="CR225" s="117"/>
      <c r="CS225" s="117"/>
      <c r="CT225" s="117"/>
      <c r="CU225" s="117"/>
      <c r="CV225" s="117"/>
      <c r="CW225" s="117"/>
    </row>
    <row r="226" spans="2:101" outlineLevel="1" x14ac:dyDescent="0.25">
      <c r="C226" s="98" t="s">
        <v>83</v>
      </c>
      <c r="D226" s="89" t="s">
        <v>74</v>
      </c>
      <c r="E226" s="213">
        <f>+E224/E225</f>
        <v>1.2630987015421824</v>
      </c>
      <c r="CL226" s="117"/>
      <c r="CM226" s="117"/>
      <c r="CN226" s="117"/>
      <c r="CO226" s="117"/>
      <c r="CP226" s="117"/>
      <c r="CQ226" s="117"/>
      <c r="CR226" s="117"/>
      <c r="CS226" s="117"/>
      <c r="CT226" s="117"/>
      <c r="CU226" s="117"/>
      <c r="CV226" s="117"/>
      <c r="CW226" s="117"/>
    </row>
    <row r="228" spans="2:101" x14ac:dyDescent="0.25">
      <c r="B228" s="52" t="s">
        <v>217</v>
      </c>
      <c r="C228" s="52"/>
      <c r="D228" s="40" t="str">
        <f>+$D$5</f>
        <v>Units:</v>
      </c>
      <c r="E228" s="52"/>
      <c r="F228" s="120">
        <f>Constr_Start_Date</f>
        <v>42155</v>
      </c>
      <c r="G228" s="120">
        <f>EOMONTH(F228,1)</f>
        <v>42185</v>
      </c>
      <c r="H228" s="120">
        <f t="shared" ref="H228" si="2224">EOMONTH(G228,1)</f>
        <v>42216</v>
      </c>
      <c r="I228" s="120">
        <f t="shared" ref="I228" si="2225">EOMONTH(H228,1)</f>
        <v>42247</v>
      </c>
      <c r="J228" s="120">
        <f t="shared" ref="J228" si="2226">EOMONTH(I228,1)</f>
        <v>42277</v>
      </c>
      <c r="K228" s="120">
        <f t="shared" ref="K228" si="2227">EOMONTH(J228,1)</f>
        <v>42308</v>
      </c>
      <c r="L228" s="120">
        <f t="shared" ref="L228" si="2228">EOMONTH(K228,1)</f>
        <v>42338</v>
      </c>
      <c r="M228" s="120">
        <f t="shared" ref="M228" si="2229">EOMONTH(L228,1)</f>
        <v>42369</v>
      </c>
      <c r="N228" s="120">
        <f t="shared" ref="N228" si="2230">EOMONTH(M228,1)</f>
        <v>42400</v>
      </c>
      <c r="O228" s="120">
        <f t="shared" ref="O228" si="2231">EOMONTH(N228,1)</f>
        <v>42429</v>
      </c>
      <c r="P228" s="120">
        <f t="shared" ref="P228" si="2232">EOMONTH(O228,1)</f>
        <v>42460</v>
      </c>
      <c r="Q228" s="120">
        <f t="shared" ref="Q228" si="2233">EOMONTH(P228,1)</f>
        <v>42490</v>
      </c>
      <c r="R228" s="120">
        <f t="shared" ref="R228" si="2234">EOMONTH(Q228,1)</f>
        <v>42521</v>
      </c>
      <c r="S228" s="120">
        <f t="shared" ref="S228" si="2235">EOMONTH(R228,1)</f>
        <v>42551</v>
      </c>
      <c r="T228" s="120">
        <f t="shared" ref="T228" si="2236">EOMONTH(S228,1)</f>
        <v>42582</v>
      </c>
      <c r="U228" s="120">
        <f t="shared" ref="U228" si="2237">EOMONTH(T228,1)</f>
        <v>42613</v>
      </c>
      <c r="V228" s="120">
        <f t="shared" ref="V228" si="2238">EOMONTH(U228,1)</f>
        <v>42643</v>
      </c>
      <c r="W228" s="120">
        <f t="shared" ref="W228" si="2239">EOMONTH(V228,1)</f>
        <v>42674</v>
      </c>
      <c r="X228" s="120">
        <f t="shared" ref="X228" si="2240">EOMONTH(W228,1)</f>
        <v>42704</v>
      </c>
      <c r="Y228" s="120">
        <f t="shared" ref="Y228" si="2241">EOMONTH(X228,1)</f>
        <v>42735</v>
      </c>
      <c r="Z228" s="120">
        <f t="shared" ref="Z228" si="2242">EOMONTH(Y228,1)</f>
        <v>42766</v>
      </c>
      <c r="AA228" s="120">
        <f t="shared" ref="AA228" si="2243">EOMONTH(Z228,1)</f>
        <v>42794</v>
      </c>
      <c r="AB228" s="120">
        <f t="shared" ref="AB228" si="2244">EOMONTH(AA228,1)</f>
        <v>42825</v>
      </c>
      <c r="AC228" s="120">
        <f t="shared" ref="AC228" si="2245">EOMONTH(AB228,1)</f>
        <v>42855</v>
      </c>
      <c r="AD228" s="120">
        <f t="shared" ref="AD228" si="2246">EOMONTH(AC228,1)</f>
        <v>42886</v>
      </c>
      <c r="AE228" s="120">
        <f t="shared" ref="AE228" si="2247">EOMONTH(AD228,1)</f>
        <v>42916</v>
      </c>
      <c r="AF228" s="120">
        <f t="shared" ref="AF228" si="2248">EOMONTH(AE228,1)</f>
        <v>42947</v>
      </c>
      <c r="AG228" s="120">
        <f t="shared" ref="AG228" si="2249">EOMONTH(AF228,1)</f>
        <v>42978</v>
      </c>
      <c r="AH228" s="120">
        <f t="shared" ref="AH228" si="2250">EOMONTH(AG228,1)</f>
        <v>43008</v>
      </c>
      <c r="AI228" s="120">
        <f t="shared" ref="AI228" si="2251">EOMONTH(AH228,1)</f>
        <v>43039</v>
      </c>
      <c r="AJ228" s="120">
        <f t="shared" ref="AJ228" si="2252">EOMONTH(AI228,1)</f>
        <v>43069</v>
      </c>
      <c r="AK228" s="120">
        <f t="shared" ref="AK228" si="2253">EOMONTH(AJ228,1)</f>
        <v>43100</v>
      </c>
      <c r="AL228" s="120">
        <f t="shared" ref="AL228" si="2254">EOMONTH(AK228,1)</f>
        <v>43131</v>
      </c>
      <c r="AM228" s="120">
        <f t="shared" ref="AM228" si="2255">EOMONTH(AL228,1)</f>
        <v>43159</v>
      </c>
      <c r="AN228" s="120">
        <f t="shared" ref="AN228" si="2256">EOMONTH(AM228,1)</f>
        <v>43190</v>
      </c>
      <c r="AO228" s="120">
        <f t="shared" ref="AO228" si="2257">EOMONTH(AN228,1)</f>
        <v>43220</v>
      </c>
      <c r="AP228" s="120">
        <f t="shared" ref="AP228" si="2258">EOMONTH(AO228,1)</f>
        <v>43251</v>
      </c>
      <c r="AQ228" s="120">
        <f t="shared" ref="AQ228" si="2259">EOMONTH(AP228,1)</f>
        <v>43281</v>
      </c>
      <c r="AR228" s="120">
        <f t="shared" ref="AR228" si="2260">EOMONTH(AQ228,1)</f>
        <v>43312</v>
      </c>
      <c r="AS228" s="120">
        <f t="shared" ref="AS228" si="2261">EOMONTH(AR228,1)</f>
        <v>43343</v>
      </c>
      <c r="AT228" s="120">
        <f t="shared" ref="AT228" si="2262">EOMONTH(AS228,1)</f>
        <v>43373</v>
      </c>
      <c r="AU228" s="120">
        <f t="shared" ref="AU228" si="2263">EOMONTH(AT228,1)</f>
        <v>43404</v>
      </c>
      <c r="AV228" s="120">
        <f t="shared" ref="AV228" si="2264">EOMONTH(AU228,1)</f>
        <v>43434</v>
      </c>
      <c r="AW228" s="120">
        <f t="shared" ref="AW228" si="2265">EOMONTH(AV228,1)</f>
        <v>43465</v>
      </c>
      <c r="AX228" s="120">
        <f t="shared" ref="AX228" si="2266">EOMONTH(AW228,1)</f>
        <v>43496</v>
      </c>
      <c r="AY228" s="120">
        <f t="shared" ref="AY228" si="2267">EOMONTH(AX228,1)</f>
        <v>43524</v>
      </c>
      <c r="AZ228" s="120">
        <f t="shared" ref="AZ228" si="2268">EOMONTH(AY228,1)</f>
        <v>43555</v>
      </c>
      <c r="BA228" s="120">
        <f t="shared" ref="BA228" si="2269">EOMONTH(AZ228,1)</f>
        <v>43585</v>
      </c>
      <c r="BB228" s="120">
        <f t="shared" ref="BB228" si="2270">EOMONTH(BA228,1)</f>
        <v>43616</v>
      </c>
      <c r="BC228" s="120">
        <f t="shared" ref="BC228" si="2271">EOMONTH(BB228,1)</f>
        <v>43646</v>
      </c>
      <c r="BD228" s="120">
        <f t="shared" ref="BD228" si="2272">EOMONTH(BC228,1)</f>
        <v>43677</v>
      </c>
      <c r="BE228" s="120">
        <f t="shared" ref="BE228" si="2273">EOMONTH(BD228,1)</f>
        <v>43708</v>
      </c>
      <c r="BF228" s="120">
        <f t="shared" ref="BF228" si="2274">EOMONTH(BE228,1)</f>
        <v>43738</v>
      </c>
      <c r="BG228" s="120">
        <f t="shared" ref="BG228" si="2275">EOMONTH(BF228,1)</f>
        <v>43769</v>
      </c>
      <c r="BH228" s="120">
        <f t="shared" ref="BH228" si="2276">EOMONTH(BG228,1)</f>
        <v>43799</v>
      </c>
      <c r="BI228" s="120">
        <f t="shared" ref="BI228" si="2277">EOMONTH(BH228,1)</f>
        <v>43830</v>
      </c>
      <c r="BJ228" s="120">
        <f t="shared" ref="BJ228" si="2278">EOMONTH(BI228,1)</f>
        <v>43861</v>
      </c>
      <c r="BK228" s="120">
        <f t="shared" ref="BK228" si="2279">EOMONTH(BJ228,1)</f>
        <v>43890</v>
      </c>
      <c r="BL228" s="120">
        <f t="shared" ref="BL228" si="2280">EOMONTH(BK228,1)</f>
        <v>43921</v>
      </c>
      <c r="BM228" s="120">
        <f t="shared" ref="BM228" si="2281">EOMONTH(BL228,1)</f>
        <v>43951</v>
      </c>
      <c r="BN228" s="120">
        <f t="shared" ref="BN228" si="2282">EOMONTH(BM228,1)</f>
        <v>43982</v>
      </c>
      <c r="BO228" s="120">
        <f t="shared" ref="BO228" si="2283">EOMONTH(BN228,1)</f>
        <v>44012</v>
      </c>
      <c r="BP228" s="120">
        <f t="shared" ref="BP228" si="2284">EOMONTH(BO228,1)</f>
        <v>44043</v>
      </c>
      <c r="BQ228" s="120">
        <f t="shared" ref="BQ228" si="2285">EOMONTH(BP228,1)</f>
        <v>44074</v>
      </c>
      <c r="BR228" s="120">
        <f t="shared" ref="BR228" si="2286">EOMONTH(BQ228,1)</f>
        <v>44104</v>
      </c>
      <c r="BS228" s="120">
        <f t="shared" ref="BS228" si="2287">EOMONTH(BR228,1)</f>
        <v>44135</v>
      </c>
      <c r="BT228" s="120">
        <f t="shared" ref="BT228" si="2288">EOMONTH(BS228,1)</f>
        <v>44165</v>
      </c>
      <c r="BU228" s="120">
        <f t="shared" ref="BU228" si="2289">EOMONTH(BT228,1)</f>
        <v>44196</v>
      </c>
      <c r="BV228" s="120">
        <f t="shared" ref="BV228" si="2290">EOMONTH(BU228,1)</f>
        <v>44227</v>
      </c>
      <c r="BW228" s="120">
        <f t="shared" ref="BW228" si="2291">EOMONTH(BV228,1)</f>
        <v>44255</v>
      </c>
      <c r="BX228" s="120">
        <f t="shared" ref="BX228" si="2292">EOMONTH(BW228,1)</f>
        <v>44286</v>
      </c>
      <c r="BY228" s="120">
        <f t="shared" ref="BY228" si="2293">EOMONTH(BX228,1)</f>
        <v>44316</v>
      </c>
      <c r="BZ228" s="120">
        <f t="shared" ref="BZ228" si="2294">EOMONTH(BY228,1)</f>
        <v>44347</v>
      </c>
      <c r="CA228" s="120">
        <f t="shared" ref="CA228" si="2295">EOMONTH(BZ228,1)</f>
        <v>44377</v>
      </c>
      <c r="CB228" s="120">
        <f t="shared" ref="CB228" si="2296">EOMONTH(CA228,1)</f>
        <v>44408</v>
      </c>
      <c r="CC228" s="120">
        <f t="shared" ref="CC228" si="2297">EOMONTH(CB228,1)</f>
        <v>44439</v>
      </c>
      <c r="CD228" s="120">
        <f t="shared" ref="CD228" si="2298">EOMONTH(CC228,1)</f>
        <v>44469</v>
      </c>
      <c r="CE228" s="120">
        <f t="shared" ref="CE228" si="2299">EOMONTH(CD228,1)</f>
        <v>44500</v>
      </c>
      <c r="CF228" s="120">
        <f t="shared" ref="CF228" si="2300">EOMONTH(CE228,1)</f>
        <v>44530</v>
      </c>
      <c r="CG228" s="120">
        <f t="shared" ref="CG228" si="2301">EOMONTH(CF228,1)</f>
        <v>44561</v>
      </c>
      <c r="CH228" s="120">
        <f t="shared" ref="CH228" si="2302">EOMONTH(CG228,1)</f>
        <v>44592</v>
      </c>
      <c r="CI228" s="120">
        <f t="shared" ref="CI228" si="2303">EOMONTH(CH228,1)</f>
        <v>44620</v>
      </c>
      <c r="CJ228" s="120">
        <f t="shared" ref="CJ228" si="2304">EOMONTH(CI228,1)</f>
        <v>44651</v>
      </c>
      <c r="CK228" s="120">
        <f t="shared" ref="CK228" si="2305">EOMONTH(CJ228,1)</f>
        <v>44681</v>
      </c>
      <c r="CL228" s="120">
        <f t="shared" ref="CL228" si="2306">EOMONTH(CK228,1)</f>
        <v>44712</v>
      </c>
      <c r="CM228" s="120">
        <f t="shared" ref="CM228" si="2307">EOMONTH(CL228,1)</f>
        <v>44742</v>
      </c>
      <c r="CN228" s="120">
        <f t="shared" ref="CN228" si="2308">EOMONTH(CM228,1)</f>
        <v>44773</v>
      </c>
      <c r="CO228" s="120">
        <f t="shared" ref="CO228" si="2309">EOMONTH(CN228,1)</f>
        <v>44804</v>
      </c>
      <c r="CP228" s="120">
        <f t="shared" ref="CP228" si="2310">EOMONTH(CO228,1)</f>
        <v>44834</v>
      </c>
      <c r="CQ228" s="120">
        <f t="shared" ref="CQ228" si="2311">EOMONTH(CP228,1)</f>
        <v>44865</v>
      </c>
      <c r="CR228" s="120">
        <f t="shared" ref="CR228" si="2312">EOMONTH(CQ228,1)</f>
        <v>44895</v>
      </c>
      <c r="CS228" s="120">
        <f t="shared" ref="CS228" si="2313">EOMONTH(CR228,1)</f>
        <v>44926</v>
      </c>
      <c r="CT228" s="120">
        <f t="shared" ref="CT228" si="2314">EOMONTH(CS228,1)</f>
        <v>44957</v>
      </c>
      <c r="CU228" s="120">
        <f t="shared" ref="CU228" si="2315">EOMONTH(CT228,1)</f>
        <v>44985</v>
      </c>
      <c r="CV228" s="120">
        <f t="shared" ref="CV228" si="2316">EOMONTH(CU228,1)</f>
        <v>45016</v>
      </c>
      <c r="CW228" s="120">
        <f t="shared" ref="CW228" si="2317">EOMONTH(CV228,1)</f>
        <v>45046</v>
      </c>
    </row>
    <row r="229" spans="2:101" outlineLevel="1" x14ac:dyDescent="0.25"/>
    <row r="230" spans="2:101" outlineLevel="1" x14ac:dyDescent="0.25">
      <c r="C230" s="194" t="s">
        <v>71</v>
      </c>
    </row>
    <row r="231" spans="2:101" outlineLevel="1" x14ac:dyDescent="0.25">
      <c r="C231" s="81" t="s">
        <v>218</v>
      </c>
      <c r="D231" s="152" t="s">
        <v>107</v>
      </c>
      <c r="E231" s="80"/>
      <c r="F231" s="131">
        <f>MIN(F204,0)</f>
        <v>-77970000</v>
      </c>
      <c r="G231" s="131">
        <f t="shared" ref="G231:BR231" si="2318">MIN(G204,0)</f>
        <v>-2520000</v>
      </c>
      <c r="H231" s="131">
        <f t="shared" si="2318"/>
        <v>-4320000</v>
      </c>
      <c r="I231" s="131">
        <f t="shared" si="2318"/>
        <v>-4770000</v>
      </c>
      <c r="J231" s="131">
        <f t="shared" si="2318"/>
        <v>-2970000</v>
      </c>
      <c r="K231" s="131">
        <f t="shared" si="2318"/>
        <v>-77790000</v>
      </c>
      <c r="L231" s="131">
        <f t="shared" si="2318"/>
        <v>-7560000</v>
      </c>
      <c r="M231" s="131">
        <f t="shared" si="2318"/>
        <v>-5580000</v>
      </c>
      <c r="N231" s="131">
        <f t="shared" si="2318"/>
        <v>-6570000</v>
      </c>
      <c r="O231" s="131">
        <f t="shared" si="2318"/>
        <v>-9270000</v>
      </c>
      <c r="P231" s="131">
        <f t="shared" si="2318"/>
        <v>-13320000</v>
      </c>
      <c r="Q231" s="131">
        <f t="shared" si="2318"/>
        <v>-15750000</v>
      </c>
      <c r="R231" s="131">
        <f t="shared" si="2318"/>
        <v>-24750000</v>
      </c>
      <c r="S231" s="131">
        <f t="shared" si="2318"/>
        <v>-27900000.000000004</v>
      </c>
      <c r="T231" s="131">
        <f t="shared" si="2318"/>
        <v>-28440000</v>
      </c>
      <c r="U231" s="131">
        <f t="shared" si="2318"/>
        <v>-41940000</v>
      </c>
      <c r="V231" s="131">
        <f t="shared" si="2318"/>
        <v>-41940000</v>
      </c>
      <c r="W231" s="131">
        <f t="shared" si="2318"/>
        <v>-21877056</v>
      </c>
      <c r="X231" s="131">
        <f t="shared" si="2318"/>
        <v>0</v>
      </c>
      <c r="Y231" s="131">
        <f t="shared" si="2318"/>
        <v>0</v>
      </c>
      <c r="Z231" s="131">
        <f t="shared" si="2318"/>
        <v>0</v>
      </c>
      <c r="AA231" s="131">
        <f t="shared" si="2318"/>
        <v>0</v>
      </c>
      <c r="AB231" s="131">
        <f t="shared" si="2318"/>
        <v>0</v>
      </c>
      <c r="AC231" s="131">
        <f t="shared" si="2318"/>
        <v>0</v>
      </c>
      <c r="AD231" s="131">
        <f t="shared" si="2318"/>
        <v>0</v>
      </c>
      <c r="AE231" s="131">
        <f t="shared" si="2318"/>
        <v>0</v>
      </c>
      <c r="AF231" s="131">
        <f t="shared" si="2318"/>
        <v>0</v>
      </c>
      <c r="AG231" s="131">
        <f t="shared" si="2318"/>
        <v>0</v>
      </c>
      <c r="AH231" s="131">
        <f t="shared" si="2318"/>
        <v>0</v>
      </c>
      <c r="AI231" s="131">
        <f t="shared" si="2318"/>
        <v>0</v>
      </c>
      <c r="AJ231" s="131">
        <f t="shared" si="2318"/>
        <v>0</v>
      </c>
      <c r="AK231" s="131">
        <f t="shared" si="2318"/>
        <v>0</v>
      </c>
      <c r="AL231" s="131">
        <f t="shared" si="2318"/>
        <v>0</v>
      </c>
      <c r="AM231" s="131">
        <f t="shared" si="2318"/>
        <v>0</v>
      </c>
      <c r="AN231" s="131">
        <f t="shared" si="2318"/>
        <v>0</v>
      </c>
      <c r="AO231" s="131">
        <f t="shared" si="2318"/>
        <v>0</v>
      </c>
      <c r="AP231" s="131">
        <f t="shared" si="2318"/>
        <v>0</v>
      </c>
      <c r="AQ231" s="131">
        <f t="shared" si="2318"/>
        <v>0</v>
      </c>
      <c r="AR231" s="131">
        <f t="shared" si="2318"/>
        <v>0</v>
      </c>
      <c r="AS231" s="131">
        <f t="shared" si="2318"/>
        <v>0</v>
      </c>
      <c r="AT231" s="131">
        <f t="shared" si="2318"/>
        <v>0</v>
      </c>
      <c r="AU231" s="131">
        <f t="shared" si="2318"/>
        <v>0</v>
      </c>
      <c r="AV231" s="131">
        <f t="shared" si="2318"/>
        <v>0</v>
      </c>
      <c r="AW231" s="131">
        <f t="shared" si="2318"/>
        <v>0</v>
      </c>
      <c r="AX231" s="131">
        <f t="shared" si="2318"/>
        <v>0</v>
      </c>
      <c r="AY231" s="131">
        <f t="shared" si="2318"/>
        <v>0</v>
      </c>
      <c r="AZ231" s="131">
        <f t="shared" si="2318"/>
        <v>0</v>
      </c>
      <c r="BA231" s="131">
        <f t="shared" si="2318"/>
        <v>0</v>
      </c>
      <c r="BB231" s="131">
        <f t="shared" si="2318"/>
        <v>-4420811.8889556434</v>
      </c>
      <c r="BC231" s="131">
        <f t="shared" si="2318"/>
        <v>-4423784.4150807997</v>
      </c>
      <c r="BD231" s="131">
        <f t="shared" si="2318"/>
        <v>-4426764.2239402821</v>
      </c>
      <c r="BE231" s="131">
        <f t="shared" si="2318"/>
        <v>-4429751.3348315293</v>
      </c>
      <c r="BF231" s="131">
        <f t="shared" si="2318"/>
        <v>-4432745.7671067128</v>
      </c>
      <c r="BG231" s="131">
        <f t="shared" si="2318"/>
        <v>-4435747.540172915</v>
      </c>
      <c r="BH231" s="131">
        <f t="shared" si="2318"/>
        <v>-1746621.930835864</v>
      </c>
      <c r="BI231" s="131">
        <f t="shared" si="2318"/>
        <v>-1749638.4439257793</v>
      </c>
      <c r="BJ231" s="131">
        <f t="shared" si="2318"/>
        <v>-1752662.3563590213</v>
      </c>
      <c r="BK231" s="131">
        <f t="shared" si="2318"/>
        <v>0</v>
      </c>
      <c r="BL231" s="131">
        <f t="shared" si="2318"/>
        <v>-1588427.3695743023</v>
      </c>
      <c r="BM231" s="131">
        <f t="shared" si="2318"/>
        <v>0</v>
      </c>
      <c r="BN231" s="131">
        <f t="shared" si="2318"/>
        <v>0</v>
      </c>
      <c r="BO231" s="131">
        <f t="shared" si="2318"/>
        <v>0</v>
      </c>
      <c r="BP231" s="131">
        <f t="shared" si="2318"/>
        <v>0</v>
      </c>
      <c r="BQ231" s="131">
        <f t="shared" si="2318"/>
        <v>0</v>
      </c>
      <c r="BR231" s="131">
        <f t="shared" si="2318"/>
        <v>0</v>
      </c>
      <c r="BS231" s="131">
        <f t="shared" ref="BS231:CW231" si="2319">MIN(BS204,0)</f>
        <v>0</v>
      </c>
      <c r="BT231" s="131">
        <f t="shared" si="2319"/>
        <v>0</v>
      </c>
      <c r="BU231" s="131">
        <f t="shared" si="2319"/>
        <v>0</v>
      </c>
      <c r="BV231" s="131">
        <f t="shared" si="2319"/>
        <v>0</v>
      </c>
      <c r="BW231" s="131">
        <f t="shared" si="2319"/>
        <v>0</v>
      </c>
      <c r="BX231" s="131">
        <f t="shared" si="2319"/>
        <v>0</v>
      </c>
      <c r="BY231" s="131">
        <f t="shared" si="2319"/>
        <v>0</v>
      </c>
      <c r="BZ231" s="131">
        <f t="shared" si="2319"/>
        <v>0</v>
      </c>
      <c r="CA231" s="131">
        <f t="shared" si="2319"/>
        <v>0</v>
      </c>
      <c r="CB231" s="131">
        <f t="shared" si="2319"/>
        <v>0</v>
      </c>
      <c r="CC231" s="131">
        <f t="shared" si="2319"/>
        <v>0</v>
      </c>
      <c r="CD231" s="131">
        <f t="shared" si="2319"/>
        <v>0</v>
      </c>
      <c r="CE231" s="131">
        <f t="shared" si="2319"/>
        <v>0</v>
      </c>
      <c r="CF231" s="131">
        <f t="shared" si="2319"/>
        <v>0</v>
      </c>
      <c r="CG231" s="131">
        <f t="shared" si="2319"/>
        <v>0</v>
      </c>
      <c r="CH231" s="131">
        <f t="shared" si="2319"/>
        <v>0</v>
      </c>
      <c r="CI231" s="131">
        <f t="shared" si="2319"/>
        <v>0</v>
      </c>
      <c r="CJ231" s="131">
        <f t="shared" si="2319"/>
        <v>0</v>
      </c>
      <c r="CK231" s="131">
        <f t="shared" si="2319"/>
        <v>0</v>
      </c>
      <c r="CL231" s="131">
        <f t="shared" si="2319"/>
        <v>0</v>
      </c>
      <c r="CM231" s="131">
        <f t="shared" si="2319"/>
        <v>0</v>
      </c>
      <c r="CN231" s="131">
        <f t="shared" si="2319"/>
        <v>0</v>
      </c>
      <c r="CO231" s="131">
        <f t="shared" si="2319"/>
        <v>0</v>
      </c>
      <c r="CP231" s="131">
        <f t="shared" si="2319"/>
        <v>0</v>
      </c>
      <c r="CQ231" s="131">
        <f t="shared" si="2319"/>
        <v>0</v>
      </c>
      <c r="CR231" s="131">
        <f t="shared" si="2319"/>
        <v>0</v>
      </c>
      <c r="CS231" s="131">
        <f t="shared" si="2319"/>
        <v>0</v>
      </c>
      <c r="CT231" s="131">
        <f t="shared" si="2319"/>
        <v>0</v>
      </c>
      <c r="CU231" s="131">
        <f t="shared" si="2319"/>
        <v>0</v>
      </c>
      <c r="CV231" s="131">
        <f t="shared" si="2319"/>
        <v>0</v>
      </c>
      <c r="CW231" s="131">
        <f t="shared" si="2319"/>
        <v>0</v>
      </c>
    </row>
    <row r="232" spans="2:101" outlineLevel="1" x14ac:dyDescent="0.25">
      <c r="C232" s="195" t="s">
        <v>219</v>
      </c>
      <c r="D232" s="130" t="s">
        <v>107</v>
      </c>
      <c r="E232" s="203"/>
      <c r="F232" s="204">
        <f>MAX(F204,0)</f>
        <v>0</v>
      </c>
      <c r="G232" s="204">
        <f t="shared" ref="G232:BR232" si="2320">MAX(G204,0)</f>
        <v>0</v>
      </c>
      <c r="H232" s="204">
        <f t="shared" si="2320"/>
        <v>0</v>
      </c>
      <c r="I232" s="204">
        <f t="shared" si="2320"/>
        <v>0</v>
      </c>
      <c r="J232" s="204">
        <f t="shared" si="2320"/>
        <v>0</v>
      </c>
      <c r="K232" s="204">
        <f t="shared" si="2320"/>
        <v>0</v>
      </c>
      <c r="L232" s="204">
        <f t="shared" si="2320"/>
        <v>0</v>
      </c>
      <c r="M232" s="204">
        <f t="shared" si="2320"/>
        <v>0</v>
      </c>
      <c r="N232" s="204">
        <f t="shared" si="2320"/>
        <v>0</v>
      </c>
      <c r="O232" s="204">
        <f t="shared" si="2320"/>
        <v>0</v>
      </c>
      <c r="P232" s="204">
        <f t="shared" si="2320"/>
        <v>0</v>
      </c>
      <c r="Q232" s="204">
        <f t="shared" si="2320"/>
        <v>0</v>
      </c>
      <c r="R232" s="204">
        <f t="shared" si="2320"/>
        <v>0</v>
      </c>
      <c r="S232" s="204">
        <f t="shared" si="2320"/>
        <v>0</v>
      </c>
      <c r="T232" s="204">
        <f t="shared" si="2320"/>
        <v>0</v>
      </c>
      <c r="U232" s="204">
        <f t="shared" si="2320"/>
        <v>0</v>
      </c>
      <c r="V232" s="204">
        <f t="shared" si="2320"/>
        <v>0</v>
      </c>
      <c r="W232" s="204">
        <f t="shared" si="2320"/>
        <v>0</v>
      </c>
      <c r="X232" s="204">
        <f t="shared" si="2320"/>
        <v>0</v>
      </c>
      <c r="Y232" s="204">
        <f t="shared" si="2320"/>
        <v>0</v>
      </c>
      <c r="Z232" s="204">
        <f t="shared" si="2320"/>
        <v>0</v>
      </c>
      <c r="AA232" s="204">
        <f t="shared" si="2320"/>
        <v>0</v>
      </c>
      <c r="AB232" s="204">
        <f t="shared" si="2320"/>
        <v>0</v>
      </c>
      <c r="AC232" s="204">
        <f t="shared" si="2320"/>
        <v>0</v>
      </c>
      <c r="AD232" s="204">
        <f t="shared" si="2320"/>
        <v>0</v>
      </c>
      <c r="AE232" s="204">
        <f t="shared" si="2320"/>
        <v>0</v>
      </c>
      <c r="AF232" s="204">
        <f t="shared" si="2320"/>
        <v>0</v>
      </c>
      <c r="AG232" s="204">
        <f t="shared" si="2320"/>
        <v>0</v>
      </c>
      <c r="AH232" s="204">
        <f t="shared" si="2320"/>
        <v>0</v>
      </c>
      <c r="AI232" s="204">
        <f t="shared" si="2320"/>
        <v>0</v>
      </c>
      <c r="AJ232" s="204">
        <f t="shared" si="2320"/>
        <v>0</v>
      </c>
      <c r="AK232" s="204">
        <f t="shared" si="2320"/>
        <v>0</v>
      </c>
      <c r="AL232" s="204">
        <f t="shared" si="2320"/>
        <v>0</v>
      </c>
      <c r="AM232" s="204">
        <f t="shared" si="2320"/>
        <v>0</v>
      </c>
      <c r="AN232" s="204">
        <f t="shared" si="2320"/>
        <v>0</v>
      </c>
      <c r="AO232" s="204">
        <f t="shared" si="2320"/>
        <v>0</v>
      </c>
      <c r="AP232" s="204">
        <f t="shared" si="2320"/>
        <v>0</v>
      </c>
      <c r="AQ232" s="204">
        <f t="shared" si="2320"/>
        <v>0</v>
      </c>
      <c r="AR232" s="204">
        <f t="shared" si="2320"/>
        <v>0</v>
      </c>
      <c r="AS232" s="204">
        <f t="shared" si="2320"/>
        <v>0</v>
      </c>
      <c r="AT232" s="204">
        <f t="shared" si="2320"/>
        <v>0</v>
      </c>
      <c r="AU232" s="204">
        <f t="shared" si="2320"/>
        <v>0</v>
      </c>
      <c r="AV232" s="204">
        <f t="shared" si="2320"/>
        <v>0</v>
      </c>
      <c r="AW232" s="204">
        <f t="shared" si="2320"/>
        <v>0</v>
      </c>
      <c r="AX232" s="204">
        <f t="shared" si="2320"/>
        <v>0</v>
      </c>
      <c r="AY232" s="204">
        <f t="shared" si="2320"/>
        <v>0</v>
      </c>
      <c r="AZ232" s="204">
        <f t="shared" si="2320"/>
        <v>0</v>
      </c>
      <c r="BA232" s="204">
        <f t="shared" si="2320"/>
        <v>195972697.55504143</v>
      </c>
      <c r="BB232" s="204">
        <f t="shared" si="2320"/>
        <v>0</v>
      </c>
      <c r="BC232" s="204">
        <f t="shared" si="2320"/>
        <v>0</v>
      </c>
      <c r="BD232" s="204">
        <f t="shared" si="2320"/>
        <v>0</v>
      </c>
      <c r="BE232" s="204">
        <f t="shared" si="2320"/>
        <v>0</v>
      </c>
      <c r="BF232" s="204">
        <f t="shared" si="2320"/>
        <v>0</v>
      </c>
      <c r="BG232" s="204">
        <f t="shared" si="2320"/>
        <v>0</v>
      </c>
      <c r="BH232" s="204">
        <f t="shared" si="2320"/>
        <v>0</v>
      </c>
      <c r="BI232" s="204">
        <f t="shared" si="2320"/>
        <v>0</v>
      </c>
      <c r="BJ232" s="204">
        <f t="shared" si="2320"/>
        <v>0</v>
      </c>
      <c r="BK232" s="204">
        <f t="shared" si="2320"/>
        <v>260510.52409639768</v>
      </c>
      <c r="BL232" s="204">
        <f t="shared" si="2320"/>
        <v>0</v>
      </c>
      <c r="BM232" s="204">
        <f t="shared" si="2320"/>
        <v>254425.52557937941</v>
      </c>
      <c r="BN232" s="204">
        <f t="shared" si="2320"/>
        <v>357115.8026597132</v>
      </c>
      <c r="BO232" s="204">
        <f t="shared" si="2320"/>
        <v>353860.19695820985</v>
      </c>
      <c r="BP232" s="204">
        <f t="shared" si="2320"/>
        <v>350596.31281394279</v>
      </c>
      <c r="BQ232" s="204">
        <f t="shared" si="2320"/>
        <v>347324.12802694738</v>
      </c>
      <c r="BR232" s="204">
        <f t="shared" si="2320"/>
        <v>344043.6203346923</v>
      </c>
      <c r="BS232" s="204">
        <f t="shared" ref="BS232:CW232" si="2321">MAX(BS204,0)</f>
        <v>340754.76741187461</v>
      </c>
      <c r="BT232" s="204">
        <f t="shared" si="2321"/>
        <v>337457.54687023768</v>
      </c>
      <c r="BU232" s="204">
        <f t="shared" si="2321"/>
        <v>334151.93625840172</v>
      </c>
      <c r="BV232" s="204">
        <f t="shared" si="2321"/>
        <v>330837.91306165652</v>
      </c>
      <c r="BW232" s="204">
        <f t="shared" si="2321"/>
        <v>327515.45470179198</v>
      </c>
      <c r="BX232" s="204">
        <f t="shared" si="2321"/>
        <v>324184.53853690112</v>
      </c>
      <c r="BY232" s="204">
        <f t="shared" si="2321"/>
        <v>320845.14186119335</v>
      </c>
      <c r="BZ232" s="204">
        <f t="shared" si="2321"/>
        <v>797718886.42465794</v>
      </c>
      <c r="CA232" s="204">
        <f t="shared" si="2321"/>
        <v>0</v>
      </c>
      <c r="CB232" s="204">
        <f t="shared" si="2321"/>
        <v>0</v>
      </c>
      <c r="CC232" s="204">
        <f t="shared" si="2321"/>
        <v>0</v>
      </c>
      <c r="CD232" s="204">
        <f t="shared" si="2321"/>
        <v>0</v>
      </c>
      <c r="CE232" s="204">
        <f t="shared" si="2321"/>
        <v>0</v>
      </c>
      <c r="CF232" s="204">
        <f t="shared" si="2321"/>
        <v>0</v>
      </c>
      <c r="CG232" s="204">
        <f t="shared" si="2321"/>
        <v>0</v>
      </c>
      <c r="CH232" s="204">
        <f t="shared" si="2321"/>
        <v>0</v>
      </c>
      <c r="CI232" s="204">
        <f t="shared" si="2321"/>
        <v>0</v>
      </c>
      <c r="CJ232" s="204">
        <f t="shared" si="2321"/>
        <v>0</v>
      </c>
      <c r="CK232" s="204">
        <f t="shared" si="2321"/>
        <v>0</v>
      </c>
      <c r="CL232" s="204">
        <f t="shared" si="2321"/>
        <v>0</v>
      </c>
      <c r="CM232" s="204">
        <f t="shared" si="2321"/>
        <v>0</v>
      </c>
      <c r="CN232" s="204">
        <f t="shared" si="2321"/>
        <v>0</v>
      </c>
      <c r="CO232" s="204">
        <f t="shared" si="2321"/>
        <v>0</v>
      </c>
      <c r="CP232" s="204">
        <f t="shared" si="2321"/>
        <v>0</v>
      </c>
      <c r="CQ232" s="204">
        <f t="shared" si="2321"/>
        <v>0</v>
      </c>
      <c r="CR232" s="204">
        <f t="shared" si="2321"/>
        <v>0</v>
      </c>
      <c r="CS232" s="204">
        <f t="shared" si="2321"/>
        <v>0</v>
      </c>
      <c r="CT232" s="204">
        <f t="shared" si="2321"/>
        <v>0</v>
      </c>
      <c r="CU232" s="204">
        <f t="shared" si="2321"/>
        <v>0</v>
      </c>
      <c r="CV232" s="204">
        <f t="shared" si="2321"/>
        <v>0</v>
      </c>
      <c r="CW232" s="204">
        <f t="shared" si="2321"/>
        <v>0</v>
      </c>
    </row>
    <row r="233" spans="2:101" outlineLevel="1" x14ac:dyDescent="0.25">
      <c r="C233" s="196" t="s">
        <v>220</v>
      </c>
      <c r="D233" s="47" t="s">
        <v>107</v>
      </c>
      <c r="E233" s="197"/>
      <c r="F233" s="82">
        <f>SUM(F231:F232)</f>
        <v>-77970000</v>
      </c>
      <c r="G233" s="82">
        <f t="shared" ref="G233:BR233" si="2322">SUM(G231:G232)</f>
        <v>-2520000</v>
      </c>
      <c r="H233" s="82">
        <f t="shared" si="2322"/>
        <v>-4320000</v>
      </c>
      <c r="I233" s="82">
        <f t="shared" si="2322"/>
        <v>-4770000</v>
      </c>
      <c r="J233" s="82">
        <f t="shared" si="2322"/>
        <v>-2970000</v>
      </c>
      <c r="K233" s="82">
        <f t="shared" si="2322"/>
        <v>-77790000</v>
      </c>
      <c r="L233" s="82">
        <f t="shared" si="2322"/>
        <v>-7560000</v>
      </c>
      <c r="M233" s="82">
        <f t="shared" si="2322"/>
        <v>-5580000</v>
      </c>
      <c r="N233" s="82">
        <f t="shared" si="2322"/>
        <v>-6570000</v>
      </c>
      <c r="O233" s="82">
        <f t="shared" si="2322"/>
        <v>-9270000</v>
      </c>
      <c r="P233" s="82">
        <f t="shared" si="2322"/>
        <v>-13320000</v>
      </c>
      <c r="Q233" s="82">
        <f t="shared" si="2322"/>
        <v>-15750000</v>
      </c>
      <c r="R233" s="82">
        <f t="shared" si="2322"/>
        <v>-24750000</v>
      </c>
      <c r="S233" s="82">
        <f t="shared" si="2322"/>
        <v>-27900000.000000004</v>
      </c>
      <c r="T233" s="82">
        <f t="shared" si="2322"/>
        <v>-28440000</v>
      </c>
      <c r="U233" s="82">
        <f t="shared" si="2322"/>
        <v>-41940000</v>
      </c>
      <c r="V233" s="82">
        <f t="shared" si="2322"/>
        <v>-41940000</v>
      </c>
      <c r="W233" s="82">
        <f t="shared" si="2322"/>
        <v>-21877056</v>
      </c>
      <c r="X233" s="82">
        <f t="shared" si="2322"/>
        <v>0</v>
      </c>
      <c r="Y233" s="82">
        <f t="shared" si="2322"/>
        <v>0</v>
      </c>
      <c r="Z233" s="82">
        <f t="shared" si="2322"/>
        <v>0</v>
      </c>
      <c r="AA233" s="82">
        <f t="shared" si="2322"/>
        <v>0</v>
      </c>
      <c r="AB233" s="82">
        <f t="shared" si="2322"/>
        <v>0</v>
      </c>
      <c r="AC233" s="82">
        <f t="shared" si="2322"/>
        <v>0</v>
      </c>
      <c r="AD233" s="82">
        <f t="shared" si="2322"/>
        <v>0</v>
      </c>
      <c r="AE233" s="82">
        <f t="shared" si="2322"/>
        <v>0</v>
      </c>
      <c r="AF233" s="82">
        <f t="shared" si="2322"/>
        <v>0</v>
      </c>
      <c r="AG233" s="82">
        <f t="shared" si="2322"/>
        <v>0</v>
      </c>
      <c r="AH233" s="82">
        <f t="shared" si="2322"/>
        <v>0</v>
      </c>
      <c r="AI233" s="82">
        <f t="shared" si="2322"/>
        <v>0</v>
      </c>
      <c r="AJ233" s="82">
        <f t="shared" si="2322"/>
        <v>0</v>
      </c>
      <c r="AK233" s="82">
        <f t="shared" si="2322"/>
        <v>0</v>
      </c>
      <c r="AL233" s="82">
        <f t="shared" si="2322"/>
        <v>0</v>
      </c>
      <c r="AM233" s="82">
        <f t="shared" si="2322"/>
        <v>0</v>
      </c>
      <c r="AN233" s="82">
        <f t="shared" si="2322"/>
        <v>0</v>
      </c>
      <c r="AO233" s="82">
        <f t="shared" si="2322"/>
        <v>0</v>
      </c>
      <c r="AP233" s="82">
        <f t="shared" si="2322"/>
        <v>0</v>
      </c>
      <c r="AQ233" s="82">
        <f t="shared" si="2322"/>
        <v>0</v>
      </c>
      <c r="AR233" s="82">
        <f t="shared" si="2322"/>
        <v>0</v>
      </c>
      <c r="AS233" s="82">
        <f t="shared" si="2322"/>
        <v>0</v>
      </c>
      <c r="AT233" s="82">
        <f t="shared" si="2322"/>
        <v>0</v>
      </c>
      <c r="AU233" s="82">
        <f t="shared" si="2322"/>
        <v>0</v>
      </c>
      <c r="AV233" s="82">
        <f t="shared" si="2322"/>
        <v>0</v>
      </c>
      <c r="AW233" s="82">
        <f t="shared" si="2322"/>
        <v>0</v>
      </c>
      <c r="AX233" s="82">
        <f t="shared" si="2322"/>
        <v>0</v>
      </c>
      <c r="AY233" s="82">
        <f t="shared" si="2322"/>
        <v>0</v>
      </c>
      <c r="AZ233" s="82">
        <f t="shared" si="2322"/>
        <v>0</v>
      </c>
      <c r="BA233" s="82">
        <f t="shared" si="2322"/>
        <v>195972697.55504143</v>
      </c>
      <c r="BB233" s="82">
        <f t="shared" si="2322"/>
        <v>-4420811.8889556434</v>
      </c>
      <c r="BC233" s="82">
        <f t="shared" si="2322"/>
        <v>-4423784.4150807997</v>
      </c>
      <c r="BD233" s="82">
        <f t="shared" si="2322"/>
        <v>-4426764.2239402821</v>
      </c>
      <c r="BE233" s="82">
        <f t="shared" si="2322"/>
        <v>-4429751.3348315293</v>
      </c>
      <c r="BF233" s="82">
        <f t="shared" si="2322"/>
        <v>-4432745.7671067128</v>
      </c>
      <c r="BG233" s="82">
        <f t="shared" si="2322"/>
        <v>-4435747.540172915</v>
      </c>
      <c r="BH233" s="82">
        <f t="shared" si="2322"/>
        <v>-1746621.930835864</v>
      </c>
      <c r="BI233" s="82">
        <f t="shared" si="2322"/>
        <v>-1749638.4439257793</v>
      </c>
      <c r="BJ233" s="82">
        <f t="shared" si="2322"/>
        <v>-1752662.3563590213</v>
      </c>
      <c r="BK233" s="82">
        <f t="shared" si="2322"/>
        <v>260510.52409639768</v>
      </c>
      <c r="BL233" s="82">
        <f t="shared" si="2322"/>
        <v>-1588427.3695743023</v>
      </c>
      <c r="BM233" s="82">
        <f t="shared" si="2322"/>
        <v>254425.52557937941</v>
      </c>
      <c r="BN233" s="82">
        <f t="shared" si="2322"/>
        <v>357115.8026597132</v>
      </c>
      <c r="BO233" s="82">
        <f t="shared" si="2322"/>
        <v>353860.19695820985</v>
      </c>
      <c r="BP233" s="82">
        <f t="shared" si="2322"/>
        <v>350596.31281394279</v>
      </c>
      <c r="BQ233" s="82">
        <f t="shared" si="2322"/>
        <v>347324.12802694738</v>
      </c>
      <c r="BR233" s="82">
        <f t="shared" si="2322"/>
        <v>344043.6203346923</v>
      </c>
      <c r="BS233" s="82">
        <f t="shared" ref="BS233:CW233" si="2323">SUM(BS231:BS232)</f>
        <v>340754.76741187461</v>
      </c>
      <c r="BT233" s="82">
        <f t="shared" si="2323"/>
        <v>337457.54687023768</v>
      </c>
      <c r="BU233" s="82">
        <f t="shared" si="2323"/>
        <v>334151.93625840172</v>
      </c>
      <c r="BV233" s="82">
        <f t="shared" si="2323"/>
        <v>330837.91306165652</v>
      </c>
      <c r="BW233" s="82">
        <f t="shared" si="2323"/>
        <v>327515.45470179198</v>
      </c>
      <c r="BX233" s="82">
        <f t="shared" si="2323"/>
        <v>324184.53853690112</v>
      </c>
      <c r="BY233" s="82">
        <f t="shared" si="2323"/>
        <v>320845.14186119335</v>
      </c>
      <c r="BZ233" s="82">
        <f t="shared" si="2323"/>
        <v>797718886.42465794</v>
      </c>
      <c r="CA233" s="82">
        <f t="shared" si="2323"/>
        <v>0</v>
      </c>
      <c r="CB233" s="82">
        <f t="shared" si="2323"/>
        <v>0</v>
      </c>
      <c r="CC233" s="82">
        <f t="shared" si="2323"/>
        <v>0</v>
      </c>
      <c r="CD233" s="82">
        <f t="shared" si="2323"/>
        <v>0</v>
      </c>
      <c r="CE233" s="82">
        <f t="shared" si="2323"/>
        <v>0</v>
      </c>
      <c r="CF233" s="82">
        <f t="shared" si="2323"/>
        <v>0</v>
      </c>
      <c r="CG233" s="82">
        <f t="shared" si="2323"/>
        <v>0</v>
      </c>
      <c r="CH233" s="82">
        <f t="shared" si="2323"/>
        <v>0</v>
      </c>
      <c r="CI233" s="82">
        <f t="shared" si="2323"/>
        <v>0</v>
      </c>
      <c r="CJ233" s="82">
        <f t="shared" si="2323"/>
        <v>0</v>
      </c>
      <c r="CK233" s="82">
        <f t="shared" si="2323"/>
        <v>0</v>
      </c>
      <c r="CL233" s="82">
        <f t="shared" si="2323"/>
        <v>0</v>
      </c>
      <c r="CM233" s="82">
        <f t="shared" si="2323"/>
        <v>0</v>
      </c>
      <c r="CN233" s="82">
        <f t="shared" si="2323"/>
        <v>0</v>
      </c>
      <c r="CO233" s="82">
        <f t="shared" si="2323"/>
        <v>0</v>
      </c>
      <c r="CP233" s="82">
        <f t="shared" si="2323"/>
        <v>0</v>
      </c>
      <c r="CQ233" s="82">
        <f t="shared" si="2323"/>
        <v>0</v>
      </c>
      <c r="CR233" s="82">
        <f t="shared" si="2323"/>
        <v>0</v>
      </c>
      <c r="CS233" s="82">
        <f t="shared" si="2323"/>
        <v>0</v>
      </c>
      <c r="CT233" s="82">
        <f t="shared" si="2323"/>
        <v>0</v>
      </c>
      <c r="CU233" s="82">
        <f t="shared" si="2323"/>
        <v>0</v>
      </c>
      <c r="CV233" s="82">
        <f t="shared" si="2323"/>
        <v>0</v>
      </c>
      <c r="CW233" s="82">
        <f t="shared" si="2323"/>
        <v>0</v>
      </c>
    </row>
    <row r="234" spans="2:101" outlineLevel="1" x14ac:dyDescent="0.25">
      <c r="C234" s="197"/>
      <c r="D234" s="80"/>
      <c r="E234" s="80"/>
      <c r="F234" s="197"/>
      <c r="G234" s="80"/>
      <c r="H234" s="80"/>
      <c r="I234" s="80"/>
      <c r="J234" s="80"/>
      <c r="K234" s="80"/>
      <c r="L234" s="80"/>
      <c r="M234" s="80"/>
      <c r="N234" s="80"/>
      <c r="O234" s="80"/>
      <c r="P234" s="80"/>
      <c r="Q234" s="80"/>
      <c r="R234" s="80"/>
      <c r="S234" s="80"/>
      <c r="T234" s="80"/>
      <c r="U234" s="80"/>
      <c r="V234" s="80"/>
      <c r="W234" s="80"/>
      <c r="X234" s="80"/>
      <c r="Y234" s="80"/>
      <c r="Z234" s="80"/>
      <c r="AA234" s="80"/>
      <c r="AB234" s="80"/>
      <c r="AC234" s="80"/>
      <c r="AD234" s="80"/>
      <c r="AE234" s="80"/>
      <c r="AF234" s="80"/>
      <c r="AG234" s="80"/>
      <c r="AH234" s="80"/>
      <c r="AI234" s="80"/>
      <c r="AJ234" s="80"/>
      <c r="AK234" s="80"/>
      <c r="AL234" s="80"/>
      <c r="AM234" s="80"/>
      <c r="AN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  <c r="AY234" s="80"/>
      <c r="AZ234" s="80"/>
      <c r="BA234" s="80"/>
      <c r="BB234" s="80"/>
      <c r="BC234" s="80"/>
      <c r="BD234" s="80"/>
      <c r="BE234" s="80"/>
      <c r="BF234" s="80"/>
      <c r="BG234" s="80"/>
      <c r="BH234" s="80"/>
      <c r="BI234" s="80"/>
      <c r="BJ234" s="80"/>
      <c r="BK234" s="80"/>
      <c r="BL234" s="80"/>
      <c r="BM234" s="80"/>
      <c r="BN234" s="80"/>
      <c r="BO234" s="80"/>
      <c r="BP234" s="80"/>
      <c r="BQ234" s="80"/>
      <c r="BR234" s="80"/>
      <c r="BS234" s="80"/>
      <c r="BT234" s="80"/>
      <c r="BU234" s="80"/>
      <c r="BV234" s="80"/>
      <c r="BW234" s="80"/>
      <c r="BX234" s="80"/>
      <c r="BY234" s="80"/>
      <c r="BZ234" s="80"/>
      <c r="CA234" s="80"/>
      <c r="CB234" s="80"/>
      <c r="CC234" s="80"/>
      <c r="CD234" s="80"/>
      <c r="CE234" s="80"/>
      <c r="CF234" s="80"/>
      <c r="CG234" s="80"/>
      <c r="CH234" s="80"/>
      <c r="CI234" s="80"/>
      <c r="CJ234" s="80"/>
      <c r="CK234" s="80"/>
      <c r="CL234" s="80"/>
      <c r="CM234" s="80"/>
      <c r="CN234" s="80"/>
      <c r="CO234" s="80"/>
      <c r="CP234" s="80"/>
      <c r="CQ234" s="80"/>
      <c r="CR234" s="80"/>
      <c r="CS234" s="80"/>
      <c r="CT234" s="80"/>
      <c r="CU234" s="80"/>
      <c r="CV234" s="80"/>
      <c r="CW234" s="80"/>
    </row>
    <row r="235" spans="2:101" outlineLevel="1" x14ac:dyDescent="0.25">
      <c r="C235" s="198" t="str">
        <f>"Tier 1 - Up to "&amp;TEXT(Tier_1_IRR_Max,"0.0%")&amp;" IRR:"</f>
        <v>Tier 1 - Up to 15.0% IRR:</v>
      </c>
      <c r="D235" s="198"/>
      <c r="E235" s="198"/>
      <c r="F235" s="198"/>
      <c r="G235" s="198"/>
      <c r="H235" s="198"/>
      <c r="I235" s="198"/>
      <c r="J235" s="198"/>
      <c r="K235" s="198"/>
      <c r="L235" s="198"/>
      <c r="M235" s="198"/>
      <c r="N235" s="198"/>
      <c r="O235" s="198"/>
      <c r="P235" s="198"/>
      <c r="Q235" s="198"/>
      <c r="R235" s="198"/>
      <c r="S235" s="198"/>
      <c r="T235" s="198"/>
      <c r="U235" s="198"/>
      <c r="V235" s="198"/>
      <c r="W235" s="198"/>
      <c r="X235" s="198"/>
      <c r="Y235" s="198"/>
      <c r="Z235" s="198"/>
      <c r="AA235" s="198"/>
      <c r="AB235" s="198"/>
      <c r="AC235" s="198"/>
      <c r="AD235" s="198"/>
      <c r="AE235" s="198"/>
      <c r="AF235" s="198"/>
      <c r="AG235" s="198"/>
      <c r="AH235" s="198"/>
      <c r="AI235" s="198"/>
      <c r="AJ235" s="198"/>
      <c r="AK235" s="198"/>
      <c r="AL235" s="198"/>
      <c r="AM235" s="198"/>
      <c r="AN235" s="198"/>
      <c r="AO235" s="198"/>
      <c r="AP235" s="198"/>
      <c r="AQ235" s="198"/>
      <c r="AR235" s="198"/>
      <c r="AS235" s="198"/>
      <c r="AT235" s="198"/>
      <c r="AU235" s="198"/>
      <c r="AV235" s="198"/>
      <c r="AW235" s="198"/>
      <c r="AX235" s="198"/>
      <c r="AY235" s="198"/>
      <c r="AZ235" s="198"/>
      <c r="BA235" s="198"/>
      <c r="BB235" s="198"/>
      <c r="BC235" s="198"/>
      <c r="BD235" s="198"/>
      <c r="BE235" s="198"/>
      <c r="BF235" s="198"/>
      <c r="BG235" s="198"/>
      <c r="BH235" s="198"/>
      <c r="BI235" s="198"/>
      <c r="BJ235" s="198"/>
      <c r="BK235" s="198"/>
      <c r="BL235" s="198"/>
      <c r="BM235" s="198"/>
      <c r="BN235" s="198"/>
      <c r="BO235" s="198"/>
      <c r="BP235" s="198"/>
      <c r="BQ235" s="198"/>
      <c r="BR235" s="198"/>
      <c r="BS235" s="198"/>
      <c r="BT235" s="198"/>
      <c r="BU235" s="198"/>
      <c r="BV235" s="198"/>
      <c r="BW235" s="198"/>
      <c r="BX235" s="198"/>
      <c r="BY235" s="198"/>
      <c r="BZ235" s="198"/>
      <c r="CA235" s="198"/>
      <c r="CB235" s="198"/>
      <c r="CC235" s="198"/>
      <c r="CD235" s="198"/>
      <c r="CE235" s="198"/>
      <c r="CF235" s="198"/>
      <c r="CG235" s="198"/>
      <c r="CH235" s="198"/>
      <c r="CI235" s="198"/>
      <c r="CJ235" s="198"/>
      <c r="CK235" s="198"/>
      <c r="CL235" s="198"/>
      <c r="CM235" s="198"/>
      <c r="CN235" s="198"/>
      <c r="CO235" s="198"/>
      <c r="CP235" s="198"/>
      <c r="CQ235" s="198"/>
      <c r="CR235" s="198"/>
      <c r="CS235" s="198"/>
      <c r="CT235" s="198"/>
      <c r="CU235" s="198"/>
      <c r="CV235" s="198"/>
      <c r="CW235" s="198"/>
    </row>
    <row r="236" spans="2:101" outlineLevel="1" x14ac:dyDescent="0.25">
      <c r="C236" s="81" t="s">
        <v>221</v>
      </c>
      <c r="D236" s="152" t="s">
        <v>107</v>
      </c>
      <c r="E236" s="80"/>
      <c r="F236" s="28">
        <v>0</v>
      </c>
      <c r="G236" s="197">
        <f>+F240</f>
        <v>77970000</v>
      </c>
      <c r="H236" s="197">
        <f t="shared" ref="H236:BS236" si="2324">+G240</f>
        <v>81403412.072240964</v>
      </c>
      <c r="I236" s="197">
        <f t="shared" si="2324"/>
        <v>86677046.281659856</v>
      </c>
      <c r="J236" s="197">
        <f t="shared" si="2324"/>
        <v>92462460.677707791</v>
      </c>
      <c r="K236" s="197">
        <f t="shared" si="2324"/>
        <v>96515650.722752348</v>
      </c>
      <c r="L236" s="197">
        <f t="shared" si="2324"/>
        <v>175436323.55243495</v>
      </c>
      <c r="M236" s="197">
        <f t="shared" si="2324"/>
        <v>185051545.50757626</v>
      </c>
      <c r="N236" s="197">
        <f t="shared" si="2324"/>
        <v>192799408.98908797</v>
      </c>
      <c r="O236" s="197">
        <f t="shared" si="2324"/>
        <v>201628038.04759195</v>
      </c>
      <c r="P236" s="197">
        <f t="shared" si="2324"/>
        <v>213260093.76203254</v>
      </c>
      <c r="Q236" s="197">
        <f t="shared" si="2324"/>
        <v>229078418.04277489</v>
      </c>
      <c r="R236" s="197">
        <f t="shared" si="2324"/>
        <v>247512052.67827743</v>
      </c>
      <c r="S236" s="197">
        <f t="shared" si="2324"/>
        <v>275161635.81206584</v>
      </c>
      <c r="T236" s="197">
        <f t="shared" si="2324"/>
        <v>306285131.51513517</v>
      </c>
      <c r="U236" s="197">
        <f t="shared" si="2324"/>
        <v>338313236.38462132</v>
      </c>
      <c r="V236" s="197">
        <f t="shared" si="2324"/>
        <v>384216547.8417539</v>
      </c>
      <c r="W236" s="197">
        <f t="shared" si="2324"/>
        <v>430657612.7789529</v>
      </c>
      <c r="X236" s="197">
        <f t="shared" si="2324"/>
        <v>457579786.93356073</v>
      </c>
      <c r="Y236" s="197">
        <f t="shared" si="2324"/>
        <v>462940296.12169158</v>
      </c>
      <c r="Z236" s="197">
        <f t="shared" si="2324"/>
        <v>468363603.22960955</v>
      </c>
      <c r="AA236" s="197">
        <f t="shared" si="2324"/>
        <v>473850443.92972761</v>
      </c>
      <c r="AB236" s="197">
        <f t="shared" si="2324"/>
        <v>479401562.51280004</v>
      </c>
      <c r="AC236" s="197">
        <f t="shared" si="2324"/>
        <v>485017711.9888854</v>
      </c>
      <c r="AD236" s="197">
        <f t="shared" si="2324"/>
        <v>490699654.18949258</v>
      </c>
      <c r="AE236" s="197">
        <f t="shared" si="2324"/>
        <v>496448159.87092328</v>
      </c>
      <c r="AF236" s="197">
        <f t="shared" si="2324"/>
        <v>502264008.81882524</v>
      </c>
      <c r="AG236" s="197">
        <f t="shared" si="2324"/>
        <v>508147989.95397031</v>
      </c>
      <c r="AH236" s="197">
        <f t="shared" si="2324"/>
        <v>514100901.43927157</v>
      </c>
      <c r="AI236" s="197">
        <f t="shared" si="2324"/>
        <v>520123550.78805435</v>
      </c>
      <c r="AJ236" s="197">
        <f t="shared" si="2324"/>
        <v>526216754.97359556</v>
      </c>
      <c r="AK236" s="197">
        <f t="shared" si="2324"/>
        <v>532381340.53994608</v>
      </c>
      <c r="AL236" s="197">
        <f t="shared" si="2324"/>
        <v>538618143.71405172</v>
      </c>
      <c r="AM236" s="197">
        <f t="shared" si="2324"/>
        <v>544928010.51918745</v>
      </c>
      <c r="AN236" s="197">
        <f t="shared" si="2324"/>
        <v>551311796.88972068</v>
      </c>
      <c r="AO236" s="197">
        <f t="shared" si="2324"/>
        <v>557770368.78721881</v>
      </c>
      <c r="AP236" s="197">
        <f t="shared" si="2324"/>
        <v>564304602.31791711</v>
      </c>
      <c r="AQ236" s="197">
        <f t="shared" si="2324"/>
        <v>570915383.85156238</v>
      </c>
      <c r="AR236" s="197">
        <f t="shared" si="2324"/>
        <v>577603610.1416496</v>
      </c>
      <c r="AS236" s="197">
        <f t="shared" si="2324"/>
        <v>584370188.44706643</v>
      </c>
      <c r="AT236" s="197">
        <f t="shared" si="2324"/>
        <v>591216036.65516293</v>
      </c>
      <c r="AU236" s="197">
        <f t="shared" si="2324"/>
        <v>598142083.40626311</v>
      </c>
      <c r="AV236" s="197">
        <f t="shared" si="2324"/>
        <v>605149268.21963549</v>
      </c>
      <c r="AW236" s="197">
        <f t="shared" si="2324"/>
        <v>612238541.62093854</v>
      </c>
      <c r="AX236" s="197">
        <f t="shared" si="2324"/>
        <v>619410865.27116001</v>
      </c>
      <c r="AY236" s="197">
        <f t="shared" si="2324"/>
        <v>626667212.09706616</v>
      </c>
      <c r="AZ236" s="197">
        <f t="shared" si="2324"/>
        <v>634008566.42317939</v>
      </c>
      <c r="BA236" s="197">
        <f t="shared" si="2324"/>
        <v>641435924.10530233</v>
      </c>
      <c r="BB236" s="197">
        <f t="shared" si="2324"/>
        <v>452977595.11056387</v>
      </c>
      <c r="BC236" s="197">
        <f t="shared" si="2324"/>
        <v>462705001.89279479</v>
      </c>
      <c r="BD236" s="197">
        <f t="shared" si="2324"/>
        <v>472549336.96345025</v>
      </c>
      <c r="BE236" s="197">
        <f t="shared" si="2324"/>
        <v>482511977.41044915</v>
      </c>
      <c r="BF236" s="197">
        <f t="shared" si="2324"/>
        <v>492594316.47347826</v>
      </c>
      <c r="BG236" s="197">
        <f t="shared" si="2324"/>
        <v>502797763.73326373</v>
      </c>
      <c r="BH236" s="197">
        <f t="shared" si="2324"/>
        <v>513123745.30305994</v>
      </c>
      <c r="BI236" s="197">
        <f t="shared" si="2324"/>
        <v>520881569.27972513</v>
      </c>
      <c r="BJ236" s="197">
        <f t="shared" si="2324"/>
        <v>528733292.03284574</v>
      </c>
      <c r="BK236" s="197">
        <f t="shared" si="2324"/>
        <v>536680020.9781301</v>
      </c>
      <c r="BL236" s="197">
        <f t="shared" si="2324"/>
        <v>542706672.31233764</v>
      </c>
      <c r="BM236" s="197">
        <f t="shared" si="2324"/>
        <v>550652863.25990105</v>
      </c>
      <c r="BN236" s="197">
        <f t="shared" si="2324"/>
        <v>556849290.27909088</v>
      </c>
      <c r="BO236" s="197">
        <f t="shared" si="2324"/>
        <v>563015617.64892995</v>
      </c>
      <c r="BP236" s="197">
        <f t="shared" si="2324"/>
        <v>569257438.63730896</v>
      </c>
      <c r="BQ236" s="197">
        <f t="shared" si="2324"/>
        <v>575575645.92413962</v>
      </c>
      <c r="BR236" s="197">
        <f t="shared" si="2324"/>
        <v>581971142.66920495</v>
      </c>
      <c r="BS236" s="197">
        <f t="shared" si="2324"/>
        <v>588444842.63499212</v>
      </c>
      <c r="BT236" s="197">
        <f t="shared" ref="BT236:CW236" si="2325">+BS240</f>
        <v>594997670.31096542</v>
      </c>
      <c r="BU236" s="197">
        <f t="shared" si="2325"/>
        <v>601630561.03929448</v>
      </c>
      <c r="BV236" s="197">
        <f t="shared" si="2325"/>
        <v>608344461.14205611</v>
      </c>
      <c r="BW236" s="197">
        <f t="shared" si="2325"/>
        <v>615140328.04992664</v>
      </c>
      <c r="BX236" s="197">
        <f t="shared" si="2325"/>
        <v>622019130.43238115</v>
      </c>
      <c r="BY236" s="197">
        <f t="shared" si="2325"/>
        <v>628981848.32941902</v>
      </c>
      <c r="BZ236" s="197">
        <f t="shared" si="2325"/>
        <v>636029473.28483284</v>
      </c>
      <c r="CA236" s="197">
        <f t="shared" si="2325"/>
        <v>0</v>
      </c>
      <c r="CB236" s="197">
        <f t="shared" si="2325"/>
        <v>0</v>
      </c>
      <c r="CC236" s="197">
        <f t="shared" si="2325"/>
        <v>0</v>
      </c>
      <c r="CD236" s="197">
        <f t="shared" si="2325"/>
        <v>0</v>
      </c>
      <c r="CE236" s="197">
        <f t="shared" si="2325"/>
        <v>0</v>
      </c>
      <c r="CF236" s="197">
        <f t="shared" si="2325"/>
        <v>0</v>
      </c>
      <c r="CG236" s="197">
        <f t="shared" si="2325"/>
        <v>0</v>
      </c>
      <c r="CH236" s="197">
        <f t="shared" si="2325"/>
        <v>0</v>
      </c>
      <c r="CI236" s="197">
        <f t="shared" si="2325"/>
        <v>0</v>
      </c>
      <c r="CJ236" s="197">
        <f t="shared" si="2325"/>
        <v>0</v>
      </c>
      <c r="CK236" s="197">
        <f t="shared" si="2325"/>
        <v>0</v>
      </c>
      <c r="CL236" s="197">
        <f t="shared" si="2325"/>
        <v>0</v>
      </c>
      <c r="CM236" s="197">
        <f t="shared" si="2325"/>
        <v>0</v>
      </c>
      <c r="CN236" s="197">
        <f t="shared" si="2325"/>
        <v>0</v>
      </c>
      <c r="CO236" s="197">
        <f t="shared" si="2325"/>
        <v>0</v>
      </c>
      <c r="CP236" s="197">
        <f t="shared" si="2325"/>
        <v>0</v>
      </c>
      <c r="CQ236" s="197">
        <f t="shared" si="2325"/>
        <v>0</v>
      </c>
      <c r="CR236" s="197">
        <f t="shared" si="2325"/>
        <v>0</v>
      </c>
      <c r="CS236" s="197">
        <f t="shared" si="2325"/>
        <v>0</v>
      </c>
      <c r="CT236" s="197">
        <f t="shared" si="2325"/>
        <v>0</v>
      </c>
      <c r="CU236" s="197">
        <f t="shared" si="2325"/>
        <v>0</v>
      </c>
      <c r="CV236" s="197">
        <f t="shared" si="2325"/>
        <v>0</v>
      </c>
      <c r="CW236" s="197">
        <f t="shared" si="2325"/>
        <v>0</v>
      </c>
    </row>
    <row r="237" spans="2:101" outlineLevel="1" x14ac:dyDescent="0.25">
      <c r="C237" s="81" t="s">
        <v>222</v>
      </c>
      <c r="D237" s="152" t="s">
        <v>107</v>
      </c>
      <c r="E237" s="80"/>
      <c r="F237" s="197">
        <f>-F231</f>
        <v>77970000</v>
      </c>
      <c r="G237" s="197">
        <f t="shared" ref="G237:BR237" si="2326">-G231</f>
        <v>2520000</v>
      </c>
      <c r="H237" s="197">
        <f t="shared" si="2326"/>
        <v>4320000</v>
      </c>
      <c r="I237" s="197">
        <f t="shared" si="2326"/>
        <v>4770000</v>
      </c>
      <c r="J237" s="197">
        <f t="shared" si="2326"/>
        <v>2970000</v>
      </c>
      <c r="K237" s="197">
        <f t="shared" si="2326"/>
        <v>77790000</v>
      </c>
      <c r="L237" s="197">
        <f t="shared" si="2326"/>
        <v>7560000</v>
      </c>
      <c r="M237" s="197">
        <f t="shared" si="2326"/>
        <v>5580000</v>
      </c>
      <c r="N237" s="197">
        <f t="shared" si="2326"/>
        <v>6570000</v>
      </c>
      <c r="O237" s="197">
        <f t="shared" si="2326"/>
        <v>9270000</v>
      </c>
      <c r="P237" s="197">
        <f t="shared" si="2326"/>
        <v>13320000</v>
      </c>
      <c r="Q237" s="197">
        <f t="shared" si="2326"/>
        <v>15750000</v>
      </c>
      <c r="R237" s="197">
        <f t="shared" si="2326"/>
        <v>24750000</v>
      </c>
      <c r="S237" s="197">
        <f t="shared" si="2326"/>
        <v>27900000.000000004</v>
      </c>
      <c r="T237" s="197">
        <f t="shared" si="2326"/>
        <v>28440000</v>
      </c>
      <c r="U237" s="197">
        <f t="shared" si="2326"/>
        <v>41940000</v>
      </c>
      <c r="V237" s="197">
        <f t="shared" si="2326"/>
        <v>41940000</v>
      </c>
      <c r="W237" s="197">
        <f t="shared" si="2326"/>
        <v>21877056</v>
      </c>
      <c r="X237" s="197">
        <f t="shared" si="2326"/>
        <v>0</v>
      </c>
      <c r="Y237" s="197">
        <f t="shared" si="2326"/>
        <v>0</v>
      </c>
      <c r="Z237" s="197">
        <f t="shared" si="2326"/>
        <v>0</v>
      </c>
      <c r="AA237" s="197">
        <f t="shared" si="2326"/>
        <v>0</v>
      </c>
      <c r="AB237" s="197">
        <f t="shared" si="2326"/>
        <v>0</v>
      </c>
      <c r="AC237" s="197">
        <f t="shared" si="2326"/>
        <v>0</v>
      </c>
      <c r="AD237" s="197">
        <f t="shared" si="2326"/>
        <v>0</v>
      </c>
      <c r="AE237" s="197">
        <f t="shared" si="2326"/>
        <v>0</v>
      </c>
      <c r="AF237" s="197">
        <f t="shared" si="2326"/>
        <v>0</v>
      </c>
      <c r="AG237" s="197">
        <f t="shared" si="2326"/>
        <v>0</v>
      </c>
      <c r="AH237" s="197">
        <f t="shared" si="2326"/>
        <v>0</v>
      </c>
      <c r="AI237" s="197">
        <f t="shared" si="2326"/>
        <v>0</v>
      </c>
      <c r="AJ237" s="197">
        <f t="shared" si="2326"/>
        <v>0</v>
      </c>
      <c r="AK237" s="197">
        <f t="shared" si="2326"/>
        <v>0</v>
      </c>
      <c r="AL237" s="197">
        <f t="shared" si="2326"/>
        <v>0</v>
      </c>
      <c r="AM237" s="197">
        <f t="shared" si="2326"/>
        <v>0</v>
      </c>
      <c r="AN237" s="197">
        <f t="shared" si="2326"/>
        <v>0</v>
      </c>
      <c r="AO237" s="197">
        <f t="shared" si="2326"/>
        <v>0</v>
      </c>
      <c r="AP237" s="197">
        <f t="shared" si="2326"/>
        <v>0</v>
      </c>
      <c r="AQ237" s="197">
        <f t="shared" si="2326"/>
        <v>0</v>
      </c>
      <c r="AR237" s="197">
        <f t="shared" si="2326"/>
        <v>0</v>
      </c>
      <c r="AS237" s="197">
        <f t="shared" si="2326"/>
        <v>0</v>
      </c>
      <c r="AT237" s="197">
        <f t="shared" si="2326"/>
        <v>0</v>
      </c>
      <c r="AU237" s="197">
        <f t="shared" si="2326"/>
        <v>0</v>
      </c>
      <c r="AV237" s="197">
        <f t="shared" si="2326"/>
        <v>0</v>
      </c>
      <c r="AW237" s="197">
        <f t="shared" si="2326"/>
        <v>0</v>
      </c>
      <c r="AX237" s="197">
        <f t="shared" si="2326"/>
        <v>0</v>
      </c>
      <c r="AY237" s="197">
        <f t="shared" si="2326"/>
        <v>0</v>
      </c>
      <c r="AZ237" s="197">
        <f t="shared" si="2326"/>
        <v>0</v>
      </c>
      <c r="BA237" s="197">
        <f t="shared" si="2326"/>
        <v>0</v>
      </c>
      <c r="BB237" s="197">
        <f t="shared" si="2326"/>
        <v>4420811.8889556434</v>
      </c>
      <c r="BC237" s="197">
        <f t="shared" si="2326"/>
        <v>4423784.4150807997</v>
      </c>
      <c r="BD237" s="197">
        <f t="shared" si="2326"/>
        <v>4426764.2239402821</v>
      </c>
      <c r="BE237" s="197">
        <f t="shared" si="2326"/>
        <v>4429751.3348315293</v>
      </c>
      <c r="BF237" s="197">
        <f t="shared" si="2326"/>
        <v>4432745.7671067128</v>
      </c>
      <c r="BG237" s="197">
        <f t="shared" si="2326"/>
        <v>4435747.540172915</v>
      </c>
      <c r="BH237" s="197">
        <f t="shared" si="2326"/>
        <v>1746621.930835864</v>
      </c>
      <c r="BI237" s="197">
        <f t="shared" si="2326"/>
        <v>1749638.4439257793</v>
      </c>
      <c r="BJ237" s="197">
        <f t="shared" si="2326"/>
        <v>1752662.3563590213</v>
      </c>
      <c r="BK237" s="197">
        <f t="shared" si="2326"/>
        <v>0</v>
      </c>
      <c r="BL237" s="197">
        <f t="shared" si="2326"/>
        <v>1588427.3695743023</v>
      </c>
      <c r="BM237" s="197">
        <f t="shared" si="2326"/>
        <v>0</v>
      </c>
      <c r="BN237" s="197">
        <f t="shared" si="2326"/>
        <v>0</v>
      </c>
      <c r="BO237" s="197">
        <f t="shared" si="2326"/>
        <v>0</v>
      </c>
      <c r="BP237" s="197">
        <f t="shared" si="2326"/>
        <v>0</v>
      </c>
      <c r="BQ237" s="197">
        <f t="shared" si="2326"/>
        <v>0</v>
      </c>
      <c r="BR237" s="197">
        <f t="shared" si="2326"/>
        <v>0</v>
      </c>
      <c r="BS237" s="197">
        <f t="shared" ref="BS237:CW237" si="2327">-BS231</f>
        <v>0</v>
      </c>
      <c r="BT237" s="197">
        <f t="shared" si="2327"/>
        <v>0</v>
      </c>
      <c r="BU237" s="197">
        <f t="shared" si="2327"/>
        <v>0</v>
      </c>
      <c r="BV237" s="197">
        <f t="shared" si="2327"/>
        <v>0</v>
      </c>
      <c r="BW237" s="197">
        <f t="shared" si="2327"/>
        <v>0</v>
      </c>
      <c r="BX237" s="197">
        <f t="shared" si="2327"/>
        <v>0</v>
      </c>
      <c r="BY237" s="197">
        <f t="shared" si="2327"/>
        <v>0</v>
      </c>
      <c r="BZ237" s="197">
        <f t="shared" si="2327"/>
        <v>0</v>
      </c>
      <c r="CA237" s="197">
        <f t="shared" si="2327"/>
        <v>0</v>
      </c>
      <c r="CB237" s="197">
        <f t="shared" si="2327"/>
        <v>0</v>
      </c>
      <c r="CC237" s="197">
        <f t="shared" si="2327"/>
        <v>0</v>
      </c>
      <c r="CD237" s="197">
        <f t="shared" si="2327"/>
        <v>0</v>
      </c>
      <c r="CE237" s="197">
        <f t="shared" si="2327"/>
        <v>0</v>
      </c>
      <c r="CF237" s="197">
        <f t="shared" si="2327"/>
        <v>0</v>
      </c>
      <c r="CG237" s="197">
        <f t="shared" si="2327"/>
        <v>0</v>
      </c>
      <c r="CH237" s="197">
        <f t="shared" si="2327"/>
        <v>0</v>
      </c>
      <c r="CI237" s="197">
        <f t="shared" si="2327"/>
        <v>0</v>
      </c>
      <c r="CJ237" s="197">
        <f t="shared" si="2327"/>
        <v>0</v>
      </c>
      <c r="CK237" s="197">
        <f t="shared" si="2327"/>
        <v>0</v>
      </c>
      <c r="CL237" s="197">
        <f t="shared" si="2327"/>
        <v>0</v>
      </c>
      <c r="CM237" s="197">
        <f t="shared" si="2327"/>
        <v>0</v>
      </c>
      <c r="CN237" s="197">
        <f t="shared" si="2327"/>
        <v>0</v>
      </c>
      <c r="CO237" s="197">
        <f t="shared" si="2327"/>
        <v>0</v>
      </c>
      <c r="CP237" s="197">
        <f t="shared" si="2327"/>
        <v>0</v>
      </c>
      <c r="CQ237" s="197">
        <f t="shared" si="2327"/>
        <v>0</v>
      </c>
      <c r="CR237" s="197">
        <f t="shared" si="2327"/>
        <v>0</v>
      </c>
      <c r="CS237" s="197">
        <f t="shared" si="2327"/>
        <v>0</v>
      </c>
      <c r="CT237" s="197">
        <f t="shared" si="2327"/>
        <v>0</v>
      </c>
      <c r="CU237" s="197">
        <f t="shared" si="2327"/>
        <v>0</v>
      </c>
      <c r="CV237" s="197">
        <f t="shared" si="2327"/>
        <v>0</v>
      </c>
      <c r="CW237" s="197">
        <f t="shared" si="2327"/>
        <v>0</v>
      </c>
    </row>
    <row r="238" spans="2:101" outlineLevel="1" x14ac:dyDescent="0.25">
      <c r="C238" s="199" t="s">
        <v>223</v>
      </c>
      <c r="D238" s="152" t="s">
        <v>107</v>
      </c>
      <c r="E238" s="205">
        <f>Tier_1_IRR_Max</f>
        <v>0.15</v>
      </c>
      <c r="F238" s="197">
        <f t="shared" ref="F238:AK238" si="2328">+F236*((1+$E238)^(1/Months)-1)</f>
        <v>0</v>
      </c>
      <c r="G238" s="197">
        <f t="shared" si="2328"/>
        <v>913412.072240968</v>
      </c>
      <c r="H238" s="197">
        <f t="shared" si="2328"/>
        <v>953634.20941889251</v>
      </c>
      <c r="I238" s="197">
        <f t="shared" si="2328"/>
        <v>1015414.3960479315</v>
      </c>
      <c r="J238" s="197">
        <f t="shared" si="2328"/>
        <v>1083190.0450445567</v>
      </c>
      <c r="K238" s="197">
        <f t="shared" si="2328"/>
        <v>1130672.8296826305</v>
      </c>
      <c r="L238" s="197">
        <f t="shared" si="2328"/>
        <v>2055221.9551412922</v>
      </c>
      <c r="M238" s="197">
        <f t="shared" si="2328"/>
        <v>2167863.4815117228</v>
      </c>
      <c r="N238" s="197">
        <f t="shared" si="2328"/>
        <v>2258629.0585039984</v>
      </c>
      <c r="O238" s="197">
        <f t="shared" si="2328"/>
        <v>2362055.7144405758</v>
      </c>
      <c r="P238" s="197">
        <f t="shared" si="2328"/>
        <v>2498324.2807423533</v>
      </c>
      <c r="Q238" s="197">
        <f t="shared" si="2328"/>
        <v>2683634.6355025494</v>
      </c>
      <c r="R238" s="197">
        <f t="shared" si="2328"/>
        <v>2899583.1337883933</v>
      </c>
      <c r="S238" s="197">
        <f t="shared" si="2328"/>
        <v>3223495.7030693037</v>
      </c>
      <c r="T238" s="197">
        <f t="shared" si="2328"/>
        <v>3588104.8694861745</v>
      </c>
      <c r="U238" s="197">
        <f t="shared" si="2328"/>
        <v>3963311.4571325565</v>
      </c>
      <c r="V238" s="197">
        <f t="shared" si="2328"/>
        <v>4501064.937199018</v>
      </c>
      <c r="W238" s="197">
        <f t="shared" si="2328"/>
        <v>5045118.1546078203</v>
      </c>
      <c r="X238" s="197">
        <f t="shared" si="2328"/>
        <v>5360509.1881308751</v>
      </c>
      <c r="Y238" s="197">
        <f t="shared" si="2328"/>
        <v>5423307.1079179384</v>
      </c>
      <c r="Z238" s="197">
        <f t="shared" si="2328"/>
        <v>5486840.7001180481</v>
      </c>
      <c r="AA238" s="197">
        <f t="shared" si="2328"/>
        <v>5551118.5830724016</v>
      </c>
      <c r="AB238" s="197">
        <f t="shared" si="2328"/>
        <v>5616149.476085349</v>
      </c>
      <c r="AC238" s="197">
        <f t="shared" si="2328"/>
        <v>5681942.2006071666</v>
      </c>
      <c r="AD238" s="197">
        <f t="shared" si="2328"/>
        <v>5748505.6814306891</v>
      </c>
      <c r="AE238" s="197">
        <f t="shared" si="2328"/>
        <v>5815848.9479019549</v>
      </c>
      <c r="AF238" s="197">
        <f t="shared" si="2328"/>
        <v>5883981.135145043</v>
      </c>
      <c r="AG238" s="197">
        <f t="shared" si="2328"/>
        <v>5952911.4853012525</v>
      </c>
      <c r="AH238" s="197">
        <f t="shared" si="2328"/>
        <v>6022649.3487827973</v>
      </c>
      <c r="AI238" s="197">
        <f t="shared" si="2328"/>
        <v>6093204.1855411967</v>
      </c>
      <c r="AJ238" s="197">
        <f t="shared" si="2328"/>
        <v>6164585.566350515</v>
      </c>
      <c r="AK238" s="197">
        <f t="shared" si="2328"/>
        <v>6236803.1741056386</v>
      </c>
      <c r="AL238" s="197">
        <f t="shared" ref="AL238:BQ238" si="2329">+AL236*((1+$E238)^(1/Months)-1)</f>
        <v>6309866.8051357642</v>
      </c>
      <c r="AM238" s="197">
        <f t="shared" si="2329"/>
        <v>6383786.3705332698</v>
      </c>
      <c r="AN238" s="197">
        <f t="shared" si="2329"/>
        <v>6458571.8974981587</v>
      </c>
      <c r="AO238" s="197">
        <f t="shared" si="2329"/>
        <v>6534233.5306982491</v>
      </c>
      <c r="AP238" s="197">
        <f t="shared" si="2329"/>
        <v>6610781.5336453002</v>
      </c>
      <c r="AQ238" s="197">
        <f t="shared" si="2329"/>
        <v>6688226.2900872547</v>
      </c>
      <c r="AR238" s="197">
        <f t="shared" si="2329"/>
        <v>6766578.3054168066</v>
      </c>
      <c r="AS238" s="197">
        <f t="shared" si="2329"/>
        <v>6845848.2080964465</v>
      </c>
      <c r="AT238" s="197">
        <f t="shared" si="2329"/>
        <v>6926046.7511002244</v>
      </c>
      <c r="AU238" s="197">
        <f t="shared" si="2329"/>
        <v>7007184.8133723829</v>
      </c>
      <c r="AV238" s="197">
        <f t="shared" si="2329"/>
        <v>7089273.4013030985</v>
      </c>
      <c r="AW238" s="197">
        <f t="shared" si="2329"/>
        <v>7172323.6502214903</v>
      </c>
      <c r="AX238" s="197">
        <f t="shared" si="2329"/>
        <v>7256346.8259061342</v>
      </c>
      <c r="AY238" s="197">
        <f t="shared" si="2329"/>
        <v>7341354.3261132669</v>
      </c>
      <c r="AZ238" s="197">
        <f t="shared" si="2329"/>
        <v>7427357.6821228899</v>
      </c>
      <c r="BA238" s="197">
        <f t="shared" si="2329"/>
        <v>7514368.5603029951</v>
      </c>
      <c r="BB238" s="197">
        <f t="shared" si="2329"/>
        <v>5306594.8932752386</v>
      </c>
      <c r="BC238" s="197">
        <f t="shared" si="2329"/>
        <v>5420550.6555746915</v>
      </c>
      <c r="BD238" s="197">
        <f t="shared" si="2329"/>
        <v>5535876.2230586195</v>
      </c>
      <c r="BE238" s="197">
        <f t="shared" si="2329"/>
        <v>5652587.7281975821</v>
      </c>
      <c r="BF238" s="197">
        <f t="shared" si="2329"/>
        <v>5770701.4926787606</v>
      </c>
      <c r="BG238" s="197">
        <f t="shared" si="2329"/>
        <v>5890234.0296232533</v>
      </c>
      <c r="BH238" s="197">
        <f t="shared" si="2329"/>
        <v>6011202.0458293529</v>
      </c>
      <c r="BI238" s="197">
        <f t="shared" si="2329"/>
        <v>6102084.3091948321</v>
      </c>
      <c r="BJ238" s="197">
        <f t="shared" si="2329"/>
        <v>6194066.5889253626</v>
      </c>
      <c r="BK238" s="197">
        <f t="shared" si="2329"/>
        <v>6287161.8583039632</v>
      </c>
      <c r="BL238" s="197">
        <f t="shared" si="2329"/>
        <v>6357763.5779891275</v>
      </c>
      <c r="BM238" s="197">
        <f t="shared" si="2329"/>
        <v>6450852.5447691241</v>
      </c>
      <c r="BN238" s="197">
        <f t="shared" si="2329"/>
        <v>6523443.1724988678</v>
      </c>
      <c r="BO238" s="197">
        <f t="shared" si="2329"/>
        <v>6595681.1853371505</v>
      </c>
      <c r="BP238" s="197">
        <f t="shared" si="2329"/>
        <v>6668803.5996446079</v>
      </c>
      <c r="BQ238" s="197">
        <f t="shared" si="2329"/>
        <v>6742820.8730922416</v>
      </c>
      <c r="BR238" s="197">
        <f t="shared" ref="BR238:CW238" si="2330">+BR236*((1+$E238)^(1/Months)-1)</f>
        <v>6817743.5861218739</v>
      </c>
      <c r="BS238" s="197">
        <f t="shared" si="2330"/>
        <v>6893582.4433851289</v>
      </c>
      <c r="BT238" s="197">
        <f t="shared" si="2330"/>
        <v>6970348.2751992717</v>
      </c>
      <c r="BU238" s="197">
        <f t="shared" si="2330"/>
        <v>7048052.0390201127</v>
      </c>
      <c r="BV238" s="197">
        <f t="shared" si="2330"/>
        <v>7126704.8209321601</v>
      </c>
      <c r="BW238" s="197">
        <f t="shared" si="2330"/>
        <v>7206317.8371562446</v>
      </c>
      <c r="BX238" s="197">
        <f t="shared" si="2330"/>
        <v>7286902.4355747886</v>
      </c>
      <c r="BY238" s="197">
        <f t="shared" si="2330"/>
        <v>7368470.0972749628</v>
      </c>
      <c r="BZ238" s="197">
        <f t="shared" si="2330"/>
        <v>7451032.4381099213</v>
      </c>
      <c r="CA238" s="197">
        <f t="shared" si="2330"/>
        <v>0</v>
      </c>
      <c r="CB238" s="197">
        <f t="shared" si="2330"/>
        <v>0</v>
      </c>
      <c r="CC238" s="197">
        <f t="shared" si="2330"/>
        <v>0</v>
      </c>
      <c r="CD238" s="197">
        <f t="shared" si="2330"/>
        <v>0</v>
      </c>
      <c r="CE238" s="197">
        <f t="shared" si="2330"/>
        <v>0</v>
      </c>
      <c r="CF238" s="197">
        <f t="shared" si="2330"/>
        <v>0</v>
      </c>
      <c r="CG238" s="197">
        <f t="shared" si="2330"/>
        <v>0</v>
      </c>
      <c r="CH238" s="197">
        <f t="shared" si="2330"/>
        <v>0</v>
      </c>
      <c r="CI238" s="197">
        <f t="shared" si="2330"/>
        <v>0</v>
      </c>
      <c r="CJ238" s="197">
        <f t="shared" si="2330"/>
        <v>0</v>
      </c>
      <c r="CK238" s="197">
        <f t="shared" si="2330"/>
        <v>0</v>
      </c>
      <c r="CL238" s="197">
        <f t="shared" si="2330"/>
        <v>0</v>
      </c>
      <c r="CM238" s="197">
        <f t="shared" si="2330"/>
        <v>0</v>
      </c>
      <c r="CN238" s="197">
        <f t="shared" si="2330"/>
        <v>0</v>
      </c>
      <c r="CO238" s="197">
        <f t="shared" si="2330"/>
        <v>0</v>
      </c>
      <c r="CP238" s="197">
        <f t="shared" si="2330"/>
        <v>0</v>
      </c>
      <c r="CQ238" s="197">
        <f t="shared" si="2330"/>
        <v>0</v>
      </c>
      <c r="CR238" s="197">
        <f t="shared" si="2330"/>
        <v>0</v>
      </c>
      <c r="CS238" s="197">
        <f t="shared" si="2330"/>
        <v>0</v>
      </c>
      <c r="CT238" s="197">
        <f t="shared" si="2330"/>
        <v>0</v>
      </c>
      <c r="CU238" s="197">
        <f t="shared" si="2330"/>
        <v>0</v>
      </c>
      <c r="CV238" s="197">
        <f t="shared" si="2330"/>
        <v>0</v>
      </c>
      <c r="CW238" s="197">
        <f t="shared" si="2330"/>
        <v>0</v>
      </c>
    </row>
    <row r="239" spans="2:101" outlineLevel="1" x14ac:dyDescent="0.25">
      <c r="C239" s="199" t="s">
        <v>224</v>
      </c>
      <c r="D239" s="130" t="s">
        <v>107</v>
      </c>
      <c r="E239" s="80"/>
      <c r="F239" s="197">
        <f>MIN(0,MAX(-(F236+F237+F238),-F233))</f>
        <v>0</v>
      </c>
      <c r="G239" s="197">
        <f t="shared" ref="G239" si="2331">MIN(0,MAX(-(G236+G237+G238),-G233))</f>
        <v>0</v>
      </c>
      <c r="H239" s="197">
        <f t="shared" ref="H239" si="2332">MIN(0,MAX(-(H236+H237+H238),-H233))</f>
        <v>0</v>
      </c>
      <c r="I239" s="197">
        <f t="shared" ref="I239" si="2333">MIN(0,MAX(-(I236+I237+I238),-I233))</f>
        <v>0</v>
      </c>
      <c r="J239" s="197">
        <f t="shared" ref="J239" si="2334">MIN(0,MAX(-(J236+J237+J238),-J233))</f>
        <v>0</v>
      </c>
      <c r="K239" s="197">
        <f t="shared" ref="K239" si="2335">MIN(0,MAX(-(K236+K237+K238),-K233))</f>
        <v>0</v>
      </c>
      <c r="L239" s="197">
        <f t="shared" ref="L239" si="2336">MIN(0,MAX(-(L236+L237+L238),-L233))</f>
        <v>0</v>
      </c>
      <c r="M239" s="197">
        <f t="shared" ref="M239" si="2337">MIN(0,MAX(-(M236+M237+M238),-M233))</f>
        <v>0</v>
      </c>
      <c r="N239" s="197">
        <f t="shared" ref="N239" si="2338">MIN(0,MAX(-(N236+N237+N238),-N233))</f>
        <v>0</v>
      </c>
      <c r="O239" s="197">
        <f t="shared" ref="O239" si="2339">MIN(0,MAX(-(O236+O237+O238),-O233))</f>
        <v>0</v>
      </c>
      <c r="P239" s="197">
        <f t="shared" ref="P239" si="2340">MIN(0,MAX(-(P236+P237+P238),-P233))</f>
        <v>0</v>
      </c>
      <c r="Q239" s="197">
        <f t="shared" ref="Q239" si="2341">MIN(0,MAX(-(Q236+Q237+Q238),-Q233))</f>
        <v>0</v>
      </c>
      <c r="R239" s="197">
        <f t="shared" ref="R239" si="2342">MIN(0,MAX(-(R236+R237+R238),-R233))</f>
        <v>0</v>
      </c>
      <c r="S239" s="197">
        <f t="shared" ref="S239" si="2343">MIN(0,MAX(-(S236+S237+S238),-S233))</f>
        <v>0</v>
      </c>
      <c r="T239" s="197">
        <f t="shared" ref="T239" si="2344">MIN(0,MAX(-(T236+T237+T238),-T233))</f>
        <v>0</v>
      </c>
      <c r="U239" s="197">
        <f t="shared" ref="U239" si="2345">MIN(0,MAX(-(U236+U237+U238),-U233))</f>
        <v>0</v>
      </c>
      <c r="V239" s="197">
        <f t="shared" ref="V239" si="2346">MIN(0,MAX(-(V236+V237+V238),-V233))</f>
        <v>0</v>
      </c>
      <c r="W239" s="197">
        <f t="shared" ref="W239" si="2347">MIN(0,MAX(-(W236+W237+W238),-W233))</f>
        <v>0</v>
      </c>
      <c r="X239" s="197">
        <f t="shared" ref="X239" si="2348">MIN(0,MAX(-(X236+X237+X238),-X233))</f>
        <v>0</v>
      </c>
      <c r="Y239" s="197">
        <f t="shared" ref="Y239" si="2349">MIN(0,MAX(-(Y236+Y237+Y238),-Y233))</f>
        <v>0</v>
      </c>
      <c r="Z239" s="197">
        <f t="shared" ref="Z239" si="2350">MIN(0,MAX(-(Z236+Z237+Z238),-Z233))</f>
        <v>0</v>
      </c>
      <c r="AA239" s="197">
        <f t="shared" ref="AA239" si="2351">MIN(0,MAX(-(AA236+AA237+AA238),-AA233))</f>
        <v>0</v>
      </c>
      <c r="AB239" s="197">
        <f t="shared" ref="AB239" si="2352">MIN(0,MAX(-(AB236+AB237+AB238),-AB233))</f>
        <v>0</v>
      </c>
      <c r="AC239" s="197">
        <f t="shared" ref="AC239" si="2353">MIN(0,MAX(-(AC236+AC237+AC238),-AC233))</f>
        <v>0</v>
      </c>
      <c r="AD239" s="197">
        <f t="shared" ref="AD239" si="2354">MIN(0,MAX(-(AD236+AD237+AD238),-AD233))</f>
        <v>0</v>
      </c>
      <c r="AE239" s="197">
        <f t="shared" ref="AE239" si="2355">MIN(0,MAX(-(AE236+AE237+AE238),-AE233))</f>
        <v>0</v>
      </c>
      <c r="AF239" s="197">
        <f t="shared" ref="AF239" si="2356">MIN(0,MAX(-(AF236+AF237+AF238),-AF233))</f>
        <v>0</v>
      </c>
      <c r="AG239" s="197">
        <f t="shared" ref="AG239" si="2357">MIN(0,MAX(-(AG236+AG237+AG238),-AG233))</f>
        <v>0</v>
      </c>
      <c r="AH239" s="197">
        <f t="shared" ref="AH239" si="2358">MIN(0,MAX(-(AH236+AH237+AH238),-AH233))</f>
        <v>0</v>
      </c>
      <c r="AI239" s="197">
        <f t="shared" ref="AI239" si="2359">MIN(0,MAX(-(AI236+AI237+AI238),-AI233))</f>
        <v>0</v>
      </c>
      <c r="AJ239" s="197">
        <f t="shared" ref="AJ239" si="2360">MIN(0,MAX(-(AJ236+AJ237+AJ238),-AJ233))</f>
        <v>0</v>
      </c>
      <c r="AK239" s="197">
        <f t="shared" ref="AK239" si="2361">MIN(0,MAX(-(AK236+AK237+AK238),-AK233))</f>
        <v>0</v>
      </c>
      <c r="AL239" s="197">
        <f t="shared" ref="AL239" si="2362">MIN(0,MAX(-(AL236+AL237+AL238),-AL233))</f>
        <v>0</v>
      </c>
      <c r="AM239" s="197">
        <f t="shared" ref="AM239" si="2363">MIN(0,MAX(-(AM236+AM237+AM238),-AM233))</f>
        <v>0</v>
      </c>
      <c r="AN239" s="197">
        <f t="shared" ref="AN239" si="2364">MIN(0,MAX(-(AN236+AN237+AN238),-AN233))</f>
        <v>0</v>
      </c>
      <c r="AO239" s="197">
        <f t="shared" ref="AO239" si="2365">MIN(0,MAX(-(AO236+AO237+AO238),-AO233))</f>
        <v>0</v>
      </c>
      <c r="AP239" s="197">
        <f t="shared" ref="AP239" si="2366">MIN(0,MAX(-(AP236+AP237+AP238),-AP233))</f>
        <v>0</v>
      </c>
      <c r="AQ239" s="197">
        <f t="shared" ref="AQ239" si="2367">MIN(0,MAX(-(AQ236+AQ237+AQ238),-AQ233))</f>
        <v>0</v>
      </c>
      <c r="AR239" s="197">
        <f t="shared" ref="AR239" si="2368">MIN(0,MAX(-(AR236+AR237+AR238),-AR233))</f>
        <v>0</v>
      </c>
      <c r="AS239" s="197">
        <f t="shared" ref="AS239" si="2369">MIN(0,MAX(-(AS236+AS237+AS238),-AS233))</f>
        <v>0</v>
      </c>
      <c r="AT239" s="197">
        <f t="shared" ref="AT239" si="2370">MIN(0,MAX(-(AT236+AT237+AT238),-AT233))</f>
        <v>0</v>
      </c>
      <c r="AU239" s="197">
        <f t="shared" ref="AU239" si="2371">MIN(0,MAX(-(AU236+AU237+AU238),-AU233))</f>
        <v>0</v>
      </c>
      <c r="AV239" s="197">
        <f t="shared" ref="AV239" si="2372">MIN(0,MAX(-(AV236+AV237+AV238),-AV233))</f>
        <v>0</v>
      </c>
      <c r="AW239" s="197">
        <f t="shared" ref="AW239" si="2373">MIN(0,MAX(-(AW236+AW237+AW238),-AW233))</f>
        <v>0</v>
      </c>
      <c r="AX239" s="197">
        <f t="shared" ref="AX239" si="2374">MIN(0,MAX(-(AX236+AX237+AX238),-AX233))</f>
        <v>0</v>
      </c>
      <c r="AY239" s="197">
        <f t="shared" ref="AY239" si="2375">MIN(0,MAX(-(AY236+AY237+AY238),-AY233))</f>
        <v>0</v>
      </c>
      <c r="AZ239" s="197">
        <f t="shared" ref="AZ239" si="2376">MIN(0,MAX(-(AZ236+AZ237+AZ238),-AZ233))</f>
        <v>0</v>
      </c>
      <c r="BA239" s="197">
        <f t="shared" ref="BA239" si="2377">MIN(0,MAX(-(BA236+BA237+BA238),-BA233))</f>
        <v>-195972697.55504143</v>
      </c>
      <c r="BB239" s="197">
        <f t="shared" ref="BB239" si="2378">MIN(0,MAX(-(BB236+BB237+BB238),-BB233))</f>
        <v>0</v>
      </c>
      <c r="BC239" s="197">
        <f t="shared" ref="BC239" si="2379">MIN(0,MAX(-(BC236+BC237+BC238),-BC233))</f>
        <v>0</v>
      </c>
      <c r="BD239" s="197">
        <f t="shared" ref="BD239" si="2380">MIN(0,MAX(-(BD236+BD237+BD238),-BD233))</f>
        <v>0</v>
      </c>
      <c r="BE239" s="197">
        <f t="shared" ref="BE239" si="2381">MIN(0,MAX(-(BE236+BE237+BE238),-BE233))</f>
        <v>0</v>
      </c>
      <c r="BF239" s="197">
        <f t="shared" ref="BF239" si="2382">MIN(0,MAX(-(BF236+BF237+BF238),-BF233))</f>
        <v>0</v>
      </c>
      <c r="BG239" s="197">
        <f t="shared" ref="BG239" si="2383">MIN(0,MAX(-(BG236+BG237+BG238),-BG233))</f>
        <v>0</v>
      </c>
      <c r="BH239" s="197">
        <f t="shared" ref="BH239" si="2384">MIN(0,MAX(-(BH236+BH237+BH238),-BH233))</f>
        <v>0</v>
      </c>
      <c r="BI239" s="197">
        <f t="shared" ref="BI239" si="2385">MIN(0,MAX(-(BI236+BI237+BI238),-BI233))</f>
        <v>0</v>
      </c>
      <c r="BJ239" s="197">
        <f t="shared" ref="BJ239" si="2386">MIN(0,MAX(-(BJ236+BJ237+BJ238),-BJ233))</f>
        <v>0</v>
      </c>
      <c r="BK239" s="197">
        <f t="shared" ref="BK239" si="2387">MIN(0,MAX(-(BK236+BK237+BK238),-BK233))</f>
        <v>-260510.52409639768</v>
      </c>
      <c r="BL239" s="197">
        <f t="shared" ref="BL239" si="2388">MIN(0,MAX(-(BL236+BL237+BL238),-BL233))</f>
        <v>0</v>
      </c>
      <c r="BM239" s="197">
        <f t="shared" ref="BM239" si="2389">MIN(0,MAX(-(BM236+BM237+BM238),-BM233))</f>
        <v>-254425.52557937941</v>
      </c>
      <c r="BN239" s="197">
        <f t="shared" ref="BN239" si="2390">MIN(0,MAX(-(BN236+BN237+BN238),-BN233))</f>
        <v>-357115.8026597132</v>
      </c>
      <c r="BO239" s="197">
        <f t="shared" ref="BO239" si="2391">MIN(0,MAX(-(BO236+BO237+BO238),-BO233))</f>
        <v>-353860.19695820985</v>
      </c>
      <c r="BP239" s="197">
        <f t="shared" ref="BP239" si="2392">MIN(0,MAX(-(BP236+BP237+BP238),-BP233))</f>
        <v>-350596.31281394279</v>
      </c>
      <c r="BQ239" s="197">
        <f t="shared" ref="BQ239" si="2393">MIN(0,MAX(-(BQ236+BQ237+BQ238),-BQ233))</f>
        <v>-347324.12802694738</v>
      </c>
      <c r="BR239" s="197">
        <f t="shared" ref="BR239" si="2394">MIN(0,MAX(-(BR236+BR237+BR238),-BR233))</f>
        <v>-344043.6203346923</v>
      </c>
      <c r="BS239" s="197">
        <f t="shared" ref="BS239" si="2395">MIN(0,MAX(-(BS236+BS237+BS238),-BS233))</f>
        <v>-340754.76741187461</v>
      </c>
      <c r="BT239" s="197">
        <f t="shared" ref="BT239" si="2396">MIN(0,MAX(-(BT236+BT237+BT238),-BT233))</f>
        <v>-337457.54687023768</v>
      </c>
      <c r="BU239" s="197">
        <f t="shared" ref="BU239" si="2397">MIN(0,MAX(-(BU236+BU237+BU238),-BU233))</f>
        <v>-334151.93625840172</v>
      </c>
      <c r="BV239" s="197">
        <f t="shared" ref="BV239" si="2398">MIN(0,MAX(-(BV236+BV237+BV238),-BV233))</f>
        <v>-330837.91306165652</v>
      </c>
      <c r="BW239" s="197">
        <f t="shared" ref="BW239" si="2399">MIN(0,MAX(-(BW236+BW237+BW238),-BW233))</f>
        <v>-327515.45470179198</v>
      </c>
      <c r="BX239" s="197">
        <f t="shared" ref="BX239" si="2400">MIN(0,MAX(-(BX236+BX237+BX238),-BX233))</f>
        <v>-324184.53853690112</v>
      </c>
      <c r="BY239" s="197">
        <f t="shared" ref="BY239" si="2401">MIN(0,MAX(-(BY236+BY237+BY238),-BY233))</f>
        <v>-320845.14186119335</v>
      </c>
      <c r="BZ239" s="197">
        <f t="shared" ref="BZ239" si="2402">MIN(0,MAX(-(BZ236+BZ237+BZ238),-BZ233))</f>
        <v>-643480505.72294271</v>
      </c>
      <c r="CA239" s="197">
        <f t="shared" ref="CA239" si="2403">MIN(0,MAX(-(CA236+CA237+CA238),-CA233))</f>
        <v>0</v>
      </c>
      <c r="CB239" s="197">
        <f t="shared" ref="CB239" si="2404">MIN(0,MAX(-(CB236+CB237+CB238),-CB233))</f>
        <v>0</v>
      </c>
      <c r="CC239" s="197">
        <f t="shared" ref="CC239" si="2405">MIN(0,MAX(-(CC236+CC237+CC238),-CC233))</f>
        <v>0</v>
      </c>
      <c r="CD239" s="197">
        <f t="shared" ref="CD239" si="2406">MIN(0,MAX(-(CD236+CD237+CD238),-CD233))</f>
        <v>0</v>
      </c>
      <c r="CE239" s="197">
        <f t="shared" ref="CE239" si="2407">MIN(0,MAX(-(CE236+CE237+CE238),-CE233))</f>
        <v>0</v>
      </c>
      <c r="CF239" s="197">
        <f t="shared" ref="CF239" si="2408">MIN(0,MAX(-(CF236+CF237+CF238),-CF233))</f>
        <v>0</v>
      </c>
      <c r="CG239" s="197">
        <f t="shared" ref="CG239" si="2409">MIN(0,MAX(-(CG236+CG237+CG238),-CG233))</f>
        <v>0</v>
      </c>
      <c r="CH239" s="197">
        <f t="shared" ref="CH239" si="2410">MIN(0,MAX(-(CH236+CH237+CH238),-CH233))</f>
        <v>0</v>
      </c>
      <c r="CI239" s="197">
        <f t="shared" ref="CI239" si="2411">MIN(0,MAX(-(CI236+CI237+CI238),-CI233))</f>
        <v>0</v>
      </c>
      <c r="CJ239" s="197">
        <f t="shared" ref="CJ239" si="2412">MIN(0,MAX(-(CJ236+CJ237+CJ238),-CJ233))</f>
        <v>0</v>
      </c>
      <c r="CK239" s="197">
        <f t="shared" ref="CK239" si="2413">MIN(0,MAX(-(CK236+CK237+CK238),-CK233))</f>
        <v>0</v>
      </c>
      <c r="CL239" s="197">
        <f t="shared" ref="CL239" si="2414">MIN(0,MAX(-(CL236+CL237+CL238),-CL233))</f>
        <v>0</v>
      </c>
      <c r="CM239" s="197">
        <f t="shared" ref="CM239" si="2415">MIN(0,MAX(-(CM236+CM237+CM238),-CM233))</f>
        <v>0</v>
      </c>
      <c r="CN239" s="197">
        <f t="shared" ref="CN239" si="2416">MIN(0,MAX(-(CN236+CN237+CN238),-CN233))</f>
        <v>0</v>
      </c>
      <c r="CO239" s="197">
        <f t="shared" ref="CO239" si="2417">MIN(0,MAX(-(CO236+CO237+CO238),-CO233))</f>
        <v>0</v>
      </c>
      <c r="CP239" s="197">
        <f t="shared" ref="CP239" si="2418">MIN(0,MAX(-(CP236+CP237+CP238),-CP233))</f>
        <v>0</v>
      </c>
      <c r="CQ239" s="197">
        <f t="shared" ref="CQ239" si="2419">MIN(0,MAX(-(CQ236+CQ237+CQ238),-CQ233))</f>
        <v>0</v>
      </c>
      <c r="CR239" s="197">
        <f t="shared" ref="CR239" si="2420">MIN(0,MAX(-(CR236+CR237+CR238),-CR233))</f>
        <v>0</v>
      </c>
      <c r="CS239" s="197">
        <f t="shared" ref="CS239" si="2421">MIN(0,MAX(-(CS236+CS237+CS238),-CS233))</f>
        <v>0</v>
      </c>
      <c r="CT239" s="197">
        <f t="shared" ref="CT239" si="2422">MIN(0,MAX(-(CT236+CT237+CT238),-CT233))</f>
        <v>0</v>
      </c>
      <c r="CU239" s="197">
        <f t="shared" ref="CU239" si="2423">MIN(0,MAX(-(CU236+CU237+CU238),-CU233))</f>
        <v>0</v>
      </c>
      <c r="CV239" s="197">
        <f t="shared" ref="CV239" si="2424">MIN(0,MAX(-(CV236+CV237+CV238),-CV233))</f>
        <v>0</v>
      </c>
      <c r="CW239" s="197">
        <f t="shared" ref="CW239" si="2425">MIN(0,MAX(-(CW236+CW237+CW238),-CW233))</f>
        <v>0</v>
      </c>
    </row>
    <row r="240" spans="2:101" outlineLevel="1" x14ac:dyDescent="0.25">
      <c r="C240" s="200" t="s">
        <v>225</v>
      </c>
      <c r="D240" s="47" t="s">
        <v>107</v>
      </c>
      <c r="E240" s="206"/>
      <c r="F240" s="39">
        <f>SUM(F236:F239)</f>
        <v>77970000</v>
      </c>
      <c r="G240" s="39">
        <f>SUM(G236:G239)</f>
        <v>81403412.072240964</v>
      </c>
      <c r="H240" s="39">
        <f t="shared" ref="H240:BS240" si="2426">SUM(H236:H239)</f>
        <v>86677046.281659856</v>
      </c>
      <c r="I240" s="39">
        <f t="shared" si="2426"/>
        <v>92462460.677707791</v>
      </c>
      <c r="J240" s="39">
        <f t="shared" si="2426"/>
        <v>96515650.722752348</v>
      </c>
      <c r="K240" s="39">
        <f t="shared" si="2426"/>
        <v>175436323.55243495</v>
      </c>
      <c r="L240" s="39">
        <f t="shared" si="2426"/>
        <v>185051545.50757626</v>
      </c>
      <c r="M240" s="39">
        <f t="shared" si="2426"/>
        <v>192799408.98908797</v>
      </c>
      <c r="N240" s="39">
        <f t="shared" si="2426"/>
        <v>201628038.04759195</v>
      </c>
      <c r="O240" s="39">
        <f t="shared" si="2426"/>
        <v>213260093.76203254</v>
      </c>
      <c r="P240" s="39">
        <f t="shared" si="2426"/>
        <v>229078418.04277489</v>
      </c>
      <c r="Q240" s="39">
        <f t="shared" si="2426"/>
        <v>247512052.67827743</v>
      </c>
      <c r="R240" s="39">
        <f t="shared" si="2426"/>
        <v>275161635.81206584</v>
      </c>
      <c r="S240" s="39">
        <f t="shared" si="2426"/>
        <v>306285131.51513517</v>
      </c>
      <c r="T240" s="39">
        <f t="shared" si="2426"/>
        <v>338313236.38462132</v>
      </c>
      <c r="U240" s="39">
        <f t="shared" si="2426"/>
        <v>384216547.8417539</v>
      </c>
      <c r="V240" s="39">
        <f t="shared" si="2426"/>
        <v>430657612.7789529</v>
      </c>
      <c r="W240" s="39">
        <f t="shared" si="2426"/>
        <v>457579786.93356073</v>
      </c>
      <c r="X240" s="39">
        <f t="shared" si="2426"/>
        <v>462940296.12169158</v>
      </c>
      <c r="Y240" s="39">
        <f t="shared" si="2426"/>
        <v>468363603.22960955</v>
      </c>
      <c r="Z240" s="39">
        <f t="shared" si="2426"/>
        <v>473850443.92972761</v>
      </c>
      <c r="AA240" s="39">
        <f t="shared" si="2426"/>
        <v>479401562.51280004</v>
      </c>
      <c r="AB240" s="39">
        <f t="shared" si="2426"/>
        <v>485017711.9888854</v>
      </c>
      <c r="AC240" s="39">
        <f t="shared" si="2426"/>
        <v>490699654.18949258</v>
      </c>
      <c r="AD240" s="39">
        <f t="shared" si="2426"/>
        <v>496448159.87092328</v>
      </c>
      <c r="AE240" s="39">
        <f t="shared" si="2426"/>
        <v>502264008.81882524</v>
      </c>
      <c r="AF240" s="39">
        <f t="shared" si="2426"/>
        <v>508147989.95397031</v>
      </c>
      <c r="AG240" s="39">
        <f t="shared" si="2426"/>
        <v>514100901.43927157</v>
      </c>
      <c r="AH240" s="39">
        <f t="shared" si="2426"/>
        <v>520123550.78805435</v>
      </c>
      <c r="AI240" s="39">
        <f t="shared" si="2426"/>
        <v>526216754.97359556</v>
      </c>
      <c r="AJ240" s="39">
        <f t="shared" si="2426"/>
        <v>532381340.53994608</v>
      </c>
      <c r="AK240" s="39">
        <f t="shared" si="2426"/>
        <v>538618143.71405172</v>
      </c>
      <c r="AL240" s="39">
        <f t="shared" si="2426"/>
        <v>544928010.51918745</v>
      </c>
      <c r="AM240" s="39">
        <f t="shared" si="2426"/>
        <v>551311796.88972068</v>
      </c>
      <c r="AN240" s="39">
        <f t="shared" si="2426"/>
        <v>557770368.78721881</v>
      </c>
      <c r="AO240" s="39">
        <f t="shared" si="2426"/>
        <v>564304602.31791711</v>
      </c>
      <c r="AP240" s="39">
        <f t="shared" si="2426"/>
        <v>570915383.85156238</v>
      </c>
      <c r="AQ240" s="39">
        <f t="shared" si="2426"/>
        <v>577603610.1416496</v>
      </c>
      <c r="AR240" s="39">
        <f t="shared" si="2426"/>
        <v>584370188.44706643</v>
      </c>
      <c r="AS240" s="39">
        <f t="shared" si="2426"/>
        <v>591216036.65516293</v>
      </c>
      <c r="AT240" s="39">
        <f t="shared" si="2426"/>
        <v>598142083.40626311</v>
      </c>
      <c r="AU240" s="39">
        <f t="shared" si="2426"/>
        <v>605149268.21963549</v>
      </c>
      <c r="AV240" s="39">
        <f t="shared" si="2426"/>
        <v>612238541.62093854</v>
      </c>
      <c r="AW240" s="39">
        <f t="shared" si="2426"/>
        <v>619410865.27116001</v>
      </c>
      <c r="AX240" s="39">
        <f t="shared" si="2426"/>
        <v>626667212.09706616</v>
      </c>
      <c r="AY240" s="39">
        <f t="shared" si="2426"/>
        <v>634008566.42317939</v>
      </c>
      <c r="AZ240" s="39">
        <f t="shared" si="2426"/>
        <v>641435924.10530233</v>
      </c>
      <c r="BA240" s="39">
        <f t="shared" si="2426"/>
        <v>452977595.11056387</v>
      </c>
      <c r="BB240" s="39">
        <f t="shared" si="2426"/>
        <v>462705001.89279479</v>
      </c>
      <c r="BC240" s="39">
        <f t="shared" si="2426"/>
        <v>472549336.96345025</v>
      </c>
      <c r="BD240" s="39">
        <f t="shared" si="2426"/>
        <v>482511977.41044915</v>
      </c>
      <c r="BE240" s="39">
        <f t="shared" si="2426"/>
        <v>492594316.47347826</v>
      </c>
      <c r="BF240" s="39">
        <f t="shared" si="2426"/>
        <v>502797763.73326373</v>
      </c>
      <c r="BG240" s="39">
        <f t="shared" si="2426"/>
        <v>513123745.30305994</v>
      </c>
      <c r="BH240" s="39">
        <f t="shared" si="2426"/>
        <v>520881569.27972513</v>
      </c>
      <c r="BI240" s="39">
        <f t="shared" si="2426"/>
        <v>528733292.03284574</v>
      </c>
      <c r="BJ240" s="39">
        <f t="shared" si="2426"/>
        <v>536680020.9781301</v>
      </c>
      <c r="BK240" s="39">
        <f t="shared" si="2426"/>
        <v>542706672.31233764</v>
      </c>
      <c r="BL240" s="39">
        <f t="shared" si="2426"/>
        <v>550652863.25990105</v>
      </c>
      <c r="BM240" s="39">
        <f t="shared" si="2426"/>
        <v>556849290.27909088</v>
      </c>
      <c r="BN240" s="39">
        <f t="shared" si="2426"/>
        <v>563015617.64892995</v>
      </c>
      <c r="BO240" s="39">
        <f t="shared" si="2426"/>
        <v>569257438.63730896</v>
      </c>
      <c r="BP240" s="39">
        <f t="shared" si="2426"/>
        <v>575575645.92413962</v>
      </c>
      <c r="BQ240" s="39">
        <f t="shared" si="2426"/>
        <v>581971142.66920495</v>
      </c>
      <c r="BR240" s="39">
        <f t="shared" si="2426"/>
        <v>588444842.63499212</v>
      </c>
      <c r="BS240" s="39">
        <f t="shared" si="2426"/>
        <v>594997670.31096542</v>
      </c>
      <c r="BT240" s="39">
        <f t="shared" ref="BT240:CW240" si="2427">SUM(BT236:BT239)</f>
        <v>601630561.03929448</v>
      </c>
      <c r="BU240" s="39">
        <f t="shared" si="2427"/>
        <v>608344461.14205611</v>
      </c>
      <c r="BV240" s="39">
        <f t="shared" si="2427"/>
        <v>615140328.04992664</v>
      </c>
      <c r="BW240" s="39">
        <f t="shared" si="2427"/>
        <v>622019130.43238115</v>
      </c>
      <c r="BX240" s="39">
        <f t="shared" si="2427"/>
        <v>628981848.32941902</v>
      </c>
      <c r="BY240" s="39">
        <f t="shared" si="2427"/>
        <v>636029473.28483284</v>
      </c>
      <c r="BZ240" s="39">
        <f t="shared" si="2427"/>
        <v>0</v>
      </c>
      <c r="CA240" s="39">
        <f t="shared" si="2427"/>
        <v>0</v>
      </c>
      <c r="CB240" s="39">
        <f t="shared" si="2427"/>
        <v>0</v>
      </c>
      <c r="CC240" s="39">
        <f t="shared" si="2427"/>
        <v>0</v>
      </c>
      <c r="CD240" s="39">
        <f t="shared" si="2427"/>
        <v>0</v>
      </c>
      <c r="CE240" s="39">
        <f t="shared" si="2427"/>
        <v>0</v>
      </c>
      <c r="CF240" s="39">
        <f t="shared" si="2427"/>
        <v>0</v>
      </c>
      <c r="CG240" s="39">
        <f t="shared" si="2427"/>
        <v>0</v>
      </c>
      <c r="CH240" s="39">
        <f t="shared" si="2427"/>
        <v>0</v>
      </c>
      <c r="CI240" s="39">
        <f t="shared" si="2427"/>
        <v>0</v>
      </c>
      <c r="CJ240" s="39">
        <f t="shared" si="2427"/>
        <v>0</v>
      </c>
      <c r="CK240" s="39">
        <f t="shared" si="2427"/>
        <v>0</v>
      </c>
      <c r="CL240" s="39">
        <f t="shared" si="2427"/>
        <v>0</v>
      </c>
      <c r="CM240" s="39">
        <f t="shared" si="2427"/>
        <v>0</v>
      </c>
      <c r="CN240" s="39">
        <f t="shared" si="2427"/>
        <v>0</v>
      </c>
      <c r="CO240" s="39">
        <f t="shared" si="2427"/>
        <v>0</v>
      </c>
      <c r="CP240" s="39">
        <f t="shared" si="2427"/>
        <v>0</v>
      </c>
      <c r="CQ240" s="39">
        <f t="shared" si="2427"/>
        <v>0</v>
      </c>
      <c r="CR240" s="39">
        <f t="shared" si="2427"/>
        <v>0</v>
      </c>
      <c r="CS240" s="39">
        <f t="shared" si="2427"/>
        <v>0</v>
      </c>
      <c r="CT240" s="39">
        <f t="shared" si="2427"/>
        <v>0</v>
      </c>
      <c r="CU240" s="39">
        <f t="shared" si="2427"/>
        <v>0</v>
      </c>
      <c r="CV240" s="39">
        <f t="shared" si="2427"/>
        <v>0</v>
      </c>
      <c r="CW240" s="39">
        <f t="shared" si="2427"/>
        <v>0</v>
      </c>
    </row>
    <row r="241" spans="3:101" outlineLevel="1" x14ac:dyDescent="0.25">
      <c r="C241" s="197"/>
      <c r="D241" s="80"/>
      <c r="E241" s="80"/>
      <c r="F241" s="80"/>
      <c r="G241" s="80"/>
      <c r="H241" s="80"/>
      <c r="I241" s="80"/>
      <c r="J241" s="80"/>
      <c r="K241" s="80"/>
      <c r="L241" s="80"/>
      <c r="M241" s="80"/>
      <c r="N241" s="80"/>
      <c r="O241" s="80"/>
      <c r="P241" s="80"/>
      <c r="Q241" s="80"/>
      <c r="R241" s="80"/>
      <c r="S241" s="80"/>
      <c r="T241" s="80"/>
      <c r="U241" s="80"/>
      <c r="V241" s="80"/>
      <c r="W241" s="80"/>
      <c r="X241" s="80"/>
      <c r="Y241" s="80"/>
      <c r="Z241" s="80"/>
      <c r="AA241" s="80"/>
      <c r="AB241" s="80"/>
      <c r="AC241" s="80"/>
      <c r="AD241" s="80"/>
      <c r="AE241" s="80"/>
      <c r="AF241" s="80"/>
      <c r="AG241" s="80"/>
      <c r="AH241" s="80"/>
      <c r="AI241" s="80"/>
      <c r="AJ241" s="80"/>
      <c r="AK241" s="80"/>
      <c r="AL241" s="80"/>
      <c r="AM241" s="80"/>
      <c r="AN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  <c r="AY241" s="80"/>
      <c r="AZ241" s="80"/>
      <c r="BA241" s="80"/>
      <c r="BB241" s="80"/>
      <c r="BC241" s="80"/>
      <c r="BD241" s="80"/>
      <c r="BE241" s="80"/>
      <c r="BF241" s="80"/>
      <c r="BG241" s="80"/>
      <c r="BH241" s="80"/>
      <c r="BI241" s="80"/>
      <c r="BJ241" s="80"/>
      <c r="BK241" s="80"/>
      <c r="BL241" s="80"/>
      <c r="BM241" s="80"/>
      <c r="BN241" s="80"/>
      <c r="BO241" s="80"/>
      <c r="BP241" s="80"/>
      <c r="BQ241" s="80"/>
      <c r="BR241" s="80"/>
      <c r="BS241" s="80"/>
      <c r="BT241" s="80"/>
      <c r="BU241" s="80"/>
      <c r="BV241" s="80"/>
      <c r="BW241" s="80"/>
      <c r="BX241" s="80"/>
      <c r="BY241" s="80"/>
      <c r="BZ241" s="80"/>
      <c r="CA241" s="80"/>
      <c r="CB241" s="80"/>
      <c r="CC241" s="80"/>
      <c r="CD241" s="80"/>
      <c r="CE241" s="80"/>
      <c r="CF241" s="80"/>
      <c r="CG241" s="80"/>
      <c r="CH241" s="80"/>
      <c r="CI241" s="80"/>
      <c r="CJ241" s="80"/>
      <c r="CK241" s="80"/>
      <c r="CL241" s="80"/>
      <c r="CM241" s="80"/>
      <c r="CN241" s="80"/>
      <c r="CO241" s="80"/>
      <c r="CP241" s="80"/>
      <c r="CQ241" s="80"/>
      <c r="CR241" s="80"/>
      <c r="CS241" s="80"/>
      <c r="CT241" s="80"/>
      <c r="CU241" s="80"/>
      <c r="CV241" s="80"/>
      <c r="CW241" s="80"/>
    </row>
    <row r="242" spans="3:101" outlineLevel="1" x14ac:dyDescent="0.25">
      <c r="C242" s="201" t="s">
        <v>226</v>
      </c>
      <c r="D242" s="152" t="s">
        <v>107</v>
      </c>
      <c r="E242" s="205">
        <f>Tier_1_Investor_Split</f>
        <v>0.875</v>
      </c>
      <c r="F242" s="197">
        <f>MIN(-(F237+F239),F236+F238)*$E242</f>
        <v>-68223750</v>
      </c>
      <c r="G242" s="197">
        <f t="shared" ref="G242:BR242" si="2428">MIN(-(G237+G239),G236+G238)*$E242</f>
        <v>-2205000</v>
      </c>
      <c r="H242" s="197">
        <f t="shared" si="2428"/>
        <v>-3780000</v>
      </c>
      <c r="I242" s="197">
        <f t="shared" si="2428"/>
        <v>-4173750</v>
      </c>
      <c r="J242" s="197">
        <f t="shared" si="2428"/>
        <v>-2598750</v>
      </c>
      <c r="K242" s="197">
        <f t="shared" si="2428"/>
        <v>-68066250</v>
      </c>
      <c r="L242" s="197">
        <f t="shared" si="2428"/>
        <v>-6615000</v>
      </c>
      <c r="M242" s="197">
        <f t="shared" si="2428"/>
        <v>-4882500</v>
      </c>
      <c r="N242" s="197">
        <f t="shared" si="2428"/>
        <v>-5748750</v>
      </c>
      <c r="O242" s="197">
        <f t="shared" si="2428"/>
        <v>-8111250</v>
      </c>
      <c r="P242" s="197">
        <f t="shared" si="2428"/>
        <v>-11655000</v>
      </c>
      <c r="Q242" s="197">
        <f t="shared" si="2428"/>
        <v>-13781250</v>
      </c>
      <c r="R242" s="197">
        <f t="shared" si="2428"/>
        <v>-21656250</v>
      </c>
      <c r="S242" s="197">
        <f t="shared" si="2428"/>
        <v>-24412500.000000004</v>
      </c>
      <c r="T242" s="197">
        <f t="shared" si="2428"/>
        <v>-24885000</v>
      </c>
      <c r="U242" s="197">
        <f t="shared" si="2428"/>
        <v>-36697500</v>
      </c>
      <c r="V242" s="197">
        <f t="shared" si="2428"/>
        <v>-36697500</v>
      </c>
      <c r="W242" s="197">
        <f t="shared" si="2428"/>
        <v>-19142424</v>
      </c>
      <c r="X242" s="197">
        <f t="shared" si="2428"/>
        <v>0</v>
      </c>
      <c r="Y242" s="197">
        <f t="shared" si="2428"/>
        <v>0</v>
      </c>
      <c r="Z242" s="197">
        <f t="shared" si="2428"/>
        <v>0</v>
      </c>
      <c r="AA242" s="197">
        <f t="shared" si="2428"/>
        <v>0</v>
      </c>
      <c r="AB242" s="197">
        <f t="shared" si="2428"/>
        <v>0</v>
      </c>
      <c r="AC242" s="197">
        <f t="shared" si="2428"/>
        <v>0</v>
      </c>
      <c r="AD242" s="197">
        <f t="shared" si="2428"/>
        <v>0</v>
      </c>
      <c r="AE242" s="197">
        <f t="shared" si="2428"/>
        <v>0</v>
      </c>
      <c r="AF242" s="197">
        <f t="shared" si="2428"/>
        <v>0</v>
      </c>
      <c r="AG242" s="197">
        <f t="shared" si="2428"/>
        <v>0</v>
      </c>
      <c r="AH242" s="197">
        <f t="shared" si="2428"/>
        <v>0</v>
      </c>
      <c r="AI242" s="197">
        <f t="shared" si="2428"/>
        <v>0</v>
      </c>
      <c r="AJ242" s="197">
        <f t="shared" si="2428"/>
        <v>0</v>
      </c>
      <c r="AK242" s="197">
        <f t="shared" si="2428"/>
        <v>0</v>
      </c>
      <c r="AL242" s="197">
        <f t="shared" si="2428"/>
        <v>0</v>
      </c>
      <c r="AM242" s="197">
        <f t="shared" si="2428"/>
        <v>0</v>
      </c>
      <c r="AN242" s="197">
        <f t="shared" si="2428"/>
        <v>0</v>
      </c>
      <c r="AO242" s="197">
        <f t="shared" si="2428"/>
        <v>0</v>
      </c>
      <c r="AP242" s="197">
        <f t="shared" si="2428"/>
        <v>0</v>
      </c>
      <c r="AQ242" s="197">
        <f t="shared" si="2428"/>
        <v>0</v>
      </c>
      <c r="AR242" s="197">
        <f t="shared" si="2428"/>
        <v>0</v>
      </c>
      <c r="AS242" s="197">
        <f t="shared" si="2428"/>
        <v>0</v>
      </c>
      <c r="AT242" s="197">
        <f t="shared" si="2428"/>
        <v>0</v>
      </c>
      <c r="AU242" s="197">
        <f t="shared" si="2428"/>
        <v>0</v>
      </c>
      <c r="AV242" s="197">
        <f t="shared" si="2428"/>
        <v>0</v>
      </c>
      <c r="AW242" s="197">
        <f t="shared" si="2428"/>
        <v>0</v>
      </c>
      <c r="AX242" s="197">
        <f t="shared" si="2428"/>
        <v>0</v>
      </c>
      <c r="AY242" s="197">
        <f t="shared" si="2428"/>
        <v>0</v>
      </c>
      <c r="AZ242" s="197">
        <f t="shared" si="2428"/>
        <v>0</v>
      </c>
      <c r="BA242" s="197">
        <f t="shared" si="2428"/>
        <v>171476110.36066127</v>
      </c>
      <c r="BB242" s="197">
        <f t="shared" si="2428"/>
        <v>-3868210.4028361877</v>
      </c>
      <c r="BC242" s="197">
        <f t="shared" si="2428"/>
        <v>-3870811.3631956996</v>
      </c>
      <c r="BD242" s="197">
        <f t="shared" si="2428"/>
        <v>-3873418.6959477467</v>
      </c>
      <c r="BE242" s="197">
        <f t="shared" si="2428"/>
        <v>-3876032.4179775883</v>
      </c>
      <c r="BF242" s="197">
        <f t="shared" si="2428"/>
        <v>-3878652.5462183738</v>
      </c>
      <c r="BG242" s="197">
        <f t="shared" si="2428"/>
        <v>-3881279.0976513005</v>
      </c>
      <c r="BH242" s="197">
        <f t="shared" si="2428"/>
        <v>-1528294.1894813811</v>
      </c>
      <c r="BI242" s="197">
        <f t="shared" si="2428"/>
        <v>-1530933.6384350569</v>
      </c>
      <c r="BJ242" s="197">
        <f t="shared" si="2428"/>
        <v>-1533579.5618141436</v>
      </c>
      <c r="BK242" s="197">
        <f t="shared" si="2428"/>
        <v>227946.70858434797</v>
      </c>
      <c r="BL242" s="197">
        <f t="shared" si="2428"/>
        <v>-1389873.9483775145</v>
      </c>
      <c r="BM242" s="197">
        <f t="shared" si="2428"/>
        <v>222622.33488195698</v>
      </c>
      <c r="BN242" s="197">
        <f t="shared" si="2428"/>
        <v>312476.32732724905</v>
      </c>
      <c r="BO242" s="197">
        <f t="shared" si="2428"/>
        <v>309627.67233843362</v>
      </c>
      <c r="BP242" s="197">
        <f t="shared" si="2428"/>
        <v>306771.77371219994</v>
      </c>
      <c r="BQ242" s="197">
        <f t="shared" si="2428"/>
        <v>303908.61202357896</v>
      </c>
      <c r="BR242" s="197">
        <f t="shared" si="2428"/>
        <v>301038.16779285576</v>
      </c>
      <c r="BS242" s="197">
        <f t="shared" ref="BS242:CW242" si="2429">MIN(-(BS237+BS239),BS236+BS238)*$E242</f>
        <v>298160.42148539028</v>
      </c>
      <c r="BT242" s="197">
        <f t="shared" si="2429"/>
        <v>295275.35351145797</v>
      </c>
      <c r="BU242" s="197">
        <f t="shared" si="2429"/>
        <v>292382.94422610151</v>
      </c>
      <c r="BV242" s="197">
        <f t="shared" si="2429"/>
        <v>289483.17392894946</v>
      </c>
      <c r="BW242" s="197">
        <f t="shared" si="2429"/>
        <v>286576.02286406799</v>
      </c>
      <c r="BX242" s="197">
        <f t="shared" si="2429"/>
        <v>283661.47121978848</v>
      </c>
      <c r="BY242" s="197">
        <f t="shared" si="2429"/>
        <v>280739.49912854418</v>
      </c>
      <c r="BZ242" s="197">
        <f t="shared" si="2429"/>
        <v>563045442.50757492</v>
      </c>
      <c r="CA242" s="197">
        <f t="shared" si="2429"/>
        <v>0</v>
      </c>
      <c r="CB242" s="197">
        <f t="shared" si="2429"/>
        <v>0</v>
      </c>
      <c r="CC242" s="197">
        <f t="shared" si="2429"/>
        <v>0</v>
      </c>
      <c r="CD242" s="197">
        <f t="shared" si="2429"/>
        <v>0</v>
      </c>
      <c r="CE242" s="197">
        <f t="shared" si="2429"/>
        <v>0</v>
      </c>
      <c r="CF242" s="197">
        <f t="shared" si="2429"/>
        <v>0</v>
      </c>
      <c r="CG242" s="197">
        <f t="shared" si="2429"/>
        <v>0</v>
      </c>
      <c r="CH242" s="197">
        <f t="shared" si="2429"/>
        <v>0</v>
      </c>
      <c r="CI242" s="197">
        <f t="shared" si="2429"/>
        <v>0</v>
      </c>
      <c r="CJ242" s="197">
        <f t="shared" si="2429"/>
        <v>0</v>
      </c>
      <c r="CK242" s="197">
        <f t="shared" si="2429"/>
        <v>0</v>
      </c>
      <c r="CL242" s="197">
        <f t="shared" si="2429"/>
        <v>0</v>
      </c>
      <c r="CM242" s="197">
        <f t="shared" si="2429"/>
        <v>0</v>
      </c>
      <c r="CN242" s="197">
        <f t="shared" si="2429"/>
        <v>0</v>
      </c>
      <c r="CO242" s="197">
        <f t="shared" si="2429"/>
        <v>0</v>
      </c>
      <c r="CP242" s="197">
        <f t="shared" si="2429"/>
        <v>0</v>
      </c>
      <c r="CQ242" s="197">
        <f t="shared" si="2429"/>
        <v>0</v>
      </c>
      <c r="CR242" s="197">
        <f t="shared" si="2429"/>
        <v>0</v>
      </c>
      <c r="CS242" s="197">
        <f t="shared" si="2429"/>
        <v>0</v>
      </c>
      <c r="CT242" s="197">
        <f t="shared" si="2429"/>
        <v>0</v>
      </c>
      <c r="CU242" s="197">
        <f t="shared" si="2429"/>
        <v>0</v>
      </c>
      <c r="CV242" s="197">
        <f t="shared" si="2429"/>
        <v>0</v>
      </c>
      <c r="CW242" s="197">
        <f t="shared" si="2429"/>
        <v>0</v>
      </c>
    </row>
    <row r="243" spans="3:101" outlineLevel="1" x14ac:dyDescent="0.25">
      <c r="C243" s="201" t="s">
        <v>227</v>
      </c>
      <c r="D243" s="152" t="s">
        <v>107</v>
      </c>
      <c r="E243" s="210">
        <f>1-E242</f>
        <v>0.125</v>
      </c>
      <c r="F243" s="197">
        <f>+F242/$E242*$E243</f>
        <v>-9746250</v>
      </c>
      <c r="G243" s="197">
        <f t="shared" ref="G243:BR243" si="2430">+G242/$E242*$E243</f>
        <v>-315000</v>
      </c>
      <c r="H243" s="197">
        <f t="shared" si="2430"/>
        <v>-540000</v>
      </c>
      <c r="I243" s="197">
        <f t="shared" si="2430"/>
        <v>-596250</v>
      </c>
      <c r="J243" s="197">
        <f t="shared" si="2430"/>
        <v>-371250</v>
      </c>
      <c r="K243" s="197">
        <f t="shared" si="2430"/>
        <v>-9723750</v>
      </c>
      <c r="L243" s="197">
        <f t="shared" si="2430"/>
        <v>-945000</v>
      </c>
      <c r="M243" s="197">
        <f t="shared" si="2430"/>
        <v>-697500</v>
      </c>
      <c r="N243" s="197">
        <f t="shared" si="2430"/>
        <v>-821250</v>
      </c>
      <c r="O243" s="197">
        <f t="shared" si="2430"/>
        <v>-1158750</v>
      </c>
      <c r="P243" s="197">
        <f t="shared" si="2430"/>
        <v>-1665000</v>
      </c>
      <c r="Q243" s="197">
        <f t="shared" si="2430"/>
        <v>-1968750</v>
      </c>
      <c r="R243" s="197">
        <f t="shared" si="2430"/>
        <v>-3093750</v>
      </c>
      <c r="S243" s="197">
        <f t="shared" si="2430"/>
        <v>-3487500.0000000005</v>
      </c>
      <c r="T243" s="197">
        <f t="shared" si="2430"/>
        <v>-3555000</v>
      </c>
      <c r="U243" s="197">
        <f t="shared" si="2430"/>
        <v>-5242500</v>
      </c>
      <c r="V243" s="197">
        <f t="shared" si="2430"/>
        <v>-5242500</v>
      </c>
      <c r="W243" s="197">
        <f t="shared" si="2430"/>
        <v>-2734632</v>
      </c>
      <c r="X243" s="197">
        <f t="shared" si="2430"/>
        <v>0</v>
      </c>
      <c r="Y243" s="197">
        <f t="shared" si="2430"/>
        <v>0</v>
      </c>
      <c r="Z243" s="197">
        <f t="shared" si="2430"/>
        <v>0</v>
      </c>
      <c r="AA243" s="197">
        <f t="shared" si="2430"/>
        <v>0</v>
      </c>
      <c r="AB243" s="197">
        <f t="shared" si="2430"/>
        <v>0</v>
      </c>
      <c r="AC243" s="197">
        <f t="shared" si="2430"/>
        <v>0</v>
      </c>
      <c r="AD243" s="197">
        <f t="shared" si="2430"/>
        <v>0</v>
      </c>
      <c r="AE243" s="197">
        <f t="shared" si="2430"/>
        <v>0</v>
      </c>
      <c r="AF243" s="197">
        <f t="shared" si="2430"/>
        <v>0</v>
      </c>
      <c r="AG243" s="197">
        <f t="shared" si="2430"/>
        <v>0</v>
      </c>
      <c r="AH243" s="197">
        <f t="shared" si="2430"/>
        <v>0</v>
      </c>
      <c r="AI243" s="197">
        <f t="shared" si="2430"/>
        <v>0</v>
      </c>
      <c r="AJ243" s="197">
        <f t="shared" si="2430"/>
        <v>0</v>
      </c>
      <c r="AK243" s="197">
        <f t="shared" si="2430"/>
        <v>0</v>
      </c>
      <c r="AL243" s="197">
        <f t="shared" si="2430"/>
        <v>0</v>
      </c>
      <c r="AM243" s="197">
        <f t="shared" si="2430"/>
        <v>0</v>
      </c>
      <c r="AN243" s="197">
        <f t="shared" si="2430"/>
        <v>0</v>
      </c>
      <c r="AO243" s="197">
        <f t="shared" si="2430"/>
        <v>0</v>
      </c>
      <c r="AP243" s="197">
        <f t="shared" si="2430"/>
        <v>0</v>
      </c>
      <c r="AQ243" s="197">
        <f t="shared" si="2430"/>
        <v>0</v>
      </c>
      <c r="AR243" s="197">
        <f t="shared" si="2430"/>
        <v>0</v>
      </c>
      <c r="AS243" s="197">
        <f t="shared" si="2430"/>
        <v>0</v>
      </c>
      <c r="AT243" s="197">
        <f t="shared" si="2430"/>
        <v>0</v>
      </c>
      <c r="AU243" s="197">
        <f t="shared" si="2430"/>
        <v>0</v>
      </c>
      <c r="AV243" s="197">
        <f t="shared" si="2430"/>
        <v>0</v>
      </c>
      <c r="AW243" s="197">
        <f t="shared" si="2430"/>
        <v>0</v>
      </c>
      <c r="AX243" s="197">
        <f t="shared" si="2430"/>
        <v>0</v>
      </c>
      <c r="AY243" s="197">
        <f t="shared" si="2430"/>
        <v>0</v>
      </c>
      <c r="AZ243" s="197">
        <f t="shared" si="2430"/>
        <v>0</v>
      </c>
      <c r="BA243" s="197">
        <f t="shared" si="2430"/>
        <v>24496587.194380183</v>
      </c>
      <c r="BB243" s="197">
        <f t="shared" si="2430"/>
        <v>-552601.48611945543</v>
      </c>
      <c r="BC243" s="197">
        <f t="shared" si="2430"/>
        <v>-552973.05188509997</v>
      </c>
      <c r="BD243" s="197">
        <f t="shared" si="2430"/>
        <v>-553345.52799253527</v>
      </c>
      <c r="BE243" s="197">
        <f t="shared" si="2430"/>
        <v>-553718.91685394116</v>
      </c>
      <c r="BF243" s="197">
        <f t="shared" si="2430"/>
        <v>-554093.2208883391</v>
      </c>
      <c r="BG243" s="197">
        <f t="shared" si="2430"/>
        <v>-554468.44252161437</v>
      </c>
      <c r="BH243" s="197">
        <f t="shared" si="2430"/>
        <v>-218327.74135448301</v>
      </c>
      <c r="BI243" s="197">
        <f t="shared" si="2430"/>
        <v>-218704.80549072241</v>
      </c>
      <c r="BJ243" s="197">
        <f t="shared" si="2430"/>
        <v>-219082.79454487766</v>
      </c>
      <c r="BK243" s="197">
        <f t="shared" si="2430"/>
        <v>32563.81551204971</v>
      </c>
      <c r="BL243" s="197">
        <f t="shared" si="2430"/>
        <v>-198553.42119678779</v>
      </c>
      <c r="BM243" s="197">
        <f t="shared" si="2430"/>
        <v>31803.190697422426</v>
      </c>
      <c r="BN243" s="197">
        <f t="shared" si="2430"/>
        <v>44639.47533246415</v>
      </c>
      <c r="BO243" s="197">
        <f t="shared" si="2430"/>
        <v>44232.524619776232</v>
      </c>
      <c r="BP243" s="197">
        <f t="shared" si="2430"/>
        <v>43824.539101742848</v>
      </c>
      <c r="BQ243" s="197">
        <f t="shared" si="2430"/>
        <v>43415.516003368422</v>
      </c>
      <c r="BR243" s="197">
        <f t="shared" si="2430"/>
        <v>43005.452541836537</v>
      </c>
      <c r="BS243" s="197">
        <f t="shared" ref="BS243:CW243" si="2431">+BS242/$E242*$E243</f>
        <v>42594.345926484326</v>
      </c>
      <c r="BT243" s="197">
        <f t="shared" si="2431"/>
        <v>42182.19335877971</v>
      </c>
      <c r="BU243" s="197">
        <f t="shared" si="2431"/>
        <v>41768.992032300215</v>
      </c>
      <c r="BV243" s="197">
        <f t="shared" si="2431"/>
        <v>41354.739132707065</v>
      </c>
      <c r="BW243" s="197">
        <f t="shared" si="2431"/>
        <v>40939.431837723998</v>
      </c>
      <c r="BX243" s="197">
        <f t="shared" si="2431"/>
        <v>40523.06731711264</v>
      </c>
      <c r="BY243" s="197">
        <f t="shared" si="2431"/>
        <v>40105.642732649168</v>
      </c>
      <c r="BZ243" s="197">
        <f t="shared" si="2431"/>
        <v>80435063.215367839</v>
      </c>
      <c r="CA243" s="197">
        <f t="shared" si="2431"/>
        <v>0</v>
      </c>
      <c r="CB243" s="197">
        <f t="shared" si="2431"/>
        <v>0</v>
      </c>
      <c r="CC243" s="197">
        <f t="shared" si="2431"/>
        <v>0</v>
      </c>
      <c r="CD243" s="197">
        <f t="shared" si="2431"/>
        <v>0</v>
      </c>
      <c r="CE243" s="197">
        <f t="shared" si="2431"/>
        <v>0</v>
      </c>
      <c r="CF243" s="197">
        <f t="shared" si="2431"/>
        <v>0</v>
      </c>
      <c r="CG243" s="197">
        <f t="shared" si="2431"/>
        <v>0</v>
      </c>
      <c r="CH243" s="197">
        <f t="shared" si="2431"/>
        <v>0</v>
      </c>
      <c r="CI243" s="197">
        <f t="shared" si="2431"/>
        <v>0</v>
      </c>
      <c r="CJ243" s="197">
        <f t="shared" si="2431"/>
        <v>0</v>
      </c>
      <c r="CK243" s="197">
        <f t="shared" si="2431"/>
        <v>0</v>
      </c>
      <c r="CL243" s="197">
        <f t="shared" si="2431"/>
        <v>0</v>
      </c>
      <c r="CM243" s="197">
        <f t="shared" si="2431"/>
        <v>0</v>
      </c>
      <c r="CN243" s="197">
        <f t="shared" si="2431"/>
        <v>0</v>
      </c>
      <c r="CO243" s="197">
        <f t="shared" si="2431"/>
        <v>0</v>
      </c>
      <c r="CP243" s="197">
        <f t="shared" si="2431"/>
        <v>0</v>
      </c>
      <c r="CQ243" s="197">
        <f t="shared" si="2431"/>
        <v>0</v>
      </c>
      <c r="CR243" s="197">
        <f t="shared" si="2431"/>
        <v>0</v>
      </c>
      <c r="CS243" s="197">
        <f t="shared" si="2431"/>
        <v>0</v>
      </c>
      <c r="CT243" s="197">
        <f t="shared" si="2431"/>
        <v>0</v>
      </c>
      <c r="CU243" s="197">
        <f t="shared" si="2431"/>
        <v>0</v>
      </c>
      <c r="CV243" s="197">
        <f t="shared" si="2431"/>
        <v>0</v>
      </c>
      <c r="CW243" s="197">
        <f t="shared" si="2431"/>
        <v>0</v>
      </c>
    </row>
    <row r="244" spans="3:101" outlineLevel="1" x14ac:dyDescent="0.25">
      <c r="C244" s="197"/>
      <c r="D244" s="80"/>
      <c r="E244" s="80"/>
      <c r="F244" s="197"/>
      <c r="G244" s="197"/>
      <c r="H244" s="197"/>
      <c r="I244" s="197"/>
      <c r="J244" s="197"/>
      <c r="K244" s="197"/>
      <c r="L244" s="197"/>
      <c r="M244" s="197"/>
      <c r="N244" s="197"/>
      <c r="O244" s="197"/>
      <c r="P244" s="197"/>
      <c r="Q244" s="197"/>
      <c r="R244" s="197"/>
      <c r="S244" s="197"/>
      <c r="T244" s="197"/>
      <c r="U244" s="197"/>
      <c r="V244" s="197"/>
      <c r="W244" s="197"/>
      <c r="X244" s="197"/>
      <c r="Y244" s="197"/>
      <c r="Z244" s="197"/>
      <c r="AA244" s="197"/>
      <c r="AB244" s="197"/>
      <c r="AC244" s="197"/>
      <c r="AD244" s="197"/>
      <c r="AE244" s="197"/>
      <c r="AF244" s="197"/>
      <c r="AG244" s="197"/>
      <c r="AH244" s="197"/>
      <c r="AI244" s="197"/>
      <c r="AJ244" s="197"/>
      <c r="AK244" s="197"/>
      <c r="AL244" s="197"/>
      <c r="AM244" s="197"/>
      <c r="AN244" s="197"/>
      <c r="AO244" s="197"/>
      <c r="AP244" s="197"/>
      <c r="AQ244" s="197"/>
      <c r="AR244" s="197"/>
      <c r="AS244" s="197"/>
      <c r="AT244" s="197"/>
      <c r="AU244" s="197"/>
      <c r="AV244" s="197"/>
      <c r="AW244" s="197"/>
      <c r="AX244" s="197"/>
      <c r="AY244" s="197"/>
      <c r="AZ244" s="197"/>
      <c r="BA244" s="197"/>
      <c r="BB244" s="197"/>
      <c r="BC244" s="197"/>
      <c r="BD244" s="197"/>
      <c r="BE244" s="197"/>
      <c r="BF244" s="197"/>
      <c r="BG244" s="197"/>
      <c r="BH244" s="197"/>
      <c r="BI244" s="197"/>
      <c r="BJ244" s="197"/>
      <c r="BK244" s="197"/>
      <c r="BL244" s="197"/>
      <c r="BM244" s="197"/>
      <c r="BN244" s="197"/>
      <c r="BO244" s="197"/>
      <c r="BP244" s="197"/>
      <c r="BQ244" s="197"/>
      <c r="BR244" s="197"/>
      <c r="BS244" s="197"/>
      <c r="BT244" s="197"/>
      <c r="BU244" s="197"/>
      <c r="BV244" s="197"/>
      <c r="BW244" s="197"/>
      <c r="BX244" s="197"/>
      <c r="BY244" s="197"/>
      <c r="BZ244" s="197"/>
      <c r="CA244" s="197"/>
      <c r="CB244" s="197"/>
      <c r="CC244" s="197"/>
      <c r="CD244" s="197"/>
      <c r="CE244" s="197"/>
      <c r="CF244" s="197"/>
      <c r="CG244" s="197"/>
      <c r="CH244" s="197"/>
      <c r="CI244" s="197"/>
      <c r="CJ244" s="197"/>
      <c r="CK244" s="197"/>
      <c r="CL244" s="197"/>
      <c r="CM244" s="197"/>
      <c r="CN244" s="197"/>
      <c r="CO244" s="197"/>
      <c r="CP244" s="197"/>
      <c r="CQ244" s="197"/>
      <c r="CR244" s="197"/>
      <c r="CS244" s="197"/>
      <c r="CT244" s="197"/>
      <c r="CU244" s="197"/>
      <c r="CV244" s="197"/>
      <c r="CW244" s="197"/>
    </row>
    <row r="245" spans="3:101" outlineLevel="1" x14ac:dyDescent="0.25">
      <c r="C245" s="202" t="s">
        <v>228</v>
      </c>
      <c r="D245" s="152" t="s">
        <v>107</v>
      </c>
      <c r="E245" s="197"/>
      <c r="F245" s="82">
        <f>IF(F242&lt;0,0,+F233-SUM(F242:F243))</f>
        <v>0</v>
      </c>
      <c r="G245" s="82">
        <f t="shared" ref="G245:BR245" si="2432">IF(G242&lt;0,0,+G233-SUM(G242:G243))</f>
        <v>0</v>
      </c>
      <c r="H245" s="82">
        <f t="shared" si="2432"/>
        <v>0</v>
      </c>
      <c r="I245" s="82">
        <f t="shared" si="2432"/>
        <v>0</v>
      </c>
      <c r="J245" s="82">
        <f t="shared" si="2432"/>
        <v>0</v>
      </c>
      <c r="K245" s="82">
        <f t="shared" si="2432"/>
        <v>0</v>
      </c>
      <c r="L245" s="82">
        <f t="shared" si="2432"/>
        <v>0</v>
      </c>
      <c r="M245" s="82">
        <f t="shared" si="2432"/>
        <v>0</v>
      </c>
      <c r="N245" s="82">
        <f t="shared" si="2432"/>
        <v>0</v>
      </c>
      <c r="O245" s="82">
        <f t="shared" si="2432"/>
        <v>0</v>
      </c>
      <c r="P245" s="82">
        <f t="shared" si="2432"/>
        <v>0</v>
      </c>
      <c r="Q245" s="82">
        <f t="shared" si="2432"/>
        <v>0</v>
      </c>
      <c r="R245" s="82">
        <f t="shared" si="2432"/>
        <v>0</v>
      </c>
      <c r="S245" s="82">
        <f t="shared" si="2432"/>
        <v>0</v>
      </c>
      <c r="T245" s="82">
        <f t="shared" si="2432"/>
        <v>0</v>
      </c>
      <c r="U245" s="82">
        <f t="shared" si="2432"/>
        <v>0</v>
      </c>
      <c r="V245" s="82">
        <f t="shared" si="2432"/>
        <v>0</v>
      </c>
      <c r="W245" s="82">
        <f t="shared" si="2432"/>
        <v>0</v>
      </c>
      <c r="X245" s="82">
        <f t="shared" si="2432"/>
        <v>0</v>
      </c>
      <c r="Y245" s="82">
        <f t="shared" si="2432"/>
        <v>0</v>
      </c>
      <c r="Z245" s="82">
        <f t="shared" si="2432"/>
        <v>0</v>
      </c>
      <c r="AA245" s="82">
        <f t="shared" si="2432"/>
        <v>0</v>
      </c>
      <c r="AB245" s="82">
        <f t="shared" si="2432"/>
        <v>0</v>
      </c>
      <c r="AC245" s="82">
        <f t="shared" si="2432"/>
        <v>0</v>
      </c>
      <c r="AD245" s="82">
        <f t="shared" si="2432"/>
        <v>0</v>
      </c>
      <c r="AE245" s="82">
        <f t="shared" si="2432"/>
        <v>0</v>
      </c>
      <c r="AF245" s="82">
        <f t="shared" si="2432"/>
        <v>0</v>
      </c>
      <c r="AG245" s="82">
        <f t="shared" si="2432"/>
        <v>0</v>
      </c>
      <c r="AH245" s="82">
        <f t="shared" si="2432"/>
        <v>0</v>
      </c>
      <c r="AI245" s="82">
        <f t="shared" si="2432"/>
        <v>0</v>
      </c>
      <c r="AJ245" s="82">
        <f t="shared" si="2432"/>
        <v>0</v>
      </c>
      <c r="AK245" s="82">
        <f t="shared" si="2432"/>
        <v>0</v>
      </c>
      <c r="AL245" s="82">
        <f t="shared" si="2432"/>
        <v>0</v>
      </c>
      <c r="AM245" s="82">
        <f t="shared" si="2432"/>
        <v>0</v>
      </c>
      <c r="AN245" s="82">
        <f t="shared" si="2432"/>
        <v>0</v>
      </c>
      <c r="AO245" s="82">
        <f t="shared" si="2432"/>
        <v>0</v>
      </c>
      <c r="AP245" s="82">
        <f t="shared" si="2432"/>
        <v>0</v>
      </c>
      <c r="AQ245" s="82">
        <f t="shared" si="2432"/>
        <v>0</v>
      </c>
      <c r="AR245" s="82">
        <f t="shared" si="2432"/>
        <v>0</v>
      </c>
      <c r="AS245" s="82">
        <f t="shared" si="2432"/>
        <v>0</v>
      </c>
      <c r="AT245" s="82">
        <f t="shared" si="2432"/>
        <v>0</v>
      </c>
      <c r="AU245" s="82">
        <f t="shared" si="2432"/>
        <v>0</v>
      </c>
      <c r="AV245" s="82">
        <f t="shared" si="2432"/>
        <v>0</v>
      </c>
      <c r="AW245" s="82">
        <f t="shared" si="2432"/>
        <v>0</v>
      </c>
      <c r="AX245" s="82">
        <f t="shared" si="2432"/>
        <v>0</v>
      </c>
      <c r="AY245" s="82">
        <f t="shared" si="2432"/>
        <v>0</v>
      </c>
      <c r="AZ245" s="82">
        <f t="shared" si="2432"/>
        <v>0</v>
      </c>
      <c r="BA245" s="82">
        <f t="shared" si="2432"/>
        <v>-2.9802322387695313E-8</v>
      </c>
      <c r="BB245" s="82">
        <f t="shared" si="2432"/>
        <v>0</v>
      </c>
      <c r="BC245" s="82">
        <f t="shared" si="2432"/>
        <v>0</v>
      </c>
      <c r="BD245" s="82">
        <f t="shared" si="2432"/>
        <v>0</v>
      </c>
      <c r="BE245" s="82">
        <f t="shared" si="2432"/>
        <v>0</v>
      </c>
      <c r="BF245" s="82">
        <f t="shared" si="2432"/>
        <v>0</v>
      </c>
      <c r="BG245" s="82">
        <f t="shared" si="2432"/>
        <v>0</v>
      </c>
      <c r="BH245" s="82">
        <f t="shared" si="2432"/>
        <v>0</v>
      </c>
      <c r="BI245" s="82">
        <f t="shared" si="2432"/>
        <v>0</v>
      </c>
      <c r="BJ245" s="82">
        <f t="shared" si="2432"/>
        <v>0</v>
      </c>
      <c r="BK245" s="82">
        <f t="shared" si="2432"/>
        <v>0</v>
      </c>
      <c r="BL245" s="82">
        <f t="shared" si="2432"/>
        <v>0</v>
      </c>
      <c r="BM245" s="82">
        <f t="shared" si="2432"/>
        <v>0</v>
      </c>
      <c r="BN245" s="82">
        <f t="shared" si="2432"/>
        <v>0</v>
      </c>
      <c r="BO245" s="82">
        <f t="shared" si="2432"/>
        <v>0</v>
      </c>
      <c r="BP245" s="82">
        <f t="shared" si="2432"/>
        <v>0</v>
      </c>
      <c r="BQ245" s="82">
        <f t="shared" si="2432"/>
        <v>0</v>
      </c>
      <c r="BR245" s="82">
        <f t="shared" si="2432"/>
        <v>0</v>
      </c>
      <c r="BS245" s="82">
        <f t="shared" ref="BS245:CW245" si="2433">IF(BS242&lt;0,0,+BS233-SUM(BS242:BS243))</f>
        <v>0</v>
      </c>
      <c r="BT245" s="82">
        <f t="shared" si="2433"/>
        <v>0</v>
      </c>
      <c r="BU245" s="82">
        <f t="shared" si="2433"/>
        <v>0</v>
      </c>
      <c r="BV245" s="82">
        <f t="shared" si="2433"/>
        <v>0</v>
      </c>
      <c r="BW245" s="82">
        <f t="shared" si="2433"/>
        <v>0</v>
      </c>
      <c r="BX245" s="82">
        <f t="shared" si="2433"/>
        <v>0</v>
      </c>
      <c r="BY245" s="82">
        <f t="shared" si="2433"/>
        <v>0</v>
      </c>
      <c r="BZ245" s="82">
        <f t="shared" si="2433"/>
        <v>154238380.70171523</v>
      </c>
      <c r="CA245" s="82">
        <f t="shared" si="2433"/>
        <v>0</v>
      </c>
      <c r="CB245" s="82">
        <f t="shared" si="2433"/>
        <v>0</v>
      </c>
      <c r="CC245" s="82">
        <f t="shared" si="2433"/>
        <v>0</v>
      </c>
      <c r="CD245" s="82">
        <f t="shared" si="2433"/>
        <v>0</v>
      </c>
      <c r="CE245" s="82">
        <f t="shared" si="2433"/>
        <v>0</v>
      </c>
      <c r="CF245" s="82">
        <f t="shared" si="2433"/>
        <v>0</v>
      </c>
      <c r="CG245" s="82">
        <f t="shared" si="2433"/>
        <v>0</v>
      </c>
      <c r="CH245" s="82">
        <f t="shared" si="2433"/>
        <v>0</v>
      </c>
      <c r="CI245" s="82">
        <f t="shared" si="2433"/>
        <v>0</v>
      </c>
      <c r="CJ245" s="82">
        <f t="shared" si="2433"/>
        <v>0</v>
      </c>
      <c r="CK245" s="82">
        <f t="shared" si="2433"/>
        <v>0</v>
      </c>
      <c r="CL245" s="82">
        <f t="shared" si="2433"/>
        <v>0</v>
      </c>
      <c r="CM245" s="82">
        <f t="shared" si="2433"/>
        <v>0</v>
      </c>
      <c r="CN245" s="82">
        <f t="shared" si="2433"/>
        <v>0</v>
      </c>
      <c r="CO245" s="82">
        <f t="shared" si="2433"/>
        <v>0</v>
      </c>
      <c r="CP245" s="82">
        <f t="shared" si="2433"/>
        <v>0</v>
      </c>
      <c r="CQ245" s="82">
        <f t="shared" si="2433"/>
        <v>0</v>
      </c>
      <c r="CR245" s="82">
        <f t="shared" si="2433"/>
        <v>0</v>
      </c>
      <c r="CS245" s="82">
        <f t="shared" si="2433"/>
        <v>0</v>
      </c>
      <c r="CT245" s="82">
        <f t="shared" si="2433"/>
        <v>0</v>
      </c>
      <c r="CU245" s="82">
        <f t="shared" si="2433"/>
        <v>0</v>
      </c>
      <c r="CV245" s="82">
        <f t="shared" si="2433"/>
        <v>0</v>
      </c>
      <c r="CW245" s="82">
        <f t="shared" si="2433"/>
        <v>0</v>
      </c>
    </row>
    <row r="246" spans="3:101" outlineLevel="1" x14ac:dyDescent="0.25">
      <c r="C246" s="197"/>
      <c r="D246" s="80"/>
      <c r="E246" s="80"/>
      <c r="F246" s="207"/>
      <c r="G246" s="197"/>
      <c r="H246" s="197"/>
      <c r="I246" s="197"/>
      <c r="J246" s="197"/>
      <c r="K246" s="197"/>
      <c r="L246" s="197"/>
      <c r="M246" s="197"/>
      <c r="N246" s="197"/>
      <c r="O246" s="197"/>
      <c r="P246" s="197"/>
      <c r="Q246" s="197"/>
      <c r="R246" s="197"/>
      <c r="S246" s="197"/>
      <c r="T246" s="197"/>
      <c r="U246" s="197"/>
      <c r="V246" s="197"/>
      <c r="W246" s="197"/>
      <c r="X246" s="197"/>
      <c r="Y246" s="197"/>
      <c r="Z246" s="197"/>
      <c r="AA246" s="197"/>
      <c r="AB246" s="197"/>
      <c r="AC246" s="197"/>
      <c r="AD246" s="197"/>
      <c r="AE246" s="197"/>
      <c r="AF246" s="197"/>
      <c r="AG246" s="197"/>
      <c r="AH246" s="197"/>
      <c r="AI246" s="197"/>
      <c r="AJ246" s="197"/>
      <c r="AK246" s="197"/>
      <c r="AL246" s="197"/>
      <c r="AM246" s="197"/>
      <c r="AN246" s="197"/>
      <c r="AO246" s="197"/>
      <c r="AP246" s="197"/>
      <c r="AQ246" s="197"/>
      <c r="AR246" s="197"/>
      <c r="AS246" s="197"/>
      <c r="AT246" s="197"/>
      <c r="AU246" s="197"/>
      <c r="AV246" s="197"/>
      <c r="AW246" s="197"/>
      <c r="AX246" s="197"/>
      <c r="AY246" s="197"/>
      <c r="AZ246" s="197"/>
      <c r="BA246" s="197"/>
      <c r="BB246" s="197"/>
      <c r="BC246" s="197"/>
      <c r="BD246" s="197"/>
      <c r="BE246" s="197"/>
      <c r="BF246" s="197"/>
      <c r="BG246" s="197"/>
      <c r="BH246" s="197"/>
      <c r="BI246" s="197"/>
      <c r="BJ246" s="197"/>
      <c r="BK246" s="197"/>
      <c r="BL246" s="197"/>
      <c r="BM246" s="197"/>
      <c r="BN246" s="197"/>
      <c r="BO246" s="197"/>
      <c r="BP246" s="197"/>
      <c r="BQ246" s="197"/>
      <c r="BR246" s="197"/>
      <c r="BS246" s="197"/>
      <c r="BT246" s="197"/>
      <c r="BU246" s="197"/>
      <c r="BV246" s="197"/>
      <c r="BW246" s="197"/>
      <c r="BX246" s="197"/>
      <c r="BY246" s="197"/>
      <c r="BZ246" s="197"/>
      <c r="CA246" s="197"/>
      <c r="CB246" s="197"/>
      <c r="CC246" s="197"/>
      <c r="CD246" s="197"/>
      <c r="CE246" s="197"/>
      <c r="CF246" s="197"/>
      <c r="CG246" s="197"/>
      <c r="CH246" s="197"/>
      <c r="CI246" s="197"/>
      <c r="CJ246" s="197"/>
      <c r="CK246" s="197"/>
      <c r="CL246" s="197"/>
      <c r="CM246" s="197"/>
      <c r="CN246" s="197"/>
      <c r="CO246" s="197"/>
      <c r="CP246" s="197"/>
      <c r="CQ246" s="197"/>
      <c r="CR246" s="197"/>
      <c r="CS246" s="197"/>
      <c r="CT246" s="197"/>
      <c r="CU246" s="197"/>
      <c r="CV246" s="197"/>
      <c r="CW246" s="197"/>
    </row>
    <row r="247" spans="3:101" outlineLevel="1" x14ac:dyDescent="0.25">
      <c r="C247" s="198" t="str">
        <f>"Tier 2 - "&amp;TEXT(Tier_2_IRR_Min,"0.0%")&amp;" IRR to "&amp;TEXT(Tier_2_IRR_Max,"0.0x")&amp;" Multiple:"</f>
        <v>Tier 2 - 15.0% IRR to 2.0x Multiple:</v>
      </c>
      <c r="D247" s="198"/>
      <c r="E247" s="198"/>
      <c r="F247" s="198"/>
      <c r="G247" s="198"/>
      <c r="H247" s="198"/>
      <c r="I247" s="198"/>
      <c r="J247" s="198"/>
      <c r="K247" s="198"/>
      <c r="L247" s="198"/>
      <c r="M247" s="198"/>
      <c r="N247" s="198"/>
      <c r="O247" s="198"/>
      <c r="P247" s="198"/>
      <c r="Q247" s="198"/>
      <c r="R247" s="198"/>
      <c r="S247" s="198"/>
      <c r="T247" s="198"/>
      <c r="U247" s="198"/>
      <c r="V247" s="198"/>
      <c r="W247" s="198"/>
      <c r="X247" s="198"/>
      <c r="Y247" s="198"/>
      <c r="Z247" s="198"/>
      <c r="AA247" s="198"/>
      <c r="AB247" s="198"/>
      <c r="AC247" s="198"/>
      <c r="AD247" s="198"/>
      <c r="AE247" s="198"/>
      <c r="AF247" s="198"/>
      <c r="AG247" s="198"/>
      <c r="AH247" s="198"/>
      <c r="AI247" s="198"/>
      <c r="AJ247" s="198"/>
      <c r="AK247" s="198"/>
      <c r="AL247" s="198"/>
      <c r="AM247" s="198"/>
      <c r="AN247" s="198"/>
      <c r="AO247" s="198"/>
      <c r="AP247" s="198"/>
      <c r="AQ247" s="198"/>
      <c r="AR247" s="198"/>
      <c r="AS247" s="198"/>
      <c r="AT247" s="198"/>
      <c r="AU247" s="198"/>
      <c r="AV247" s="198"/>
      <c r="AW247" s="198"/>
      <c r="AX247" s="198"/>
      <c r="AY247" s="198"/>
      <c r="AZ247" s="198"/>
      <c r="BA247" s="198"/>
      <c r="BB247" s="198"/>
      <c r="BC247" s="198"/>
      <c r="BD247" s="198"/>
      <c r="BE247" s="198"/>
      <c r="BF247" s="198"/>
      <c r="BG247" s="198"/>
      <c r="BH247" s="198"/>
      <c r="BI247" s="198"/>
      <c r="BJ247" s="198"/>
      <c r="BK247" s="198"/>
      <c r="BL247" s="198"/>
      <c r="BM247" s="198"/>
      <c r="BN247" s="198"/>
      <c r="BO247" s="198"/>
      <c r="BP247" s="198"/>
      <c r="BQ247" s="198"/>
      <c r="BR247" s="198"/>
      <c r="BS247" s="198"/>
      <c r="BT247" s="198"/>
      <c r="BU247" s="198"/>
      <c r="BV247" s="198"/>
      <c r="BW247" s="198"/>
      <c r="BX247" s="198"/>
      <c r="BY247" s="198"/>
      <c r="BZ247" s="198"/>
      <c r="CA247" s="198"/>
      <c r="CB247" s="198"/>
      <c r="CC247" s="198"/>
      <c r="CD247" s="198"/>
      <c r="CE247" s="198"/>
      <c r="CF247" s="198"/>
      <c r="CG247" s="198"/>
      <c r="CH247" s="198"/>
      <c r="CI247" s="198"/>
      <c r="CJ247" s="198"/>
      <c r="CK247" s="198"/>
      <c r="CL247" s="198"/>
      <c r="CM247" s="198"/>
      <c r="CN247" s="198"/>
      <c r="CO247" s="198"/>
      <c r="CP247" s="198"/>
      <c r="CQ247" s="198"/>
      <c r="CR247" s="198"/>
      <c r="CS247" s="198"/>
      <c r="CT247" s="198"/>
      <c r="CU247" s="198"/>
      <c r="CV247" s="198"/>
      <c r="CW247" s="198"/>
    </row>
    <row r="248" spans="3:101" outlineLevel="1" x14ac:dyDescent="0.25">
      <c r="C248" s="81" t="s">
        <v>221</v>
      </c>
      <c r="D248" s="152" t="s">
        <v>107</v>
      </c>
      <c r="E248" s="80"/>
      <c r="F248" s="28">
        <v>0</v>
      </c>
      <c r="G248" s="197">
        <f>+F253</f>
        <v>155940000</v>
      </c>
      <c r="H248" s="197">
        <f t="shared" ref="H248:BS248" si="2434">+G253</f>
        <v>160980000</v>
      </c>
      <c r="I248" s="197">
        <f t="shared" si="2434"/>
        <v>169620000</v>
      </c>
      <c r="J248" s="197">
        <f t="shared" si="2434"/>
        <v>179160000</v>
      </c>
      <c r="K248" s="197">
        <f t="shared" si="2434"/>
        <v>185100000</v>
      </c>
      <c r="L248" s="197">
        <f t="shared" si="2434"/>
        <v>340680000</v>
      </c>
      <c r="M248" s="197">
        <f t="shared" si="2434"/>
        <v>355800000</v>
      </c>
      <c r="N248" s="197">
        <f t="shared" si="2434"/>
        <v>366960000</v>
      </c>
      <c r="O248" s="197">
        <f t="shared" si="2434"/>
        <v>380100000</v>
      </c>
      <c r="P248" s="197">
        <f t="shared" si="2434"/>
        <v>398640000</v>
      </c>
      <c r="Q248" s="197">
        <f t="shared" si="2434"/>
        <v>425280000</v>
      </c>
      <c r="R248" s="197">
        <f t="shared" si="2434"/>
        <v>456780000</v>
      </c>
      <c r="S248" s="197">
        <f t="shared" si="2434"/>
        <v>506280000</v>
      </c>
      <c r="T248" s="197">
        <f t="shared" si="2434"/>
        <v>562080000</v>
      </c>
      <c r="U248" s="197">
        <f t="shared" si="2434"/>
        <v>618960000</v>
      </c>
      <c r="V248" s="197">
        <f t="shared" si="2434"/>
        <v>702840000</v>
      </c>
      <c r="W248" s="197">
        <f t="shared" si="2434"/>
        <v>786720000</v>
      </c>
      <c r="X248" s="197">
        <f t="shared" si="2434"/>
        <v>830474112</v>
      </c>
      <c r="Y248" s="197">
        <f t="shared" si="2434"/>
        <v>830474112</v>
      </c>
      <c r="Z248" s="197">
        <f t="shared" si="2434"/>
        <v>830474112</v>
      </c>
      <c r="AA248" s="197">
        <f t="shared" si="2434"/>
        <v>830474112</v>
      </c>
      <c r="AB248" s="197">
        <f t="shared" si="2434"/>
        <v>830474112</v>
      </c>
      <c r="AC248" s="197">
        <f t="shared" si="2434"/>
        <v>830474112</v>
      </c>
      <c r="AD248" s="197">
        <f t="shared" si="2434"/>
        <v>830474112</v>
      </c>
      <c r="AE248" s="197">
        <f t="shared" si="2434"/>
        <v>830474112</v>
      </c>
      <c r="AF248" s="197">
        <f t="shared" si="2434"/>
        <v>830474112</v>
      </c>
      <c r="AG248" s="197">
        <f t="shared" si="2434"/>
        <v>830474112</v>
      </c>
      <c r="AH248" s="197">
        <f t="shared" si="2434"/>
        <v>830474112</v>
      </c>
      <c r="AI248" s="197">
        <f t="shared" si="2434"/>
        <v>830474112</v>
      </c>
      <c r="AJ248" s="197">
        <f t="shared" si="2434"/>
        <v>830474112</v>
      </c>
      <c r="AK248" s="197">
        <f t="shared" si="2434"/>
        <v>830474112</v>
      </c>
      <c r="AL248" s="197">
        <f t="shared" si="2434"/>
        <v>830474112</v>
      </c>
      <c r="AM248" s="197">
        <f t="shared" si="2434"/>
        <v>830474112</v>
      </c>
      <c r="AN248" s="197">
        <f t="shared" si="2434"/>
        <v>830474112</v>
      </c>
      <c r="AO248" s="197">
        <f t="shared" si="2434"/>
        <v>830474112</v>
      </c>
      <c r="AP248" s="197">
        <f t="shared" si="2434"/>
        <v>830474112</v>
      </c>
      <c r="AQ248" s="197">
        <f t="shared" si="2434"/>
        <v>830474112</v>
      </c>
      <c r="AR248" s="197">
        <f t="shared" si="2434"/>
        <v>830474112</v>
      </c>
      <c r="AS248" s="197">
        <f t="shared" si="2434"/>
        <v>830474112</v>
      </c>
      <c r="AT248" s="197">
        <f t="shared" si="2434"/>
        <v>830474112</v>
      </c>
      <c r="AU248" s="197">
        <f t="shared" si="2434"/>
        <v>830474112</v>
      </c>
      <c r="AV248" s="197">
        <f t="shared" si="2434"/>
        <v>830474112</v>
      </c>
      <c r="AW248" s="197">
        <f t="shared" si="2434"/>
        <v>830474112</v>
      </c>
      <c r="AX248" s="197">
        <f t="shared" si="2434"/>
        <v>830474112</v>
      </c>
      <c r="AY248" s="197">
        <f t="shared" si="2434"/>
        <v>830474112</v>
      </c>
      <c r="AZ248" s="197">
        <f t="shared" si="2434"/>
        <v>830474112</v>
      </c>
      <c r="BA248" s="197">
        <f t="shared" si="2434"/>
        <v>830474112</v>
      </c>
      <c r="BB248" s="197">
        <f t="shared" si="2434"/>
        <v>634501414.44495857</v>
      </c>
      <c r="BC248" s="197">
        <f t="shared" si="2434"/>
        <v>643343038.22286975</v>
      </c>
      <c r="BD248" s="197">
        <f t="shared" si="2434"/>
        <v>652190607.05303133</v>
      </c>
      <c r="BE248" s="197">
        <f t="shared" si="2434"/>
        <v>661044135.50091183</v>
      </c>
      <c r="BF248" s="197">
        <f t="shared" si="2434"/>
        <v>669903638.17057478</v>
      </c>
      <c r="BG248" s="197">
        <f t="shared" si="2434"/>
        <v>678769129.70478833</v>
      </c>
      <c r="BH248" s="197">
        <f t="shared" si="2434"/>
        <v>687640624.7851342</v>
      </c>
      <c r="BI248" s="197">
        <f t="shared" si="2434"/>
        <v>691133868.64680588</v>
      </c>
      <c r="BJ248" s="197">
        <f t="shared" si="2434"/>
        <v>694633145.53465736</v>
      </c>
      <c r="BK248" s="197">
        <f t="shared" si="2434"/>
        <v>698138470.24737537</v>
      </c>
      <c r="BL248" s="197">
        <f t="shared" si="2434"/>
        <v>697877959.723279</v>
      </c>
      <c r="BM248" s="197">
        <f t="shared" si="2434"/>
        <v>701054814.46242762</v>
      </c>
      <c r="BN248" s="197">
        <f t="shared" si="2434"/>
        <v>700800388.93684828</v>
      </c>
      <c r="BO248" s="197">
        <f t="shared" si="2434"/>
        <v>700443273.13418853</v>
      </c>
      <c r="BP248" s="197">
        <f t="shared" si="2434"/>
        <v>700089412.93723035</v>
      </c>
      <c r="BQ248" s="197">
        <f t="shared" si="2434"/>
        <v>699738816.62441635</v>
      </c>
      <c r="BR248" s="197">
        <f t="shared" si="2434"/>
        <v>699391492.49638939</v>
      </c>
      <c r="BS248" s="197">
        <f t="shared" si="2434"/>
        <v>699047448.87605464</v>
      </c>
      <c r="BT248" s="197">
        <f t="shared" ref="BT248:CW248" si="2435">+BS253</f>
        <v>698706694.10864282</v>
      </c>
      <c r="BU248" s="197">
        <f t="shared" si="2435"/>
        <v>698369236.56177258</v>
      </c>
      <c r="BV248" s="197">
        <f t="shared" si="2435"/>
        <v>698035084.62551415</v>
      </c>
      <c r="BW248" s="197">
        <f t="shared" si="2435"/>
        <v>697704246.71245253</v>
      </c>
      <c r="BX248" s="197">
        <f t="shared" si="2435"/>
        <v>697376731.25775075</v>
      </c>
      <c r="BY248" s="197">
        <f t="shared" si="2435"/>
        <v>697052546.71921384</v>
      </c>
      <c r="BZ248" s="197">
        <f t="shared" si="2435"/>
        <v>696731701.57735264</v>
      </c>
      <c r="CA248" s="197">
        <f t="shared" si="2435"/>
        <v>0</v>
      </c>
      <c r="CB248" s="197">
        <f t="shared" si="2435"/>
        <v>0</v>
      </c>
      <c r="CC248" s="197">
        <f t="shared" si="2435"/>
        <v>0</v>
      </c>
      <c r="CD248" s="197">
        <f t="shared" si="2435"/>
        <v>0</v>
      </c>
      <c r="CE248" s="197">
        <f t="shared" si="2435"/>
        <v>0</v>
      </c>
      <c r="CF248" s="197">
        <f t="shared" si="2435"/>
        <v>0</v>
      </c>
      <c r="CG248" s="197">
        <f t="shared" si="2435"/>
        <v>0</v>
      </c>
      <c r="CH248" s="197">
        <f t="shared" si="2435"/>
        <v>0</v>
      </c>
      <c r="CI248" s="197">
        <f t="shared" si="2435"/>
        <v>0</v>
      </c>
      <c r="CJ248" s="197">
        <f t="shared" si="2435"/>
        <v>0</v>
      </c>
      <c r="CK248" s="197">
        <f t="shared" si="2435"/>
        <v>0</v>
      </c>
      <c r="CL248" s="197">
        <f t="shared" si="2435"/>
        <v>0</v>
      </c>
      <c r="CM248" s="197">
        <f t="shared" si="2435"/>
        <v>0</v>
      </c>
      <c r="CN248" s="197">
        <f t="shared" si="2435"/>
        <v>0</v>
      </c>
      <c r="CO248" s="197">
        <f t="shared" si="2435"/>
        <v>0</v>
      </c>
      <c r="CP248" s="197">
        <f t="shared" si="2435"/>
        <v>0</v>
      </c>
      <c r="CQ248" s="197">
        <f t="shared" si="2435"/>
        <v>0</v>
      </c>
      <c r="CR248" s="197">
        <f t="shared" si="2435"/>
        <v>0</v>
      </c>
      <c r="CS248" s="197">
        <f t="shared" si="2435"/>
        <v>0</v>
      </c>
      <c r="CT248" s="197">
        <f t="shared" si="2435"/>
        <v>0</v>
      </c>
      <c r="CU248" s="197">
        <f t="shared" si="2435"/>
        <v>0</v>
      </c>
      <c r="CV248" s="197">
        <f t="shared" si="2435"/>
        <v>0</v>
      </c>
      <c r="CW248" s="197">
        <f t="shared" si="2435"/>
        <v>0</v>
      </c>
    </row>
    <row r="249" spans="3:101" outlineLevel="1" x14ac:dyDescent="0.25">
      <c r="C249" s="81" t="s">
        <v>222</v>
      </c>
      <c r="D249" s="152" t="s">
        <v>107</v>
      </c>
      <c r="E249" s="80"/>
      <c r="F249" s="197">
        <f>+F237</f>
        <v>77970000</v>
      </c>
      <c r="G249" s="197">
        <f t="shared" ref="G249:BR249" si="2436">+G237</f>
        <v>2520000</v>
      </c>
      <c r="H249" s="197">
        <f t="shared" si="2436"/>
        <v>4320000</v>
      </c>
      <c r="I249" s="197">
        <f t="shared" si="2436"/>
        <v>4770000</v>
      </c>
      <c r="J249" s="197">
        <f t="shared" si="2436"/>
        <v>2970000</v>
      </c>
      <c r="K249" s="197">
        <f t="shared" si="2436"/>
        <v>77790000</v>
      </c>
      <c r="L249" s="197">
        <f t="shared" si="2436"/>
        <v>7560000</v>
      </c>
      <c r="M249" s="197">
        <f t="shared" si="2436"/>
        <v>5580000</v>
      </c>
      <c r="N249" s="197">
        <f t="shared" si="2436"/>
        <v>6570000</v>
      </c>
      <c r="O249" s="197">
        <f t="shared" si="2436"/>
        <v>9270000</v>
      </c>
      <c r="P249" s="197">
        <f t="shared" si="2436"/>
        <v>13320000</v>
      </c>
      <c r="Q249" s="197">
        <f t="shared" si="2436"/>
        <v>15750000</v>
      </c>
      <c r="R249" s="197">
        <f t="shared" si="2436"/>
        <v>24750000</v>
      </c>
      <c r="S249" s="197">
        <f t="shared" si="2436"/>
        <v>27900000.000000004</v>
      </c>
      <c r="T249" s="197">
        <f t="shared" si="2436"/>
        <v>28440000</v>
      </c>
      <c r="U249" s="197">
        <f t="shared" si="2436"/>
        <v>41940000</v>
      </c>
      <c r="V249" s="197">
        <f t="shared" si="2436"/>
        <v>41940000</v>
      </c>
      <c r="W249" s="197">
        <f t="shared" si="2436"/>
        <v>21877056</v>
      </c>
      <c r="X249" s="197">
        <f t="shared" si="2436"/>
        <v>0</v>
      </c>
      <c r="Y249" s="197">
        <f t="shared" si="2436"/>
        <v>0</v>
      </c>
      <c r="Z249" s="197">
        <f t="shared" si="2436"/>
        <v>0</v>
      </c>
      <c r="AA249" s="197">
        <f t="shared" si="2436"/>
        <v>0</v>
      </c>
      <c r="AB249" s="197">
        <f t="shared" si="2436"/>
        <v>0</v>
      </c>
      <c r="AC249" s="197">
        <f t="shared" si="2436"/>
        <v>0</v>
      </c>
      <c r="AD249" s="197">
        <f t="shared" si="2436"/>
        <v>0</v>
      </c>
      <c r="AE249" s="197">
        <f t="shared" si="2436"/>
        <v>0</v>
      </c>
      <c r="AF249" s="197">
        <f t="shared" si="2436"/>
        <v>0</v>
      </c>
      <c r="AG249" s="197">
        <f t="shared" si="2436"/>
        <v>0</v>
      </c>
      <c r="AH249" s="197">
        <f t="shared" si="2436"/>
        <v>0</v>
      </c>
      <c r="AI249" s="197">
        <f t="shared" si="2436"/>
        <v>0</v>
      </c>
      <c r="AJ249" s="197">
        <f t="shared" si="2436"/>
        <v>0</v>
      </c>
      <c r="AK249" s="197">
        <f t="shared" si="2436"/>
        <v>0</v>
      </c>
      <c r="AL249" s="197">
        <f t="shared" si="2436"/>
        <v>0</v>
      </c>
      <c r="AM249" s="197">
        <f t="shared" si="2436"/>
        <v>0</v>
      </c>
      <c r="AN249" s="197">
        <f t="shared" si="2436"/>
        <v>0</v>
      </c>
      <c r="AO249" s="197">
        <f t="shared" si="2436"/>
        <v>0</v>
      </c>
      <c r="AP249" s="197">
        <f t="shared" si="2436"/>
        <v>0</v>
      </c>
      <c r="AQ249" s="197">
        <f t="shared" si="2436"/>
        <v>0</v>
      </c>
      <c r="AR249" s="197">
        <f t="shared" si="2436"/>
        <v>0</v>
      </c>
      <c r="AS249" s="197">
        <f t="shared" si="2436"/>
        <v>0</v>
      </c>
      <c r="AT249" s="197">
        <f t="shared" si="2436"/>
        <v>0</v>
      </c>
      <c r="AU249" s="197">
        <f t="shared" si="2436"/>
        <v>0</v>
      </c>
      <c r="AV249" s="197">
        <f t="shared" si="2436"/>
        <v>0</v>
      </c>
      <c r="AW249" s="197">
        <f t="shared" si="2436"/>
        <v>0</v>
      </c>
      <c r="AX249" s="197">
        <f t="shared" si="2436"/>
        <v>0</v>
      </c>
      <c r="AY249" s="197">
        <f t="shared" si="2436"/>
        <v>0</v>
      </c>
      <c r="AZ249" s="197">
        <f t="shared" si="2436"/>
        <v>0</v>
      </c>
      <c r="BA249" s="197">
        <f t="shared" si="2436"/>
        <v>0</v>
      </c>
      <c r="BB249" s="197">
        <f t="shared" si="2436"/>
        <v>4420811.8889556434</v>
      </c>
      <c r="BC249" s="197">
        <f t="shared" si="2436"/>
        <v>4423784.4150807997</v>
      </c>
      <c r="BD249" s="197">
        <f t="shared" si="2436"/>
        <v>4426764.2239402821</v>
      </c>
      <c r="BE249" s="197">
        <f t="shared" si="2436"/>
        <v>4429751.3348315293</v>
      </c>
      <c r="BF249" s="197">
        <f t="shared" si="2436"/>
        <v>4432745.7671067128</v>
      </c>
      <c r="BG249" s="197">
        <f t="shared" si="2436"/>
        <v>4435747.540172915</v>
      </c>
      <c r="BH249" s="197">
        <f t="shared" si="2436"/>
        <v>1746621.930835864</v>
      </c>
      <c r="BI249" s="197">
        <f t="shared" si="2436"/>
        <v>1749638.4439257793</v>
      </c>
      <c r="BJ249" s="197">
        <f t="shared" si="2436"/>
        <v>1752662.3563590213</v>
      </c>
      <c r="BK249" s="197">
        <f t="shared" si="2436"/>
        <v>0</v>
      </c>
      <c r="BL249" s="197">
        <f t="shared" si="2436"/>
        <v>1588427.3695743023</v>
      </c>
      <c r="BM249" s="197">
        <f t="shared" si="2436"/>
        <v>0</v>
      </c>
      <c r="BN249" s="197">
        <f t="shared" si="2436"/>
        <v>0</v>
      </c>
      <c r="BO249" s="197">
        <f t="shared" si="2436"/>
        <v>0</v>
      </c>
      <c r="BP249" s="197">
        <f t="shared" si="2436"/>
        <v>0</v>
      </c>
      <c r="BQ249" s="197">
        <f t="shared" si="2436"/>
        <v>0</v>
      </c>
      <c r="BR249" s="197">
        <f t="shared" si="2436"/>
        <v>0</v>
      </c>
      <c r="BS249" s="197">
        <f t="shared" ref="BS249:CW249" si="2437">+BS237</f>
        <v>0</v>
      </c>
      <c r="BT249" s="197">
        <f t="shared" si="2437"/>
        <v>0</v>
      </c>
      <c r="BU249" s="197">
        <f t="shared" si="2437"/>
        <v>0</v>
      </c>
      <c r="BV249" s="197">
        <f t="shared" si="2437"/>
        <v>0</v>
      </c>
      <c r="BW249" s="197">
        <f t="shared" si="2437"/>
        <v>0</v>
      </c>
      <c r="BX249" s="197">
        <f t="shared" si="2437"/>
        <v>0</v>
      </c>
      <c r="BY249" s="197">
        <f t="shared" si="2437"/>
        <v>0</v>
      </c>
      <c r="BZ249" s="197">
        <f t="shared" si="2437"/>
        <v>0</v>
      </c>
      <c r="CA249" s="197">
        <f t="shared" si="2437"/>
        <v>0</v>
      </c>
      <c r="CB249" s="197">
        <f t="shared" si="2437"/>
        <v>0</v>
      </c>
      <c r="CC249" s="197">
        <f t="shared" si="2437"/>
        <v>0</v>
      </c>
      <c r="CD249" s="197">
        <f t="shared" si="2437"/>
        <v>0</v>
      </c>
      <c r="CE249" s="197">
        <f t="shared" si="2437"/>
        <v>0</v>
      </c>
      <c r="CF249" s="197">
        <f t="shared" si="2437"/>
        <v>0</v>
      </c>
      <c r="CG249" s="197">
        <f t="shared" si="2437"/>
        <v>0</v>
      </c>
      <c r="CH249" s="197">
        <f t="shared" si="2437"/>
        <v>0</v>
      </c>
      <c r="CI249" s="197">
        <f t="shared" si="2437"/>
        <v>0</v>
      </c>
      <c r="CJ249" s="197">
        <f t="shared" si="2437"/>
        <v>0</v>
      </c>
      <c r="CK249" s="197">
        <f t="shared" si="2437"/>
        <v>0</v>
      </c>
      <c r="CL249" s="197">
        <f t="shared" si="2437"/>
        <v>0</v>
      </c>
      <c r="CM249" s="197">
        <f t="shared" si="2437"/>
        <v>0</v>
      </c>
      <c r="CN249" s="197">
        <f t="shared" si="2437"/>
        <v>0</v>
      </c>
      <c r="CO249" s="197">
        <f t="shared" si="2437"/>
        <v>0</v>
      </c>
      <c r="CP249" s="197">
        <f t="shared" si="2437"/>
        <v>0</v>
      </c>
      <c r="CQ249" s="197">
        <f t="shared" si="2437"/>
        <v>0</v>
      </c>
      <c r="CR249" s="197">
        <f t="shared" si="2437"/>
        <v>0</v>
      </c>
      <c r="CS249" s="197">
        <f t="shared" si="2437"/>
        <v>0</v>
      </c>
      <c r="CT249" s="197">
        <f t="shared" si="2437"/>
        <v>0</v>
      </c>
      <c r="CU249" s="197">
        <f t="shared" si="2437"/>
        <v>0</v>
      </c>
      <c r="CV249" s="197">
        <f t="shared" si="2437"/>
        <v>0</v>
      </c>
      <c r="CW249" s="197">
        <f t="shared" si="2437"/>
        <v>0</v>
      </c>
    </row>
    <row r="250" spans="3:101" outlineLevel="1" x14ac:dyDescent="0.25">
      <c r="C250" s="199" t="s">
        <v>223</v>
      </c>
      <c r="D250" s="152" t="s">
        <v>107</v>
      </c>
      <c r="E250" s="208">
        <f>Tier_2_IRR_Max</f>
        <v>2</v>
      </c>
      <c r="F250" s="197">
        <f>+F249*($E250-1)</f>
        <v>77970000</v>
      </c>
      <c r="G250" s="197">
        <f t="shared" ref="G250" si="2438">+G249*($E250-1)</f>
        <v>2520000</v>
      </c>
      <c r="H250" s="197">
        <f t="shared" ref="H250" si="2439">+H249*($E250-1)</f>
        <v>4320000</v>
      </c>
      <c r="I250" s="197">
        <f t="shared" ref="I250" si="2440">+I249*($E250-1)</f>
        <v>4770000</v>
      </c>
      <c r="J250" s="197">
        <f t="shared" ref="J250" si="2441">+J249*($E250-1)</f>
        <v>2970000</v>
      </c>
      <c r="K250" s="197">
        <f t="shared" ref="K250" si="2442">+K249*($E250-1)</f>
        <v>77790000</v>
      </c>
      <c r="L250" s="197">
        <f t="shared" ref="L250" si="2443">+L249*($E250-1)</f>
        <v>7560000</v>
      </c>
      <c r="M250" s="197">
        <f t="shared" ref="M250" si="2444">+M249*($E250-1)</f>
        <v>5580000</v>
      </c>
      <c r="N250" s="197">
        <f t="shared" ref="N250" si="2445">+N249*($E250-1)</f>
        <v>6570000</v>
      </c>
      <c r="O250" s="197">
        <f t="shared" ref="O250" si="2446">+O249*($E250-1)</f>
        <v>9270000</v>
      </c>
      <c r="P250" s="197">
        <f t="shared" ref="P250" si="2447">+P249*($E250-1)</f>
        <v>13320000</v>
      </c>
      <c r="Q250" s="197">
        <f t="shared" ref="Q250" si="2448">+Q249*($E250-1)</f>
        <v>15750000</v>
      </c>
      <c r="R250" s="197">
        <f t="shared" ref="R250" si="2449">+R249*($E250-1)</f>
        <v>24750000</v>
      </c>
      <c r="S250" s="197">
        <f t="shared" ref="S250" si="2450">+S249*($E250-1)</f>
        <v>27900000.000000004</v>
      </c>
      <c r="T250" s="197">
        <f t="shared" ref="T250" si="2451">+T249*($E250-1)</f>
        <v>28440000</v>
      </c>
      <c r="U250" s="197">
        <f t="shared" ref="U250" si="2452">+U249*($E250-1)</f>
        <v>41940000</v>
      </c>
      <c r="V250" s="197">
        <f t="shared" ref="V250" si="2453">+V249*($E250-1)</f>
        <v>41940000</v>
      </c>
      <c r="W250" s="197">
        <f t="shared" ref="W250" si="2454">+W249*($E250-1)</f>
        <v>21877056</v>
      </c>
      <c r="X250" s="197">
        <f t="shared" ref="X250" si="2455">+X249*($E250-1)</f>
        <v>0</v>
      </c>
      <c r="Y250" s="197">
        <f t="shared" ref="Y250" si="2456">+Y249*($E250-1)</f>
        <v>0</v>
      </c>
      <c r="Z250" s="197">
        <f t="shared" ref="Z250" si="2457">+Z249*($E250-1)</f>
        <v>0</v>
      </c>
      <c r="AA250" s="197">
        <f t="shared" ref="AA250" si="2458">+AA249*($E250-1)</f>
        <v>0</v>
      </c>
      <c r="AB250" s="197">
        <f t="shared" ref="AB250" si="2459">+AB249*($E250-1)</f>
        <v>0</v>
      </c>
      <c r="AC250" s="197">
        <f t="shared" ref="AC250" si="2460">+AC249*($E250-1)</f>
        <v>0</v>
      </c>
      <c r="AD250" s="197">
        <f t="shared" ref="AD250" si="2461">+AD249*($E250-1)</f>
        <v>0</v>
      </c>
      <c r="AE250" s="197">
        <f t="shared" ref="AE250" si="2462">+AE249*($E250-1)</f>
        <v>0</v>
      </c>
      <c r="AF250" s="197">
        <f t="shared" ref="AF250" si="2463">+AF249*($E250-1)</f>
        <v>0</v>
      </c>
      <c r="AG250" s="197">
        <f t="shared" ref="AG250" si="2464">+AG249*($E250-1)</f>
        <v>0</v>
      </c>
      <c r="AH250" s="197">
        <f t="shared" ref="AH250" si="2465">+AH249*($E250-1)</f>
        <v>0</v>
      </c>
      <c r="AI250" s="197">
        <f t="shared" ref="AI250" si="2466">+AI249*($E250-1)</f>
        <v>0</v>
      </c>
      <c r="AJ250" s="197">
        <f t="shared" ref="AJ250" si="2467">+AJ249*($E250-1)</f>
        <v>0</v>
      </c>
      <c r="AK250" s="197">
        <f t="shared" ref="AK250" si="2468">+AK249*($E250-1)</f>
        <v>0</v>
      </c>
      <c r="AL250" s="197">
        <f t="shared" ref="AL250" si="2469">+AL249*($E250-1)</f>
        <v>0</v>
      </c>
      <c r="AM250" s="197">
        <f t="shared" ref="AM250" si="2470">+AM249*($E250-1)</f>
        <v>0</v>
      </c>
      <c r="AN250" s="197">
        <f t="shared" ref="AN250" si="2471">+AN249*($E250-1)</f>
        <v>0</v>
      </c>
      <c r="AO250" s="197">
        <f t="shared" ref="AO250" si="2472">+AO249*($E250-1)</f>
        <v>0</v>
      </c>
      <c r="AP250" s="197">
        <f t="shared" ref="AP250" si="2473">+AP249*($E250-1)</f>
        <v>0</v>
      </c>
      <c r="AQ250" s="197">
        <f t="shared" ref="AQ250" si="2474">+AQ249*($E250-1)</f>
        <v>0</v>
      </c>
      <c r="AR250" s="197">
        <f t="shared" ref="AR250" si="2475">+AR249*($E250-1)</f>
        <v>0</v>
      </c>
      <c r="AS250" s="197">
        <f t="shared" ref="AS250" si="2476">+AS249*($E250-1)</f>
        <v>0</v>
      </c>
      <c r="AT250" s="197">
        <f t="shared" ref="AT250" si="2477">+AT249*($E250-1)</f>
        <v>0</v>
      </c>
      <c r="AU250" s="197">
        <f t="shared" ref="AU250" si="2478">+AU249*($E250-1)</f>
        <v>0</v>
      </c>
      <c r="AV250" s="197">
        <f t="shared" ref="AV250" si="2479">+AV249*($E250-1)</f>
        <v>0</v>
      </c>
      <c r="AW250" s="197">
        <f t="shared" ref="AW250" si="2480">+AW249*($E250-1)</f>
        <v>0</v>
      </c>
      <c r="AX250" s="197">
        <f t="shared" ref="AX250" si="2481">+AX249*($E250-1)</f>
        <v>0</v>
      </c>
      <c r="AY250" s="197">
        <f t="shared" ref="AY250" si="2482">+AY249*($E250-1)</f>
        <v>0</v>
      </c>
      <c r="AZ250" s="197">
        <f t="shared" ref="AZ250" si="2483">+AZ249*($E250-1)</f>
        <v>0</v>
      </c>
      <c r="BA250" s="197">
        <f t="shared" ref="BA250" si="2484">+BA249*($E250-1)</f>
        <v>0</v>
      </c>
      <c r="BB250" s="197">
        <f t="shared" ref="BB250" si="2485">+BB249*($E250-1)</f>
        <v>4420811.8889556434</v>
      </c>
      <c r="BC250" s="197">
        <f t="shared" ref="BC250" si="2486">+BC249*($E250-1)</f>
        <v>4423784.4150807997</v>
      </c>
      <c r="BD250" s="197">
        <f t="shared" ref="BD250" si="2487">+BD249*($E250-1)</f>
        <v>4426764.2239402821</v>
      </c>
      <c r="BE250" s="197">
        <f t="shared" ref="BE250" si="2488">+BE249*($E250-1)</f>
        <v>4429751.3348315293</v>
      </c>
      <c r="BF250" s="197">
        <f t="shared" ref="BF250" si="2489">+BF249*($E250-1)</f>
        <v>4432745.7671067128</v>
      </c>
      <c r="BG250" s="197">
        <f t="shared" ref="BG250" si="2490">+BG249*($E250-1)</f>
        <v>4435747.540172915</v>
      </c>
      <c r="BH250" s="197">
        <f t="shared" ref="BH250" si="2491">+BH249*($E250-1)</f>
        <v>1746621.930835864</v>
      </c>
      <c r="BI250" s="197">
        <f t="shared" ref="BI250" si="2492">+BI249*($E250-1)</f>
        <v>1749638.4439257793</v>
      </c>
      <c r="BJ250" s="197">
        <f t="shared" ref="BJ250" si="2493">+BJ249*($E250-1)</f>
        <v>1752662.3563590213</v>
      </c>
      <c r="BK250" s="197">
        <f t="shared" ref="BK250" si="2494">+BK249*($E250-1)</f>
        <v>0</v>
      </c>
      <c r="BL250" s="197">
        <f t="shared" ref="BL250" si="2495">+BL249*($E250-1)</f>
        <v>1588427.3695743023</v>
      </c>
      <c r="BM250" s="197">
        <f t="shared" ref="BM250" si="2496">+BM249*($E250-1)</f>
        <v>0</v>
      </c>
      <c r="BN250" s="197">
        <f t="shared" ref="BN250" si="2497">+BN249*($E250-1)</f>
        <v>0</v>
      </c>
      <c r="BO250" s="197">
        <f t="shared" ref="BO250" si="2498">+BO249*($E250-1)</f>
        <v>0</v>
      </c>
      <c r="BP250" s="197">
        <f t="shared" ref="BP250" si="2499">+BP249*($E250-1)</f>
        <v>0</v>
      </c>
      <c r="BQ250" s="197">
        <f t="shared" ref="BQ250" si="2500">+BQ249*($E250-1)</f>
        <v>0</v>
      </c>
      <c r="BR250" s="197">
        <f t="shared" ref="BR250" si="2501">+BR249*($E250-1)</f>
        <v>0</v>
      </c>
      <c r="BS250" s="197">
        <f t="shared" ref="BS250" si="2502">+BS249*($E250-1)</f>
        <v>0</v>
      </c>
      <c r="BT250" s="197">
        <f t="shared" ref="BT250" si="2503">+BT249*($E250-1)</f>
        <v>0</v>
      </c>
      <c r="BU250" s="197">
        <f t="shared" ref="BU250" si="2504">+BU249*($E250-1)</f>
        <v>0</v>
      </c>
      <c r="BV250" s="197">
        <f t="shared" ref="BV250" si="2505">+BV249*($E250-1)</f>
        <v>0</v>
      </c>
      <c r="BW250" s="197">
        <f t="shared" ref="BW250" si="2506">+BW249*($E250-1)</f>
        <v>0</v>
      </c>
      <c r="BX250" s="197">
        <f t="shared" ref="BX250" si="2507">+BX249*($E250-1)</f>
        <v>0</v>
      </c>
      <c r="BY250" s="197">
        <f t="shared" ref="BY250" si="2508">+BY249*($E250-1)</f>
        <v>0</v>
      </c>
      <c r="BZ250" s="197">
        <f t="shared" ref="BZ250" si="2509">+BZ249*($E250-1)</f>
        <v>0</v>
      </c>
      <c r="CA250" s="197">
        <f t="shared" ref="CA250" si="2510">+CA249*($E250-1)</f>
        <v>0</v>
      </c>
      <c r="CB250" s="197">
        <f t="shared" ref="CB250" si="2511">+CB249*($E250-1)</f>
        <v>0</v>
      </c>
      <c r="CC250" s="197">
        <f t="shared" ref="CC250" si="2512">+CC249*($E250-1)</f>
        <v>0</v>
      </c>
      <c r="CD250" s="197">
        <f t="shared" ref="CD250" si="2513">+CD249*($E250-1)</f>
        <v>0</v>
      </c>
      <c r="CE250" s="197">
        <f t="shared" ref="CE250" si="2514">+CE249*($E250-1)</f>
        <v>0</v>
      </c>
      <c r="CF250" s="197">
        <f t="shared" ref="CF250" si="2515">+CF249*($E250-1)</f>
        <v>0</v>
      </c>
      <c r="CG250" s="197">
        <f t="shared" ref="CG250" si="2516">+CG249*($E250-1)</f>
        <v>0</v>
      </c>
      <c r="CH250" s="197">
        <f t="shared" ref="CH250" si="2517">+CH249*($E250-1)</f>
        <v>0</v>
      </c>
      <c r="CI250" s="197">
        <f t="shared" ref="CI250" si="2518">+CI249*($E250-1)</f>
        <v>0</v>
      </c>
      <c r="CJ250" s="197">
        <f t="shared" ref="CJ250" si="2519">+CJ249*($E250-1)</f>
        <v>0</v>
      </c>
      <c r="CK250" s="197">
        <f t="shared" ref="CK250" si="2520">+CK249*($E250-1)</f>
        <v>0</v>
      </c>
      <c r="CL250" s="197">
        <f t="shared" ref="CL250" si="2521">+CL249*($E250-1)</f>
        <v>0</v>
      </c>
      <c r="CM250" s="197">
        <f t="shared" ref="CM250" si="2522">+CM249*($E250-1)</f>
        <v>0</v>
      </c>
      <c r="CN250" s="197">
        <f t="shared" ref="CN250" si="2523">+CN249*($E250-1)</f>
        <v>0</v>
      </c>
      <c r="CO250" s="197">
        <f t="shared" ref="CO250" si="2524">+CO249*($E250-1)</f>
        <v>0</v>
      </c>
      <c r="CP250" s="197">
        <f t="shared" ref="CP250" si="2525">+CP249*($E250-1)</f>
        <v>0</v>
      </c>
      <c r="CQ250" s="197">
        <f t="shared" ref="CQ250" si="2526">+CQ249*($E250-1)</f>
        <v>0</v>
      </c>
      <c r="CR250" s="197">
        <f t="shared" ref="CR250" si="2527">+CR249*($E250-1)</f>
        <v>0</v>
      </c>
      <c r="CS250" s="197">
        <f t="shared" ref="CS250" si="2528">+CS249*($E250-1)</f>
        <v>0</v>
      </c>
      <c r="CT250" s="197">
        <f t="shared" ref="CT250" si="2529">+CT249*($E250-1)</f>
        <v>0</v>
      </c>
      <c r="CU250" s="197">
        <f t="shared" ref="CU250" si="2530">+CU249*($E250-1)</f>
        <v>0</v>
      </c>
      <c r="CV250" s="197">
        <f t="shared" ref="CV250" si="2531">+CV249*($E250-1)</f>
        <v>0</v>
      </c>
      <c r="CW250" s="197">
        <f t="shared" ref="CW250" si="2532">+CW249*($E250-1)</f>
        <v>0</v>
      </c>
    </row>
    <row r="251" spans="3:101" outlineLevel="1" x14ac:dyDescent="0.25">
      <c r="C251" s="199" t="s">
        <v>224</v>
      </c>
      <c r="D251" s="152" t="s">
        <v>107</v>
      </c>
      <c r="E251" s="209"/>
      <c r="F251" s="197">
        <f>+F239</f>
        <v>0</v>
      </c>
      <c r="G251" s="197">
        <f t="shared" ref="G251:BR251" si="2533">+G239</f>
        <v>0</v>
      </c>
      <c r="H251" s="197">
        <f t="shared" si="2533"/>
        <v>0</v>
      </c>
      <c r="I251" s="197">
        <f t="shared" si="2533"/>
        <v>0</v>
      </c>
      <c r="J251" s="197">
        <f t="shared" si="2533"/>
        <v>0</v>
      </c>
      <c r="K251" s="197">
        <f t="shared" si="2533"/>
        <v>0</v>
      </c>
      <c r="L251" s="197">
        <f t="shared" si="2533"/>
        <v>0</v>
      </c>
      <c r="M251" s="197">
        <f t="shared" si="2533"/>
        <v>0</v>
      </c>
      <c r="N251" s="197">
        <f t="shared" si="2533"/>
        <v>0</v>
      </c>
      <c r="O251" s="197">
        <f t="shared" si="2533"/>
        <v>0</v>
      </c>
      <c r="P251" s="197">
        <f t="shared" si="2533"/>
        <v>0</v>
      </c>
      <c r="Q251" s="197">
        <f t="shared" si="2533"/>
        <v>0</v>
      </c>
      <c r="R251" s="197">
        <f t="shared" si="2533"/>
        <v>0</v>
      </c>
      <c r="S251" s="197">
        <f t="shared" si="2533"/>
        <v>0</v>
      </c>
      <c r="T251" s="197">
        <f t="shared" si="2533"/>
        <v>0</v>
      </c>
      <c r="U251" s="197">
        <f t="shared" si="2533"/>
        <v>0</v>
      </c>
      <c r="V251" s="197">
        <f t="shared" si="2533"/>
        <v>0</v>
      </c>
      <c r="W251" s="197">
        <f t="shared" si="2533"/>
        <v>0</v>
      </c>
      <c r="X251" s="197">
        <f t="shared" si="2533"/>
        <v>0</v>
      </c>
      <c r="Y251" s="197">
        <f t="shared" si="2533"/>
        <v>0</v>
      </c>
      <c r="Z251" s="197">
        <f t="shared" si="2533"/>
        <v>0</v>
      </c>
      <c r="AA251" s="197">
        <f t="shared" si="2533"/>
        <v>0</v>
      </c>
      <c r="AB251" s="197">
        <f t="shared" si="2533"/>
        <v>0</v>
      </c>
      <c r="AC251" s="197">
        <f t="shared" si="2533"/>
        <v>0</v>
      </c>
      <c r="AD251" s="197">
        <f t="shared" si="2533"/>
        <v>0</v>
      </c>
      <c r="AE251" s="197">
        <f t="shared" si="2533"/>
        <v>0</v>
      </c>
      <c r="AF251" s="197">
        <f t="shared" si="2533"/>
        <v>0</v>
      </c>
      <c r="AG251" s="197">
        <f t="shared" si="2533"/>
        <v>0</v>
      </c>
      <c r="AH251" s="197">
        <f t="shared" si="2533"/>
        <v>0</v>
      </c>
      <c r="AI251" s="197">
        <f t="shared" si="2533"/>
        <v>0</v>
      </c>
      <c r="AJ251" s="197">
        <f t="shared" si="2533"/>
        <v>0</v>
      </c>
      <c r="AK251" s="197">
        <f t="shared" si="2533"/>
        <v>0</v>
      </c>
      <c r="AL251" s="197">
        <f t="shared" si="2533"/>
        <v>0</v>
      </c>
      <c r="AM251" s="197">
        <f t="shared" si="2533"/>
        <v>0</v>
      </c>
      <c r="AN251" s="197">
        <f t="shared" si="2533"/>
        <v>0</v>
      </c>
      <c r="AO251" s="197">
        <f t="shared" si="2533"/>
        <v>0</v>
      </c>
      <c r="AP251" s="197">
        <f t="shared" si="2533"/>
        <v>0</v>
      </c>
      <c r="AQ251" s="197">
        <f t="shared" si="2533"/>
        <v>0</v>
      </c>
      <c r="AR251" s="197">
        <f t="shared" si="2533"/>
        <v>0</v>
      </c>
      <c r="AS251" s="197">
        <f t="shared" si="2533"/>
        <v>0</v>
      </c>
      <c r="AT251" s="197">
        <f t="shared" si="2533"/>
        <v>0</v>
      </c>
      <c r="AU251" s="197">
        <f t="shared" si="2533"/>
        <v>0</v>
      </c>
      <c r="AV251" s="197">
        <f t="shared" si="2533"/>
        <v>0</v>
      </c>
      <c r="AW251" s="197">
        <f t="shared" si="2533"/>
        <v>0</v>
      </c>
      <c r="AX251" s="197">
        <f t="shared" si="2533"/>
        <v>0</v>
      </c>
      <c r="AY251" s="197">
        <f t="shared" si="2533"/>
        <v>0</v>
      </c>
      <c r="AZ251" s="197">
        <f t="shared" si="2533"/>
        <v>0</v>
      </c>
      <c r="BA251" s="197">
        <f t="shared" si="2533"/>
        <v>-195972697.55504143</v>
      </c>
      <c r="BB251" s="197">
        <f t="shared" si="2533"/>
        <v>0</v>
      </c>
      <c r="BC251" s="197">
        <f t="shared" si="2533"/>
        <v>0</v>
      </c>
      <c r="BD251" s="197">
        <f t="shared" si="2533"/>
        <v>0</v>
      </c>
      <c r="BE251" s="197">
        <f t="shared" si="2533"/>
        <v>0</v>
      </c>
      <c r="BF251" s="197">
        <f t="shared" si="2533"/>
        <v>0</v>
      </c>
      <c r="BG251" s="197">
        <f t="shared" si="2533"/>
        <v>0</v>
      </c>
      <c r="BH251" s="197">
        <f t="shared" si="2533"/>
        <v>0</v>
      </c>
      <c r="BI251" s="197">
        <f t="shared" si="2533"/>
        <v>0</v>
      </c>
      <c r="BJ251" s="197">
        <f t="shared" si="2533"/>
        <v>0</v>
      </c>
      <c r="BK251" s="197">
        <f t="shared" si="2533"/>
        <v>-260510.52409639768</v>
      </c>
      <c r="BL251" s="197">
        <f t="shared" si="2533"/>
        <v>0</v>
      </c>
      <c r="BM251" s="197">
        <f t="shared" si="2533"/>
        <v>-254425.52557937941</v>
      </c>
      <c r="BN251" s="197">
        <f t="shared" si="2533"/>
        <v>-357115.8026597132</v>
      </c>
      <c r="BO251" s="197">
        <f t="shared" si="2533"/>
        <v>-353860.19695820985</v>
      </c>
      <c r="BP251" s="197">
        <f t="shared" si="2533"/>
        <v>-350596.31281394279</v>
      </c>
      <c r="BQ251" s="197">
        <f t="shared" si="2533"/>
        <v>-347324.12802694738</v>
      </c>
      <c r="BR251" s="197">
        <f t="shared" si="2533"/>
        <v>-344043.6203346923</v>
      </c>
      <c r="BS251" s="197">
        <f t="shared" ref="BS251:CW251" si="2534">+BS239</f>
        <v>-340754.76741187461</v>
      </c>
      <c r="BT251" s="197">
        <f t="shared" si="2534"/>
        <v>-337457.54687023768</v>
      </c>
      <c r="BU251" s="197">
        <f t="shared" si="2534"/>
        <v>-334151.93625840172</v>
      </c>
      <c r="BV251" s="197">
        <f t="shared" si="2534"/>
        <v>-330837.91306165652</v>
      </c>
      <c r="BW251" s="197">
        <f t="shared" si="2534"/>
        <v>-327515.45470179198</v>
      </c>
      <c r="BX251" s="197">
        <f t="shared" si="2534"/>
        <v>-324184.53853690112</v>
      </c>
      <c r="BY251" s="197">
        <f t="shared" si="2534"/>
        <v>-320845.14186119335</v>
      </c>
      <c r="BZ251" s="197">
        <f t="shared" si="2534"/>
        <v>-643480505.72294271</v>
      </c>
      <c r="CA251" s="197">
        <f t="shared" si="2534"/>
        <v>0</v>
      </c>
      <c r="CB251" s="197">
        <f t="shared" si="2534"/>
        <v>0</v>
      </c>
      <c r="CC251" s="197">
        <f t="shared" si="2534"/>
        <v>0</v>
      </c>
      <c r="CD251" s="197">
        <f t="shared" si="2534"/>
        <v>0</v>
      </c>
      <c r="CE251" s="197">
        <f t="shared" si="2534"/>
        <v>0</v>
      </c>
      <c r="CF251" s="197">
        <f t="shared" si="2534"/>
        <v>0</v>
      </c>
      <c r="CG251" s="197">
        <f t="shared" si="2534"/>
        <v>0</v>
      </c>
      <c r="CH251" s="197">
        <f t="shared" si="2534"/>
        <v>0</v>
      </c>
      <c r="CI251" s="197">
        <f t="shared" si="2534"/>
        <v>0</v>
      </c>
      <c r="CJ251" s="197">
        <f t="shared" si="2534"/>
        <v>0</v>
      </c>
      <c r="CK251" s="197">
        <f t="shared" si="2534"/>
        <v>0</v>
      </c>
      <c r="CL251" s="197">
        <f t="shared" si="2534"/>
        <v>0</v>
      </c>
      <c r="CM251" s="197">
        <f t="shared" si="2534"/>
        <v>0</v>
      </c>
      <c r="CN251" s="197">
        <f t="shared" si="2534"/>
        <v>0</v>
      </c>
      <c r="CO251" s="197">
        <f t="shared" si="2534"/>
        <v>0</v>
      </c>
      <c r="CP251" s="197">
        <f t="shared" si="2534"/>
        <v>0</v>
      </c>
      <c r="CQ251" s="197">
        <f t="shared" si="2534"/>
        <v>0</v>
      </c>
      <c r="CR251" s="197">
        <f t="shared" si="2534"/>
        <v>0</v>
      </c>
      <c r="CS251" s="197">
        <f t="shared" si="2534"/>
        <v>0</v>
      </c>
      <c r="CT251" s="197">
        <f t="shared" si="2534"/>
        <v>0</v>
      </c>
      <c r="CU251" s="197">
        <f t="shared" si="2534"/>
        <v>0</v>
      </c>
      <c r="CV251" s="197">
        <f t="shared" si="2534"/>
        <v>0</v>
      </c>
      <c r="CW251" s="197">
        <f t="shared" si="2534"/>
        <v>0</v>
      </c>
    </row>
    <row r="252" spans="3:101" outlineLevel="1" x14ac:dyDescent="0.25">
      <c r="C252" s="199" t="s">
        <v>229</v>
      </c>
      <c r="D252" s="130" t="s">
        <v>107</v>
      </c>
      <c r="E252" s="80"/>
      <c r="F252" s="197">
        <f>MIN(0,MAX(-(F248+F249+F250+F251),-F245))</f>
        <v>0</v>
      </c>
      <c r="G252" s="197">
        <f t="shared" ref="G252" si="2535">MIN(0,MAX(-(G248+G249+G250+G251),-G245))</f>
        <v>0</v>
      </c>
      <c r="H252" s="197">
        <f t="shared" ref="H252" si="2536">MIN(0,MAX(-(H248+H249+H250+H251),-H245))</f>
        <v>0</v>
      </c>
      <c r="I252" s="197">
        <f t="shared" ref="I252" si="2537">MIN(0,MAX(-(I248+I249+I250+I251),-I245))</f>
        <v>0</v>
      </c>
      <c r="J252" s="197">
        <f t="shared" ref="J252" si="2538">MIN(0,MAX(-(J248+J249+J250+J251),-J245))</f>
        <v>0</v>
      </c>
      <c r="K252" s="197">
        <f t="shared" ref="K252" si="2539">MIN(0,MAX(-(K248+K249+K250+K251),-K245))</f>
        <v>0</v>
      </c>
      <c r="L252" s="197">
        <f t="shared" ref="L252" si="2540">MIN(0,MAX(-(L248+L249+L250+L251),-L245))</f>
        <v>0</v>
      </c>
      <c r="M252" s="197">
        <f t="shared" ref="M252" si="2541">MIN(0,MAX(-(M248+M249+M250+M251),-M245))</f>
        <v>0</v>
      </c>
      <c r="N252" s="197">
        <f t="shared" ref="N252" si="2542">MIN(0,MAX(-(N248+N249+N250+N251),-N245))</f>
        <v>0</v>
      </c>
      <c r="O252" s="197">
        <f t="shared" ref="O252" si="2543">MIN(0,MAX(-(O248+O249+O250+O251),-O245))</f>
        <v>0</v>
      </c>
      <c r="P252" s="197">
        <f t="shared" ref="P252" si="2544">MIN(0,MAX(-(P248+P249+P250+P251),-P245))</f>
        <v>0</v>
      </c>
      <c r="Q252" s="197">
        <f t="shared" ref="Q252" si="2545">MIN(0,MAX(-(Q248+Q249+Q250+Q251),-Q245))</f>
        <v>0</v>
      </c>
      <c r="R252" s="197">
        <f t="shared" ref="R252" si="2546">MIN(0,MAX(-(R248+R249+R250+R251),-R245))</f>
        <v>0</v>
      </c>
      <c r="S252" s="197">
        <f t="shared" ref="S252" si="2547">MIN(0,MAX(-(S248+S249+S250+S251),-S245))</f>
        <v>0</v>
      </c>
      <c r="T252" s="197">
        <f t="shared" ref="T252" si="2548">MIN(0,MAX(-(T248+T249+T250+T251),-T245))</f>
        <v>0</v>
      </c>
      <c r="U252" s="197">
        <f t="shared" ref="U252" si="2549">MIN(0,MAX(-(U248+U249+U250+U251),-U245))</f>
        <v>0</v>
      </c>
      <c r="V252" s="197">
        <f t="shared" ref="V252" si="2550">MIN(0,MAX(-(V248+V249+V250+V251),-V245))</f>
        <v>0</v>
      </c>
      <c r="W252" s="197">
        <f t="shared" ref="W252" si="2551">MIN(0,MAX(-(W248+W249+W250+W251),-W245))</f>
        <v>0</v>
      </c>
      <c r="X252" s="197">
        <f t="shared" ref="X252" si="2552">MIN(0,MAX(-(X248+X249+X250+X251),-X245))</f>
        <v>0</v>
      </c>
      <c r="Y252" s="197">
        <f t="shared" ref="Y252" si="2553">MIN(0,MAX(-(Y248+Y249+Y250+Y251),-Y245))</f>
        <v>0</v>
      </c>
      <c r="Z252" s="197">
        <f t="shared" ref="Z252" si="2554">MIN(0,MAX(-(Z248+Z249+Z250+Z251),-Z245))</f>
        <v>0</v>
      </c>
      <c r="AA252" s="197">
        <f t="shared" ref="AA252" si="2555">MIN(0,MAX(-(AA248+AA249+AA250+AA251),-AA245))</f>
        <v>0</v>
      </c>
      <c r="AB252" s="197">
        <f t="shared" ref="AB252" si="2556">MIN(0,MAX(-(AB248+AB249+AB250+AB251),-AB245))</f>
        <v>0</v>
      </c>
      <c r="AC252" s="197">
        <f t="shared" ref="AC252" si="2557">MIN(0,MAX(-(AC248+AC249+AC250+AC251),-AC245))</f>
        <v>0</v>
      </c>
      <c r="AD252" s="197">
        <f t="shared" ref="AD252" si="2558">MIN(0,MAX(-(AD248+AD249+AD250+AD251),-AD245))</f>
        <v>0</v>
      </c>
      <c r="AE252" s="197">
        <f t="shared" ref="AE252" si="2559">MIN(0,MAX(-(AE248+AE249+AE250+AE251),-AE245))</f>
        <v>0</v>
      </c>
      <c r="AF252" s="197">
        <f t="shared" ref="AF252" si="2560">MIN(0,MAX(-(AF248+AF249+AF250+AF251),-AF245))</f>
        <v>0</v>
      </c>
      <c r="AG252" s="197">
        <f t="shared" ref="AG252" si="2561">MIN(0,MAX(-(AG248+AG249+AG250+AG251),-AG245))</f>
        <v>0</v>
      </c>
      <c r="AH252" s="197">
        <f t="shared" ref="AH252" si="2562">MIN(0,MAX(-(AH248+AH249+AH250+AH251),-AH245))</f>
        <v>0</v>
      </c>
      <c r="AI252" s="197">
        <f t="shared" ref="AI252" si="2563">MIN(0,MAX(-(AI248+AI249+AI250+AI251),-AI245))</f>
        <v>0</v>
      </c>
      <c r="AJ252" s="197">
        <f t="shared" ref="AJ252" si="2564">MIN(0,MAX(-(AJ248+AJ249+AJ250+AJ251),-AJ245))</f>
        <v>0</v>
      </c>
      <c r="AK252" s="197">
        <f t="shared" ref="AK252" si="2565">MIN(0,MAX(-(AK248+AK249+AK250+AK251),-AK245))</f>
        <v>0</v>
      </c>
      <c r="AL252" s="197">
        <f t="shared" ref="AL252" si="2566">MIN(0,MAX(-(AL248+AL249+AL250+AL251),-AL245))</f>
        <v>0</v>
      </c>
      <c r="AM252" s="197">
        <f t="shared" ref="AM252" si="2567">MIN(0,MAX(-(AM248+AM249+AM250+AM251),-AM245))</f>
        <v>0</v>
      </c>
      <c r="AN252" s="197">
        <f t="shared" ref="AN252" si="2568">MIN(0,MAX(-(AN248+AN249+AN250+AN251),-AN245))</f>
        <v>0</v>
      </c>
      <c r="AO252" s="197">
        <f t="shared" ref="AO252" si="2569">MIN(0,MAX(-(AO248+AO249+AO250+AO251),-AO245))</f>
        <v>0</v>
      </c>
      <c r="AP252" s="197">
        <f t="shared" ref="AP252" si="2570">MIN(0,MAX(-(AP248+AP249+AP250+AP251),-AP245))</f>
        <v>0</v>
      </c>
      <c r="AQ252" s="197">
        <f t="shared" ref="AQ252" si="2571">MIN(0,MAX(-(AQ248+AQ249+AQ250+AQ251),-AQ245))</f>
        <v>0</v>
      </c>
      <c r="AR252" s="197">
        <f t="shared" ref="AR252" si="2572">MIN(0,MAX(-(AR248+AR249+AR250+AR251),-AR245))</f>
        <v>0</v>
      </c>
      <c r="AS252" s="197">
        <f t="shared" ref="AS252" si="2573">MIN(0,MAX(-(AS248+AS249+AS250+AS251),-AS245))</f>
        <v>0</v>
      </c>
      <c r="AT252" s="197">
        <f t="shared" ref="AT252" si="2574">MIN(0,MAX(-(AT248+AT249+AT250+AT251),-AT245))</f>
        <v>0</v>
      </c>
      <c r="AU252" s="197">
        <f t="shared" ref="AU252" si="2575">MIN(0,MAX(-(AU248+AU249+AU250+AU251),-AU245))</f>
        <v>0</v>
      </c>
      <c r="AV252" s="197">
        <f t="shared" ref="AV252" si="2576">MIN(0,MAX(-(AV248+AV249+AV250+AV251),-AV245))</f>
        <v>0</v>
      </c>
      <c r="AW252" s="197">
        <f t="shared" ref="AW252" si="2577">MIN(0,MAX(-(AW248+AW249+AW250+AW251),-AW245))</f>
        <v>0</v>
      </c>
      <c r="AX252" s="197">
        <f t="shared" ref="AX252" si="2578">MIN(0,MAX(-(AX248+AX249+AX250+AX251),-AX245))</f>
        <v>0</v>
      </c>
      <c r="AY252" s="197">
        <f t="shared" ref="AY252" si="2579">MIN(0,MAX(-(AY248+AY249+AY250+AY251),-AY245))</f>
        <v>0</v>
      </c>
      <c r="AZ252" s="197">
        <f t="shared" ref="AZ252" si="2580">MIN(0,MAX(-(AZ248+AZ249+AZ250+AZ251),-AZ245))</f>
        <v>0</v>
      </c>
      <c r="BA252" s="197">
        <f t="shared" ref="BA252" si="2581">MIN(0,MAX(-(BA248+BA249+BA250+BA251),-BA245))</f>
        <v>0</v>
      </c>
      <c r="BB252" s="197">
        <f t="shared" ref="BB252" si="2582">MIN(0,MAX(-(BB248+BB249+BB250+BB251),-BB245))</f>
        <v>0</v>
      </c>
      <c r="BC252" s="197">
        <f t="shared" ref="BC252" si="2583">MIN(0,MAX(-(BC248+BC249+BC250+BC251),-BC245))</f>
        <v>0</v>
      </c>
      <c r="BD252" s="197">
        <f t="shared" ref="BD252" si="2584">MIN(0,MAX(-(BD248+BD249+BD250+BD251),-BD245))</f>
        <v>0</v>
      </c>
      <c r="BE252" s="197">
        <f t="shared" ref="BE252" si="2585">MIN(0,MAX(-(BE248+BE249+BE250+BE251),-BE245))</f>
        <v>0</v>
      </c>
      <c r="BF252" s="197">
        <f t="shared" ref="BF252" si="2586">MIN(0,MAX(-(BF248+BF249+BF250+BF251),-BF245))</f>
        <v>0</v>
      </c>
      <c r="BG252" s="197">
        <f t="shared" ref="BG252" si="2587">MIN(0,MAX(-(BG248+BG249+BG250+BG251),-BG245))</f>
        <v>0</v>
      </c>
      <c r="BH252" s="197">
        <f t="shared" ref="BH252" si="2588">MIN(0,MAX(-(BH248+BH249+BH250+BH251),-BH245))</f>
        <v>0</v>
      </c>
      <c r="BI252" s="197">
        <f t="shared" ref="BI252" si="2589">MIN(0,MAX(-(BI248+BI249+BI250+BI251),-BI245))</f>
        <v>0</v>
      </c>
      <c r="BJ252" s="197">
        <f t="shared" ref="BJ252" si="2590">MIN(0,MAX(-(BJ248+BJ249+BJ250+BJ251),-BJ245))</f>
        <v>0</v>
      </c>
      <c r="BK252" s="197">
        <f t="shared" ref="BK252" si="2591">MIN(0,MAX(-(BK248+BK249+BK250+BK251),-BK245))</f>
        <v>0</v>
      </c>
      <c r="BL252" s="197">
        <f t="shared" ref="BL252" si="2592">MIN(0,MAX(-(BL248+BL249+BL250+BL251),-BL245))</f>
        <v>0</v>
      </c>
      <c r="BM252" s="197">
        <f t="shared" ref="BM252" si="2593">MIN(0,MAX(-(BM248+BM249+BM250+BM251),-BM245))</f>
        <v>0</v>
      </c>
      <c r="BN252" s="197">
        <f t="shared" ref="BN252" si="2594">MIN(0,MAX(-(BN248+BN249+BN250+BN251),-BN245))</f>
        <v>0</v>
      </c>
      <c r="BO252" s="197">
        <f t="shared" ref="BO252" si="2595">MIN(0,MAX(-(BO248+BO249+BO250+BO251),-BO245))</f>
        <v>0</v>
      </c>
      <c r="BP252" s="197">
        <f t="shared" ref="BP252" si="2596">MIN(0,MAX(-(BP248+BP249+BP250+BP251),-BP245))</f>
        <v>0</v>
      </c>
      <c r="BQ252" s="197">
        <f t="shared" ref="BQ252" si="2597">MIN(0,MAX(-(BQ248+BQ249+BQ250+BQ251),-BQ245))</f>
        <v>0</v>
      </c>
      <c r="BR252" s="197">
        <f t="shared" ref="BR252" si="2598">MIN(0,MAX(-(BR248+BR249+BR250+BR251),-BR245))</f>
        <v>0</v>
      </c>
      <c r="BS252" s="197">
        <f t="shared" ref="BS252" si="2599">MIN(0,MAX(-(BS248+BS249+BS250+BS251),-BS245))</f>
        <v>0</v>
      </c>
      <c r="BT252" s="197">
        <f t="shared" ref="BT252" si="2600">MIN(0,MAX(-(BT248+BT249+BT250+BT251),-BT245))</f>
        <v>0</v>
      </c>
      <c r="BU252" s="197">
        <f t="shared" ref="BU252" si="2601">MIN(0,MAX(-(BU248+BU249+BU250+BU251),-BU245))</f>
        <v>0</v>
      </c>
      <c r="BV252" s="197">
        <f t="shared" ref="BV252" si="2602">MIN(0,MAX(-(BV248+BV249+BV250+BV251),-BV245))</f>
        <v>0</v>
      </c>
      <c r="BW252" s="197">
        <f t="shared" ref="BW252" si="2603">MIN(0,MAX(-(BW248+BW249+BW250+BW251),-BW245))</f>
        <v>0</v>
      </c>
      <c r="BX252" s="197">
        <f t="shared" ref="BX252" si="2604">MIN(0,MAX(-(BX248+BX249+BX250+BX251),-BX245))</f>
        <v>0</v>
      </c>
      <c r="BY252" s="197">
        <f t="shared" ref="BY252" si="2605">MIN(0,MAX(-(BY248+BY249+BY250+BY251),-BY245))</f>
        <v>0</v>
      </c>
      <c r="BZ252" s="197">
        <f t="shared" ref="BZ252" si="2606">MIN(0,MAX(-(BZ248+BZ249+BZ250+BZ251),-BZ245))</f>
        <v>-53251195.854409933</v>
      </c>
      <c r="CA252" s="197">
        <f t="shared" ref="CA252" si="2607">MIN(0,MAX(-(CA248+CA249+CA250+CA251),-CA245))</f>
        <v>0</v>
      </c>
      <c r="CB252" s="197">
        <f t="shared" ref="CB252" si="2608">MIN(0,MAX(-(CB248+CB249+CB250+CB251),-CB245))</f>
        <v>0</v>
      </c>
      <c r="CC252" s="197">
        <f t="shared" ref="CC252" si="2609">MIN(0,MAX(-(CC248+CC249+CC250+CC251),-CC245))</f>
        <v>0</v>
      </c>
      <c r="CD252" s="197">
        <f t="shared" ref="CD252" si="2610">MIN(0,MAX(-(CD248+CD249+CD250+CD251),-CD245))</f>
        <v>0</v>
      </c>
      <c r="CE252" s="197">
        <f t="shared" ref="CE252" si="2611">MIN(0,MAX(-(CE248+CE249+CE250+CE251),-CE245))</f>
        <v>0</v>
      </c>
      <c r="CF252" s="197">
        <f t="shared" ref="CF252" si="2612">MIN(0,MAX(-(CF248+CF249+CF250+CF251),-CF245))</f>
        <v>0</v>
      </c>
      <c r="CG252" s="197">
        <f t="shared" ref="CG252" si="2613">MIN(0,MAX(-(CG248+CG249+CG250+CG251),-CG245))</f>
        <v>0</v>
      </c>
      <c r="CH252" s="197">
        <f t="shared" ref="CH252" si="2614">MIN(0,MAX(-(CH248+CH249+CH250+CH251),-CH245))</f>
        <v>0</v>
      </c>
      <c r="CI252" s="197">
        <f t="shared" ref="CI252" si="2615">MIN(0,MAX(-(CI248+CI249+CI250+CI251),-CI245))</f>
        <v>0</v>
      </c>
      <c r="CJ252" s="197">
        <f t="shared" ref="CJ252" si="2616">MIN(0,MAX(-(CJ248+CJ249+CJ250+CJ251),-CJ245))</f>
        <v>0</v>
      </c>
      <c r="CK252" s="197">
        <f t="shared" ref="CK252" si="2617">MIN(0,MAX(-(CK248+CK249+CK250+CK251),-CK245))</f>
        <v>0</v>
      </c>
      <c r="CL252" s="197">
        <f t="shared" ref="CL252" si="2618">MIN(0,MAX(-(CL248+CL249+CL250+CL251),-CL245))</f>
        <v>0</v>
      </c>
      <c r="CM252" s="197">
        <f t="shared" ref="CM252" si="2619">MIN(0,MAX(-(CM248+CM249+CM250+CM251),-CM245))</f>
        <v>0</v>
      </c>
      <c r="CN252" s="197">
        <f t="shared" ref="CN252" si="2620">MIN(0,MAX(-(CN248+CN249+CN250+CN251),-CN245))</f>
        <v>0</v>
      </c>
      <c r="CO252" s="197">
        <f t="shared" ref="CO252" si="2621">MIN(0,MAX(-(CO248+CO249+CO250+CO251),-CO245))</f>
        <v>0</v>
      </c>
      <c r="CP252" s="197">
        <f t="shared" ref="CP252" si="2622">MIN(0,MAX(-(CP248+CP249+CP250+CP251),-CP245))</f>
        <v>0</v>
      </c>
      <c r="CQ252" s="197">
        <f t="shared" ref="CQ252" si="2623">MIN(0,MAX(-(CQ248+CQ249+CQ250+CQ251),-CQ245))</f>
        <v>0</v>
      </c>
      <c r="CR252" s="197">
        <f t="shared" ref="CR252" si="2624">MIN(0,MAX(-(CR248+CR249+CR250+CR251),-CR245))</f>
        <v>0</v>
      </c>
      <c r="CS252" s="197">
        <f t="shared" ref="CS252" si="2625">MIN(0,MAX(-(CS248+CS249+CS250+CS251),-CS245))</f>
        <v>0</v>
      </c>
      <c r="CT252" s="197">
        <f t="shared" ref="CT252" si="2626">MIN(0,MAX(-(CT248+CT249+CT250+CT251),-CT245))</f>
        <v>0</v>
      </c>
      <c r="CU252" s="197">
        <f t="shared" ref="CU252" si="2627">MIN(0,MAX(-(CU248+CU249+CU250+CU251),-CU245))</f>
        <v>0</v>
      </c>
      <c r="CV252" s="197">
        <f t="shared" ref="CV252" si="2628">MIN(0,MAX(-(CV248+CV249+CV250+CV251),-CV245))</f>
        <v>0</v>
      </c>
      <c r="CW252" s="197">
        <f t="shared" ref="CW252" si="2629">MIN(0,MAX(-(CW248+CW249+CW250+CW251),-CW245))</f>
        <v>0</v>
      </c>
    </row>
    <row r="253" spans="3:101" outlineLevel="1" x14ac:dyDescent="0.25">
      <c r="C253" s="200" t="s">
        <v>225</v>
      </c>
      <c r="D253" s="47" t="s">
        <v>107</v>
      </c>
      <c r="E253" s="206"/>
      <c r="F253" s="39">
        <f>SUM(F248:F252)</f>
        <v>155940000</v>
      </c>
      <c r="G253" s="39">
        <f t="shared" ref="G253" si="2630">SUM(G248:G252)</f>
        <v>160980000</v>
      </c>
      <c r="H253" s="39">
        <f t="shared" ref="H253" si="2631">SUM(H248:H252)</f>
        <v>169620000</v>
      </c>
      <c r="I253" s="39">
        <f t="shared" ref="I253" si="2632">SUM(I248:I252)</f>
        <v>179160000</v>
      </c>
      <c r="J253" s="39">
        <f t="shared" ref="J253" si="2633">SUM(J248:J252)</f>
        <v>185100000</v>
      </c>
      <c r="K253" s="39">
        <f t="shared" ref="K253" si="2634">SUM(K248:K252)</f>
        <v>340680000</v>
      </c>
      <c r="L253" s="39">
        <f t="shared" ref="L253" si="2635">SUM(L248:L252)</f>
        <v>355800000</v>
      </c>
      <c r="M253" s="39">
        <f t="shared" ref="M253" si="2636">SUM(M248:M252)</f>
        <v>366960000</v>
      </c>
      <c r="N253" s="39">
        <f t="shared" ref="N253" si="2637">SUM(N248:N252)</f>
        <v>380100000</v>
      </c>
      <c r="O253" s="39">
        <f t="shared" ref="O253" si="2638">SUM(O248:O252)</f>
        <v>398640000</v>
      </c>
      <c r="P253" s="39">
        <f t="shared" ref="P253" si="2639">SUM(P248:P252)</f>
        <v>425280000</v>
      </c>
      <c r="Q253" s="39">
        <f t="shared" ref="Q253" si="2640">SUM(Q248:Q252)</f>
        <v>456780000</v>
      </c>
      <c r="R253" s="39">
        <f t="shared" ref="R253" si="2641">SUM(R248:R252)</f>
        <v>506280000</v>
      </c>
      <c r="S253" s="39">
        <f t="shared" ref="S253" si="2642">SUM(S248:S252)</f>
        <v>562080000</v>
      </c>
      <c r="T253" s="39">
        <f t="shared" ref="T253" si="2643">SUM(T248:T252)</f>
        <v>618960000</v>
      </c>
      <c r="U253" s="39">
        <f t="shared" ref="U253" si="2644">SUM(U248:U252)</f>
        <v>702840000</v>
      </c>
      <c r="V253" s="39">
        <f t="shared" ref="V253" si="2645">SUM(V248:V252)</f>
        <v>786720000</v>
      </c>
      <c r="W253" s="39">
        <f t="shared" ref="W253" si="2646">SUM(W248:W252)</f>
        <v>830474112</v>
      </c>
      <c r="X253" s="39">
        <f t="shared" ref="X253" si="2647">SUM(X248:X252)</f>
        <v>830474112</v>
      </c>
      <c r="Y253" s="39">
        <f t="shared" ref="Y253" si="2648">SUM(Y248:Y252)</f>
        <v>830474112</v>
      </c>
      <c r="Z253" s="39">
        <f t="shared" ref="Z253" si="2649">SUM(Z248:Z252)</f>
        <v>830474112</v>
      </c>
      <c r="AA253" s="39">
        <f t="shared" ref="AA253" si="2650">SUM(AA248:AA252)</f>
        <v>830474112</v>
      </c>
      <c r="AB253" s="39">
        <f t="shared" ref="AB253" si="2651">SUM(AB248:AB252)</f>
        <v>830474112</v>
      </c>
      <c r="AC253" s="39">
        <f t="shared" ref="AC253" si="2652">SUM(AC248:AC252)</f>
        <v>830474112</v>
      </c>
      <c r="AD253" s="39">
        <f t="shared" ref="AD253" si="2653">SUM(AD248:AD252)</f>
        <v>830474112</v>
      </c>
      <c r="AE253" s="39">
        <f t="shared" ref="AE253" si="2654">SUM(AE248:AE252)</f>
        <v>830474112</v>
      </c>
      <c r="AF253" s="39">
        <f t="shared" ref="AF253" si="2655">SUM(AF248:AF252)</f>
        <v>830474112</v>
      </c>
      <c r="AG253" s="39">
        <f t="shared" ref="AG253" si="2656">SUM(AG248:AG252)</f>
        <v>830474112</v>
      </c>
      <c r="AH253" s="39">
        <f t="shared" ref="AH253" si="2657">SUM(AH248:AH252)</f>
        <v>830474112</v>
      </c>
      <c r="AI253" s="39">
        <f t="shared" ref="AI253" si="2658">SUM(AI248:AI252)</f>
        <v>830474112</v>
      </c>
      <c r="AJ253" s="39">
        <f t="shared" ref="AJ253" si="2659">SUM(AJ248:AJ252)</f>
        <v>830474112</v>
      </c>
      <c r="AK253" s="39">
        <f t="shared" ref="AK253" si="2660">SUM(AK248:AK252)</f>
        <v>830474112</v>
      </c>
      <c r="AL253" s="39">
        <f t="shared" ref="AL253" si="2661">SUM(AL248:AL252)</f>
        <v>830474112</v>
      </c>
      <c r="AM253" s="39">
        <f t="shared" ref="AM253" si="2662">SUM(AM248:AM252)</f>
        <v>830474112</v>
      </c>
      <c r="AN253" s="39">
        <f t="shared" ref="AN253" si="2663">SUM(AN248:AN252)</f>
        <v>830474112</v>
      </c>
      <c r="AO253" s="39">
        <f t="shared" ref="AO253" si="2664">SUM(AO248:AO252)</f>
        <v>830474112</v>
      </c>
      <c r="AP253" s="39">
        <f t="shared" ref="AP253" si="2665">SUM(AP248:AP252)</f>
        <v>830474112</v>
      </c>
      <c r="AQ253" s="39">
        <f t="shared" ref="AQ253" si="2666">SUM(AQ248:AQ252)</f>
        <v>830474112</v>
      </c>
      <c r="AR253" s="39">
        <f t="shared" ref="AR253" si="2667">SUM(AR248:AR252)</f>
        <v>830474112</v>
      </c>
      <c r="AS253" s="39">
        <f t="shared" ref="AS253" si="2668">SUM(AS248:AS252)</f>
        <v>830474112</v>
      </c>
      <c r="AT253" s="39">
        <f t="shared" ref="AT253" si="2669">SUM(AT248:AT252)</f>
        <v>830474112</v>
      </c>
      <c r="AU253" s="39">
        <f t="shared" ref="AU253" si="2670">SUM(AU248:AU252)</f>
        <v>830474112</v>
      </c>
      <c r="AV253" s="39">
        <f t="shared" ref="AV253" si="2671">SUM(AV248:AV252)</f>
        <v>830474112</v>
      </c>
      <c r="AW253" s="39">
        <f t="shared" ref="AW253" si="2672">SUM(AW248:AW252)</f>
        <v>830474112</v>
      </c>
      <c r="AX253" s="39">
        <f t="shared" ref="AX253" si="2673">SUM(AX248:AX252)</f>
        <v>830474112</v>
      </c>
      <c r="AY253" s="39">
        <f t="shared" ref="AY253" si="2674">SUM(AY248:AY252)</f>
        <v>830474112</v>
      </c>
      <c r="AZ253" s="39">
        <f t="shared" ref="AZ253" si="2675">SUM(AZ248:AZ252)</f>
        <v>830474112</v>
      </c>
      <c r="BA253" s="39">
        <f t="shared" ref="BA253" si="2676">SUM(BA248:BA252)</f>
        <v>634501414.44495857</v>
      </c>
      <c r="BB253" s="39">
        <f t="shared" ref="BB253" si="2677">SUM(BB248:BB252)</f>
        <v>643343038.22286975</v>
      </c>
      <c r="BC253" s="39">
        <f t="shared" ref="BC253" si="2678">SUM(BC248:BC252)</f>
        <v>652190607.05303133</v>
      </c>
      <c r="BD253" s="39">
        <f t="shared" ref="BD253" si="2679">SUM(BD248:BD252)</f>
        <v>661044135.50091183</v>
      </c>
      <c r="BE253" s="39">
        <f t="shared" ref="BE253" si="2680">SUM(BE248:BE252)</f>
        <v>669903638.17057478</v>
      </c>
      <c r="BF253" s="39">
        <f t="shared" ref="BF253" si="2681">SUM(BF248:BF252)</f>
        <v>678769129.70478833</v>
      </c>
      <c r="BG253" s="39">
        <f t="shared" ref="BG253" si="2682">SUM(BG248:BG252)</f>
        <v>687640624.7851342</v>
      </c>
      <c r="BH253" s="39">
        <f t="shared" ref="BH253" si="2683">SUM(BH248:BH252)</f>
        <v>691133868.64680588</v>
      </c>
      <c r="BI253" s="39">
        <f t="shared" ref="BI253" si="2684">SUM(BI248:BI252)</f>
        <v>694633145.53465736</v>
      </c>
      <c r="BJ253" s="39">
        <f t="shared" ref="BJ253" si="2685">SUM(BJ248:BJ252)</f>
        <v>698138470.24737537</v>
      </c>
      <c r="BK253" s="39">
        <f t="shared" ref="BK253" si="2686">SUM(BK248:BK252)</f>
        <v>697877959.723279</v>
      </c>
      <c r="BL253" s="39">
        <f t="shared" ref="BL253" si="2687">SUM(BL248:BL252)</f>
        <v>701054814.46242762</v>
      </c>
      <c r="BM253" s="39">
        <f t="shared" ref="BM253" si="2688">SUM(BM248:BM252)</f>
        <v>700800388.93684828</v>
      </c>
      <c r="BN253" s="39">
        <f t="shared" ref="BN253" si="2689">SUM(BN248:BN252)</f>
        <v>700443273.13418853</v>
      </c>
      <c r="BO253" s="39">
        <f t="shared" ref="BO253" si="2690">SUM(BO248:BO252)</f>
        <v>700089412.93723035</v>
      </c>
      <c r="BP253" s="39">
        <f t="shared" ref="BP253" si="2691">SUM(BP248:BP252)</f>
        <v>699738816.62441635</v>
      </c>
      <c r="BQ253" s="39">
        <f t="shared" ref="BQ253" si="2692">SUM(BQ248:BQ252)</f>
        <v>699391492.49638939</v>
      </c>
      <c r="BR253" s="39">
        <f t="shared" ref="BR253" si="2693">SUM(BR248:BR252)</f>
        <v>699047448.87605464</v>
      </c>
      <c r="BS253" s="39">
        <f t="shared" ref="BS253" si="2694">SUM(BS248:BS252)</f>
        <v>698706694.10864282</v>
      </c>
      <c r="BT253" s="39">
        <f t="shared" ref="BT253" si="2695">SUM(BT248:BT252)</f>
        <v>698369236.56177258</v>
      </c>
      <c r="BU253" s="39">
        <f t="shared" ref="BU253" si="2696">SUM(BU248:BU252)</f>
        <v>698035084.62551415</v>
      </c>
      <c r="BV253" s="39">
        <f t="shared" ref="BV253" si="2697">SUM(BV248:BV252)</f>
        <v>697704246.71245253</v>
      </c>
      <c r="BW253" s="39">
        <f t="shared" ref="BW253" si="2698">SUM(BW248:BW252)</f>
        <v>697376731.25775075</v>
      </c>
      <c r="BX253" s="39">
        <f t="shared" ref="BX253" si="2699">SUM(BX248:BX252)</f>
        <v>697052546.71921384</v>
      </c>
      <c r="BY253" s="39">
        <f t="shared" ref="BY253" si="2700">SUM(BY248:BY252)</f>
        <v>696731701.57735264</v>
      </c>
      <c r="BZ253" s="39">
        <f t="shared" ref="BZ253" si="2701">SUM(BZ248:BZ252)</f>
        <v>0</v>
      </c>
      <c r="CA253" s="39">
        <f t="shared" ref="CA253" si="2702">SUM(CA248:CA252)</f>
        <v>0</v>
      </c>
      <c r="CB253" s="39">
        <f t="shared" ref="CB253" si="2703">SUM(CB248:CB252)</f>
        <v>0</v>
      </c>
      <c r="CC253" s="39">
        <f t="shared" ref="CC253" si="2704">SUM(CC248:CC252)</f>
        <v>0</v>
      </c>
      <c r="CD253" s="39">
        <f t="shared" ref="CD253" si="2705">SUM(CD248:CD252)</f>
        <v>0</v>
      </c>
      <c r="CE253" s="39">
        <f t="shared" ref="CE253" si="2706">SUM(CE248:CE252)</f>
        <v>0</v>
      </c>
      <c r="CF253" s="39">
        <f t="shared" ref="CF253" si="2707">SUM(CF248:CF252)</f>
        <v>0</v>
      </c>
      <c r="CG253" s="39">
        <f t="shared" ref="CG253" si="2708">SUM(CG248:CG252)</f>
        <v>0</v>
      </c>
      <c r="CH253" s="39">
        <f t="shared" ref="CH253" si="2709">SUM(CH248:CH252)</f>
        <v>0</v>
      </c>
      <c r="CI253" s="39">
        <f t="shared" ref="CI253" si="2710">SUM(CI248:CI252)</f>
        <v>0</v>
      </c>
      <c r="CJ253" s="39">
        <f t="shared" ref="CJ253" si="2711">SUM(CJ248:CJ252)</f>
        <v>0</v>
      </c>
      <c r="CK253" s="39">
        <f t="shared" ref="CK253" si="2712">SUM(CK248:CK252)</f>
        <v>0</v>
      </c>
      <c r="CL253" s="39">
        <f t="shared" ref="CL253" si="2713">SUM(CL248:CL252)</f>
        <v>0</v>
      </c>
      <c r="CM253" s="39">
        <f t="shared" ref="CM253" si="2714">SUM(CM248:CM252)</f>
        <v>0</v>
      </c>
      <c r="CN253" s="39">
        <f t="shared" ref="CN253" si="2715">SUM(CN248:CN252)</f>
        <v>0</v>
      </c>
      <c r="CO253" s="39">
        <f t="shared" ref="CO253" si="2716">SUM(CO248:CO252)</f>
        <v>0</v>
      </c>
      <c r="CP253" s="39">
        <f t="shared" ref="CP253" si="2717">SUM(CP248:CP252)</f>
        <v>0</v>
      </c>
      <c r="CQ253" s="39">
        <f t="shared" ref="CQ253" si="2718">SUM(CQ248:CQ252)</f>
        <v>0</v>
      </c>
      <c r="CR253" s="39">
        <f t="shared" ref="CR253" si="2719">SUM(CR248:CR252)</f>
        <v>0</v>
      </c>
      <c r="CS253" s="39">
        <f t="shared" ref="CS253" si="2720">SUM(CS248:CS252)</f>
        <v>0</v>
      </c>
      <c r="CT253" s="39">
        <f t="shared" ref="CT253" si="2721">SUM(CT248:CT252)</f>
        <v>0</v>
      </c>
      <c r="CU253" s="39">
        <f t="shared" ref="CU253" si="2722">SUM(CU248:CU252)</f>
        <v>0</v>
      </c>
      <c r="CV253" s="39">
        <f t="shared" ref="CV253" si="2723">SUM(CV248:CV252)</f>
        <v>0</v>
      </c>
      <c r="CW253" s="39">
        <f t="shared" ref="CW253" si="2724">SUM(CW248:CW252)</f>
        <v>0</v>
      </c>
    </row>
    <row r="254" spans="3:101" outlineLevel="1" x14ac:dyDescent="0.25">
      <c r="C254" s="197"/>
      <c r="D254" s="80"/>
      <c r="E254" s="80"/>
      <c r="F254" s="80"/>
      <c r="G254" s="80"/>
      <c r="H254" s="80"/>
      <c r="I254" s="80"/>
      <c r="J254" s="80"/>
      <c r="K254" s="80"/>
      <c r="L254" s="80"/>
      <c r="M254" s="80"/>
      <c r="N254" s="80"/>
      <c r="O254" s="80"/>
      <c r="P254" s="80"/>
      <c r="Q254" s="80"/>
      <c r="R254" s="80"/>
      <c r="S254" s="80"/>
      <c r="T254" s="80"/>
      <c r="U254" s="80"/>
      <c r="V254" s="80"/>
      <c r="W254" s="80"/>
      <c r="X254" s="80"/>
      <c r="Y254" s="80"/>
      <c r="Z254" s="80"/>
      <c r="AA254" s="80"/>
      <c r="AB254" s="80"/>
      <c r="AC254" s="80"/>
      <c r="AD254" s="80"/>
      <c r="AE254" s="80"/>
      <c r="AF254" s="80"/>
      <c r="AG254" s="80"/>
      <c r="AH254" s="80"/>
      <c r="AI254" s="80"/>
      <c r="AJ254" s="80"/>
      <c r="AK254" s="80"/>
      <c r="AL254" s="80"/>
      <c r="AM254" s="80"/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  <c r="AY254" s="80"/>
      <c r="AZ254" s="80"/>
      <c r="BA254" s="80"/>
      <c r="BB254" s="80"/>
      <c r="BC254" s="80"/>
      <c r="BD254" s="80"/>
      <c r="BE254" s="80"/>
      <c r="BF254" s="80"/>
      <c r="BG254" s="80"/>
      <c r="BH254" s="80"/>
      <c r="BI254" s="80"/>
      <c r="BJ254" s="80"/>
      <c r="BK254" s="80"/>
      <c r="BL254" s="80"/>
      <c r="BM254" s="80"/>
      <c r="BN254" s="80"/>
      <c r="BO254" s="80"/>
      <c r="BP254" s="80"/>
      <c r="BQ254" s="80"/>
      <c r="BR254" s="80"/>
      <c r="BS254" s="80"/>
      <c r="BT254" s="80"/>
      <c r="BU254" s="80"/>
      <c r="BV254" s="80"/>
      <c r="BW254" s="80"/>
      <c r="BX254" s="80"/>
      <c r="BY254" s="80"/>
      <c r="BZ254" s="80"/>
      <c r="CA254" s="80"/>
      <c r="CB254" s="80"/>
      <c r="CC254" s="80"/>
      <c r="CD254" s="80"/>
      <c r="CE254" s="80"/>
      <c r="CF254" s="80"/>
      <c r="CG254" s="80"/>
      <c r="CH254" s="80"/>
      <c r="CI254" s="80"/>
      <c r="CJ254" s="80"/>
      <c r="CK254" s="80"/>
      <c r="CL254" s="80"/>
      <c r="CM254" s="80"/>
      <c r="CN254" s="80"/>
      <c r="CO254" s="80"/>
      <c r="CP254" s="80"/>
      <c r="CQ254" s="80"/>
      <c r="CR254" s="80"/>
      <c r="CS254" s="80"/>
      <c r="CT254" s="80"/>
      <c r="CU254" s="80"/>
      <c r="CV254" s="80"/>
      <c r="CW254" s="80"/>
    </row>
    <row r="255" spans="3:101" outlineLevel="1" x14ac:dyDescent="0.25">
      <c r="C255" s="201" t="s">
        <v>226</v>
      </c>
      <c r="D255" s="152" t="s">
        <v>107</v>
      </c>
      <c r="E255" s="205">
        <f>Tier_2_Investor_Split</f>
        <v>0.77500000000000002</v>
      </c>
      <c r="F255" s="197">
        <f>MAX(0,MIN(-(F249+F252),F248+F250)*$E255)</f>
        <v>0</v>
      </c>
      <c r="G255" s="197">
        <f t="shared" ref="G255:BR255" si="2725">MAX(0,MIN(-(G249+G252),G248+G250)*$E255)</f>
        <v>0</v>
      </c>
      <c r="H255" s="197">
        <f t="shared" si="2725"/>
        <v>0</v>
      </c>
      <c r="I255" s="197">
        <f t="shared" si="2725"/>
        <v>0</v>
      </c>
      <c r="J255" s="197">
        <f t="shared" si="2725"/>
        <v>0</v>
      </c>
      <c r="K255" s="197">
        <f t="shared" si="2725"/>
        <v>0</v>
      </c>
      <c r="L255" s="197">
        <f t="shared" si="2725"/>
        <v>0</v>
      </c>
      <c r="M255" s="197">
        <f t="shared" si="2725"/>
        <v>0</v>
      </c>
      <c r="N255" s="197">
        <f t="shared" si="2725"/>
        <v>0</v>
      </c>
      <c r="O255" s="197">
        <f t="shared" si="2725"/>
        <v>0</v>
      </c>
      <c r="P255" s="197">
        <f t="shared" si="2725"/>
        <v>0</v>
      </c>
      <c r="Q255" s="197">
        <f t="shared" si="2725"/>
        <v>0</v>
      </c>
      <c r="R255" s="197">
        <f t="shared" si="2725"/>
        <v>0</v>
      </c>
      <c r="S255" s="197">
        <f t="shared" si="2725"/>
        <v>0</v>
      </c>
      <c r="T255" s="197">
        <f t="shared" si="2725"/>
        <v>0</v>
      </c>
      <c r="U255" s="197">
        <f t="shared" si="2725"/>
        <v>0</v>
      </c>
      <c r="V255" s="197">
        <f t="shared" si="2725"/>
        <v>0</v>
      </c>
      <c r="W255" s="197">
        <f t="shared" si="2725"/>
        <v>0</v>
      </c>
      <c r="X255" s="197">
        <f t="shared" si="2725"/>
        <v>0</v>
      </c>
      <c r="Y255" s="197">
        <f t="shared" si="2725"/>
        <v>0</v>
      </c>
      <c r="Z255" s="197">
        <f t="shared" si="2725"/>
        <v>0</v>
      </c>
      <c r="AA255" s="197">
        <f t="shared" si="2725"/>
        <v>0</v>
      </c>
      <c r="AB255" s="197">
        <f t="shared" si="2725"/>
        <v>0</v>
      </c>
      <c r="AC255" s="197">
        <f t="shared" si="2725"/>
        <v>0</v>
      </c>
      <c r="AD255" s="197">
        <f t="shared" si="2725"/>
        <v>0</v>
      </c>
      <c r="AE255" s="197">
        <f t="shared" si="2725"/>
        <v>0</v>
      </c>
      <c r="AF255" s="197">
        <f t="shared" si="2725"/>
        <v>0</v>
      </c>
      <c r="AG255" s="197">
        <f t="shared" si="2725"/>
        <v>0</v>
      </c>
      <c r="AH255" s="197">
        <f t="shared" si="2725"/>
        <v>0</v>
      </c>
      <c r="AI255" s="197">
        <f t="shared" si="2725"/>
        <v>0</v>
      </c>
      <c r="AJ255" s="197">
        <f t="shared" si="2725"/>
        <v>0</v>
      </c>
      <c r="AK255" s="197">
        <f t="shared" si="2725"/>
        <v>0</v>
      </c>
      <c r="AL255" s="197">
        <f t="shared" si="2725"/>
        <v>0</v>
      </c>
      <c r="AM255" s="197">
        <f t="shared" si="2725"/>
        <v>0</v>
      </c>
      <c r="AN255" s="197">
        <f t="shared" si="2725"/>
        <v>0</v>
      </c>
      <c r="AO255" s="197">
        <f t="shared" si="2725"/>
        <v>0</v>
      </c>
      <c r="AP255" s="197">
        <f t="shared" si="2725"/>
        <v>0</v>
      </c>
      <c r="AQ255" s="197">
        <f t="shared" si="2725"/>
        <v>0</v>
      </c>
      <c r="AR255" s="197">
        <f t="shared" si="2725"/>
        <v>0</v>
      </c>
      <c r="AS255" s="197">
        <f t="shared" si="2725"/>
        <v>0</v>
      </c>
      <c r="AT255" s="197">
        <f t="shared" si="2725"/>
        <v>0</v>
      </c>
      <c r="AU255" s="197">
        <f t="shared" si="2725"/>
        <v>0</v>
      </c>
      <c r="AV255" s="197">
        <f t="shared" si="2725"/>
        <v>0</v>
      </c>
      <c r="AW255" s="197">
        <f t="shared" si="2725"/>
        <v>0</v>
      </c>
      <c r="AX255" s="197">
        <f t="shared" si="2725"/>
        <v>0</v>
      </c>
      <c r="AY255" s="197">
        <f t="shared" si="2725"/>
        <v>0</v>
      </c>
      <c r="AZ255" s="197">
        <f t="shared" si="2725"/>
        <v>0</v>
      </c>
      <c r="BA255" s="197">
        <f t="shared" si="2725"/>
        <v>0</v>
      </c>
      <c r="BB255" s="197">
        <f t="shared" si="2725"/>
        <v>0</v>
      </c>
      <c r="BC255" s="197">
        <f t="shared" si="2725"/>
        <v>0</v>
      </c>
      <c r="BD255" s="197">
        <f t="shared" si="2725"/>
        <v>0</v>
      </c>
      <c r="BE255" s="197">
        <f t="shared" si="2725"/>
        <v>0</v>
      </c>
      <c r="BF255" s="197">
        <f t="shared" si="2725"/>
        <v>0</v>
      </c>
      <c r="BG255" s="197">
        <f t="shared" si="2725"/>
        <v>0</v>
      </c>
      <c r="BH255" s="197">
        <f t="shared" si="2725"/>
        <v>0</v>
      </c>
      <c r="BI255" s="197">
        <f t="shared" si="2725"/>
        <v>0</v>
      </c>
      <c r="BJ255" s="197">
        <f t="shared" si="2725"/>
        <v>0</v>
      </c>
      <c r="BK255" s="197">
        <f t="shared" si="2725"/>
        <v>0</v>
      </c>
      <c r="BL255" s="197">
        <f t="shared" si="2725"/>
        <v>0</v>
      </c>
      <c r="BM255" s="197">
        <f t="shared" si="2725"/>
        <v>0</v>
      </c>
      <c r="BN255" s="197">
        <f t="shared" si="2725"/>
        <v>0</v>
      </c>
      <c r="BO255" s="197">
        <f t="shared" si="2725"/>
        <v>0</v>
      </c>
      <c r="BP255" s="197">
        <f t="shared" si="2725"/>
        <v>0</v>
      </c>
      <c r="BQ255" s="197">
        <f t="shared" si="2725"/>
        <v>0</v>
      </c>
      <c r="BR255" s="197">
        <f t="shared" si="2725"/>
        <v>0</v>
      </c>
      <c r="BS255" s="197">
        <f t="shared" ref="BS255:CW255" si="2726">MAX(0,MIN(-(BS249+BS252),BS248+BS250)*$E255)</f>
        <v>0</v>
      </c>
      <c r="BT255" s="197">
        <f t="shared" si="2726"/>
        <v>0</v>
      </c>
      <c r="BU255" s="197">
        <f t="shared" si="2726"/>
        <v>0</v>
      </c>
      <c r="BV255" s="197">
        <f t="shared" si="2726"/>
        <v>0</v>
      </c>
      <c r="BW255" s="197">
        <f t="shared" si="2726"/>
        <v>0</v>
      </c>
      <c r="BX255" s="197">
        <f t="shared" si="2726"/>
        <v>0</v>
      </c>
      <c r="BY255" s="197">
        <f t="shared" si="2726"/>
        <v>0</v>
      </c>
      <c r="BZ255" s="197">
        <f t="shared" si="2726"/>
        <v>41269676.787167698</v>
      </c>
      <c r="CA255" s="197">
        <f t="shared" si="2726"/>
        <v>0</v>
      </c>
      <c r="CB255" s="197">
        <f t="shared" si="2726"/>
        <v>0</v>
      </c>
      <c r="CC255" s="197">
        <f t="shared" si="2726"/>
        <v>0</v>
      </c>
      <c r="CD255" s="197">
        <f t="shared" si="2726"/>
        <v>0</v>
      </c>
      <c r="CE255" s="197">
        <f t="shared" si="2726"/>
        <v>0</v>
      </c>
      <c r="CF255" s="197">
        <f t="shared" si="2726"/>
        <v>0</v>
      </c>
      <c r="CG255" s="197">
        <f t="shared" si="2726"/>
        <v>0</v>
      </c>
      <c r="CH255" s="197">
        <f t="shared" si="2726"/>
        <v>0</v>
      </c>
      <c r="CI255" s="197">
        <f t="shared" si="2726"/>
        <v>0</v>
      </c>
      <c r="CJ255" s="197">
        <f t="shared" si="2726"/>
        <v>0</v>
      </c>
      <c r="CK255" s="197">
        <f t="shared" si="2726"/>
        <v>0</v>
      </c>
      <c r="CL255" s="197">
        <f t="shared" si="2726"/>
        <v>0</v>
      </c>
      <c r="CM255" s="197">
        <f t="shared" si="2726"/>
        <v>0</v>
      </c>
      <c r="CN255" s="197">
        <f t="shared" si="2726"/>
        <v>0</v>
      </c>
      <c r="CO255" s="197">
        <f t="shared" si="2726"/>
        <v>0</v>
      </c>
      <c r="CP255" s="197">
        <f t="shared" si="2726"/>
        <v>0</v>
      </c>
      <c r="CQ255" s="197">
        <f t="shared" si="2726"/>
        <v>0</v>
      </c>
      <c r="CR255" s="197">
        <f t="shared" si="2726"/>
        <v>0</v>
      </c>
      <c r="CS255" s="197">
        <f t="shared" si="2726"/>
        <v>0</v>
      </c>
      <c r="CT255" s="197">
        <f t="shared" si="2726"/>
        <v>0</v>
      </c>
      <c r="CU255" s="197">
        <f t="shared" si="2726"/>
        <v>0</v>
      </c>
      <c r="CV255" s="197">
        <f t="shared" si="2726"/>
        <v>0</v>
      </c>
      <c r="CW255" s="197">
        <f t="shared" si="2726"/>
        <v>0</v>
      </c>
    </row>
    <row r="256" spans="3:101" outlineLevel="1" x14ac:dyDescent="0.25">
      <c r="C256" s="201" t="s">
        <v>227</v>
      </c>
      <c r="D256" s="152" t="s">
        <v>107</v>
      </c>
      <c r="E256" s="210">
        <f>1-E255</f>
        <v>0.22499999999999998</v>
      </c>
      <c r="F256" s="197">
        <f>+F255/$E255*$E256</f>
        <v>0</v>
      </c>
      <c r="G256" s="197">
        <f t="shared" ref="G256" si="2727">+G255/$E255*$E256</f>
        <v>0</v>
      </c>
      <c r="H256" s="197">
        <f t="shared" ref="H256" si="2728">+H255/$E255*$E256</f>
        <v>0</v>
      </c>
      <c r="I256" s="197">
        <f t="shared" ref="I256" si="2729">+I255/$E255*$E256</f>
        <v>0</v>
      </c>
      <c r="J256" s="197">
        <f t="shared" ref="J256" si="2730">+J255/$E255*$E256</f>
        <v>0</v>
      </c>
      <c r="K256" s="197">
        <f t="shared" ref="K256" si="2731">+K255/$E255*$E256</f>
        <v>0</v>
      </c>
      <c r="L256" s="197">
        <f t="shared" ref="L256" si="2732">+L255/$E255*$E256</f>
        <v>0</v>
      </c>
      <c r="M256" s="197">
        <f t="shared" ref="M256" si="2733">+M255/$E255*$E256</f>
        <v>0</v>
      </c>
      <c r="N256" s="197">
        <f t="shared" ref="N256" si="2734">+N255/$E255*$E256</f>
        <v>0</v>
      </c>
      <c r="O256" s="197">
        <f t="shared" ref="O256" si="2735">+O255/$E255*$E256</f>
        <v>0</v>
      </c>
      <c r="P256" s="197">
        <f t="shared" ref="P256" si="2736">+P255/$E255*$E256</f>
        <v>0</v>
      </c>
      <c r="Q256" s="197">
        <f t="shared" ref="Q256" si="2737">+Q255/$E255*$E256</f>
        <v>0</v>
      </c>
      <c r="R256" s="197">
        <f t="shared" ref="R256" si="2738">+R255/$E255*$E256</f>
        <v>0</v>
      </c>
      <c r="S256" s="197">
        <f t="shared" ref="S256" si="2739">+S255/$E255*$E256</f>
        <v>0</v>
      </c>
      <c r="T256" s="197">
        <f t="shared" ref="T256" si="2740">+T255/$E255*$E256</f>
        <v>0</v>
      </c>
      <c r="U256" s="197">
        <f t="shared" ref="U256" si="2741">+U255/$E255*$E256</f>
        <v>0</v>
      </c>
      <c r="V256" s="197">
        <f t="shared" ref="V256" si="2742">+V255/$E255*$E256</f>
        <v>0</v>
      </c>
      <c r="W256" s="197">
        <f t="shared" ref="W256" si="2743">+W255/$E255*$E256</f>
        <v>0</v>
      </c>
      <c r="X256" s="197">
        <f t="shared" ref="X256" si="2744">+X255/$E255*$E256</f>
        <v>0</v>
      </c>
      <c r="Y256" s="197">
        <f t="shared" ref="Y256" si="2745">+Y255/$E255*$E256</f>
        <v>0</v>
      </c>
      <c r="Z256" s="197">
        <f t="shared" ref="Z256" si="2746">+Z255/$E255*$E256</f>
        <v>0</v>
      </c>
      <c r="AA256" s="197">
        <f t="shared" ref="AA256" si="2747">+AA255/$E255*$E256</f>
        <v>0</v>
      </c>
      <c r="AB256" s="197">
        <f t="shared" ref="AB256" si="2748">+AB255/$E255*$E256</f>
        <v>0</v>
      </c>
      <c r="AC256" s="197">
        <f t="shared" ref="AC256" si="2749">+AC255/$E255*$E256</f>
        <v>0</v>
      </c>
      <c r="AD256" s="197">
        <f t="shared" ref="AD256" si="2750">+AD255/$E255*$E256</f>
        <v>0</v>
      </c>
      <c r="AE256" s="197">
        <f t="shared" ref="AE256" si="2751">+AE255/$E255*$E256</f>
        <v>0</v>
      </c>
      <c r="AF256" s="197">
        <f t="shared" ref="AF256" si="2752">+AF255/$E255*$E256</f>
        <v>0</v>
      </c>
      <c r="AG256" s="197">
        <f t="shared" ref="AG256" si="2753">+AG255/$E255*$E256</f>
        <v>0</v>
      </c>
      <c r="AH256" s="197">
        <f t="shared" ref="AH256" si="2754">+AH255/$E255*$E256</f>
        <v>0</v>
      </c>
      <c r="AI256" s="197">
        <f t="shared" ref="AI256" si="2755">+AI255/$E255*$E256</f>
        <v>0</v>
      </c>
      <c r="AJ256" s="197">
        <f t="shared" ref="AJ256" si="2756">+AJ255/$E255*$E256</f>
        <v>0</v>
      </c>
      <c r="AK256" s="197">
        <f t="shared" ref="AK256" si="2757">+AK255/$E255*$E256</f>
        <v>0</v>
      </c>
      <c r="AL256" s="197">
        <f t="shared" ref="AL256" si="2758">+AL255/$E255*$E256</f>
        <v>0</v>
      </c>
      <c r="AM256" s="197">
        <f t="shared" ref="AM256" si="2759">+AM255/$E255*$E256</f>
        <v>0</v>
      </c>
      <c r="AN256" s="197">
        <f t="shared" ref="AN256" si="2760">+AN255/$E255*$E256</f>
        <v>0</v>
      </c>
      <c r="AO256" s="197">
        <f t="shared" ref="AO256" si="2761">+AO255/$E255*$E256</f>
        <v>0</v>
      </c>
      <c r="AP256" s="197">
        <f t="shared" ref="AP256" si="2762">+AP255/$E255*$E256</f>
        <v>0</v>
      </c>
      <c r="AQ256" s="197">
        <f t="shared" ref="AQ256" si="2763">+AQ255/$E255*$E256</f>
        <v>0</v>
      </c>
      <c r="AR256" s="197">
        <f t="shared" ref="AR256" si="2764">+AR255/$E255*$E256</f>
        <v>0</v>
      </c>
      <c r="AS256" s="197">
        <f t="shared" ref="AS256" si="2765">+AS255/$E255*$E256</f>
        <v>0</v>
      </c>
      <c r="AT256" s="197">
        <f t="shared" ref="AT256" si="2766">+AT255/$E255*$E256</f>
        <v>0</v>
      </c>
      <c r="AU256" s="197">
        <f t="shared" ref="AU256" si="2767">+AU255/$E255*$E256</f>
        <v>0</v>
      </c>
      <c r="AV256" s="197">
        <f t="shared" ref="AV256" si="2768">+AV255/$E255*$E256</f>
        <v>0</v>
      </c>
      <c r="AW256" s="197">
        <f t="shared" ref="AW256" si="2769">+AW255/$E255*$E256</f>
        <v>0</v>
      </c>
      <c r="AX256" s="197">
        <f t="shared" ref="AX256" si="2770">+AX255/$E255*$E256</f>
        <v>0</v>
      </c>
      <c r="AY256" s="197">
        <f t="shared" ref="AY256" si="2771">+AY255/$E255*$E256</f>
        <v>0</v>
      </c>
      <c r="AZ256" s="197">
        <f t="shared" ref="AZ256" si="2772">+AZ255/$E255*$E256</f>
        <v>0</v>
      </c>
      <c r="BA256" s="197">
        <f t="shared" ref="BA256" si="2773">+BA255/$E255*$E256</f>
        <v>0</v>
      </c>
      <c r="BB256" s="197">
        <f t="shared" ref="BB256" si="2774">+BB255/$E255*$E256</f>
        <v>0</v>
      </c>
      <c r="BC256" s="197">
        <f t="shared" ref="BC256" si="2775">+BC255/$E255*$E256</f>
        <v>0</v>
      </c>
      <c r="BD256" s="197">
        <f t="shared" ref="BD256" si="2776">+BD255/$E255*$E256</f>
        <v>0</v>
      </c>
      <c r="BE256" s="197">
        <f t="shared" ref="BE256" si="2777">+BE255/$E255*$E256</f>
        <v>0</v>
      </c>
      <c r="BF256" s="197">
        <f t="shared" ref="BF256" si="2778">+BF255/$E255*$E256</f>
        <v>0</v>
      </c>
      <c r="BG256" s="197">
        <f t="shared" ref="BG256" si="2779">+BG255/$E255*$E256</f>
        <v>0</v>
      </c>
      <c r="BH256" s="197">
        <f t="shared" ref="BH256" si="2780">+BH255/$E255*$E256</f>
        <v>0</v>
      </c>
      <c r="BI256" s="197">
        <f t="shared" ref="BI256" si="2781">+BI255/$E255*$E256</f>
        <v>0</v>
      </c>
      <c r="BJ256" s="197">
        <f t="shared" ref="BJ256" si="2782">+BJ255/$E255*$E256</f>
        <v>0</v>
      </c>
      <c r="BK256" s="197">
        <f t="shared" ref="BK256" si="2783">+BK255/$E255*$E256</f>
        <v>0</v>
      </c>
      <c r="BL256" s="197">
        <f t="shared" ref="BL256" si="2784">+BL255/$E255*$E256</f>
        <v>0</v>
      </c>
      <c r="BM256" s="197">
        <f t="shared" ref="BM256" si="2785">+BM255/$E255*$E256</f>
        <v>0</v>
      </c>
      <c r="BN256" s="197">
        <f t="shared" ref="BN256" si="2786">+BN255/$E255*$E256</f>
        <v>0</v>
      </c>
      <c r="BO256" s="197">
        <f t="shared" ref="BO256" si="2787">+BO255/$E255*$E256</f>
        <v>0</v>
      </c>
      <c r="BP256" s="197">
        <f t="shared" ref="BP256" si="2788">+BP255/$E255*$E256</f>
        <v>0</v>
      </c>
      <c r="BQ256" s="197">
        <f t="shared" ref="BQ256" si="2789">+BQ255/$E255*$E256</f>
        <v>0</v>
      </c>
      <c r="BR256" s="197">
        <f t="shared" ref="BR256" si="2790">+BR255/$E255*$E256</f>
        <v>0</v>
      </c>
      <c r="BS256" s="197">
        <f t="shared" ref="BS256" si="2791">+BS255/$E255*$E256</f>
        <v>0</v>
      </c>
      <c r="BT256" s="197">
        <f t="shared" ref="BT256" si="2792">+BT255/$E255*$E256</f>
        <v>0</v>
      </c>
      <c r="BU256" s="197">
        <f t="shared" ref="BU256" si="2793">+BU255/$E255*$E256</f>
        <v>0</v>
      </c>
      <c r="BV256" s="197">
        <f t="shared" ref="BV256" si="2794">+BV255/$E255*$E256</f>
        <v>0</v>
      </c>
      <c r="BW256" s="197">
        <f t="shared" ref="BW256" si="2795">+BW255/$E255*$E256</f>
        <v>0</v>
      </c>
      <c r="BX256" s="197">
        <f t="shared" ref="BX256" si="2796">+BX255/$E255*$E256</f>
        <v>0</v>
      </c>
      <c r="BY256" s="197">
        <f t="shared" ref="BY256" si="2797">+BY255/$E255*$E256</f>
        <v>0</v>
      </c>
      <c r="BZ256" s="197">
        <f t="shared" ref="BZ256" si="2798">+BZ255/$E255*$E256</f>
        <v>11981519.067242233</v>
      </c>
      <c r="CA256" s="197">
        <f t="shared" ref="CA256" si="2799">+CA255/$E255*$E256</f>
        <v>0</v>
      </c>
      <c r="CB256" s="197">
        <f t="shared" ref="CB256" si="2800">+CB255/$E255*$E256</f>
        <v>0</v>
      </c>
      <c r="CC256" s="197">
        <f t="shared" ref="CC256" si="2801">+CC255/$E255*$E256</f>
        <v>0</v>
      </c>
      <c r="CD256" s="197">
        <f t="shared" ref="CD256" si="2802">+CD255/$E255*$E256</f>
        <v>0</v>
      </c>
      <c r="CE256" s="197">
        <f t="shared" ref="CE256" si="2803">+CE255/$E255*$E256</f>
        <v>0</v>
      </c>
      <c r="CF256" s="197">
        <f t="shared" ref="CF256" si="2804">+CF255/$E255*$E256</f>
        <v>0</v>
      </c>
      <c r="CG256" s="197">
        <f t="shared" ref="CG256" si="2805">+CG255/$E255*$E256</f>
        <v>0</v>
      </c>
      <c r="CH256" s="197">
        <f t="shared" ref="CH256" si="2806">+CH255/$E255*$E256</f>
        <v>0</v>
      </c>
      <c r="CI256" s="197">
        <f t="shared" ref="CI256" si="2807">+CI255/$E255*$E256</f>
        <v>0</v>
      </c>
      <c r="CJ256" s="197">
        <f t="shared" ref="CJ256" si="2808">+CJ255/$E255*$E256</f>
        <v>0</v>
      </c>
      <c r="CK256" s="197">
        <f t="shared" ref="CK256" si="2809">+CK255/$E255*$E256</f>
        <v>0</v>
      </c>
      <c r="CL256" s="197">
        <f t="shared" ref="CL256" si="2810">+CL255/$E255*$E256</f>
        <v>0</v>
      </c>
      <c r="CM256" s="197">
        <f t="shared" ref="CM256" si="2811">+CM255/$E255*$E256</f>
        <v>0</v>
      </c>
      <c r="CN256" s="197">
        <f t="shared" ref="CN256" si="2812">+CN255/$E255*$E256</f>
        <v>0</v>
      </c>
      <c r="CO256" s="197">
        <f t="shared" ref="CO256" si="2813">+CO255/$E255*$E256</f>
        <v>0</v>
      </c>
      <c r="CP256" s="197">
        <f t="shared" ref="CP256" si="2814">+CP255/$E255*$E256</f>
        <v>0</v>
      </c>
      <c r="CQ256" s="197">
        <f t="shared" ref="CQ256" si="2815">+CQ255/$E255*$E256</f>
        <v>0</v>
      </c>
      <c r="CR256" s="197">
        <f t="shared" ref="CR256" si="2816">+CR255/$E255*$E256</f>
        <v>0</v>
      </c>
      <c r="CS256" s="197">
        <f t="shared" ref="CS256" si="2817">+CS255/$E255*$E256</f>
        <v>0</v>
      </c>
      <c r="CT256" s="197">
        <f t="shared" ref="CT256" si="2818">+CT255/$E255*$E256</f>
        <v>0</v>
      </c>
      <c r="CU256" s="197">
        <f t="shared" ref="CU256" si="2819">+CU255/$E255*$E256</f>
        <v>0</v>
      </c>
      <c r="CV256" s="197">
        <f t="shared" ref="CV256" si="2820">+CV255/$E255*$E256</f>
        <v>0</v>
      </c>
      <c r="CW256" s="197">
        <f t="shared" ref="CW256" si="2821">+CW255/$E255*$E256</f>
        <v>0</v>
      </c>
    </row>
    <row r="257" spans="2:101" outlineLevel="1" x14ac:dyDescent="0.25">
      <c r="C257" s="197"/>
      <c r="D257" s="80"/>
      <c r="E257" s="80"/>
      <c r="F257" s="197"/>
      <c r="G257" s="197"/>
      <c r="H257" s="197"/>
      <c r="I257" s="197"/>
      <c r="J257" s="197"/>
      <c r="K257" s="197"/>
      <c r="L257" s="197"/>
      <c r="M257" s="197"/>
      <c r="N257" s="197"/>
      <c r="O257" s="197"/>
      <c r="P257" s="197"/>
      <c r="Q257" s="197"/>
      <c r="R257" s="197"/>
      <c r="S257" s="197"/>
      <c r="T257" s="197"/>
      <c r="U257" s="197"/>
      <c r="V257" s="197"/>
      <c r="W257" s="197"/>
      <c r="X257" s="197"/>
      <c r="Y257" s="197"/>
      <c r="Z257" s="197"/>
      <c r="AA257" s="197"/>
      <c r="AB257" s="197"/>
      <c r="AC257" s="197"/>
      <c r="AD257" s="197"/>
      <c r="AE257" s="197"/>
      <c r="AF257" s="197"/>
      <c r="AG257" s="197"/>
      <c r="AH257" s="197"/>
      <c r="AI257" s="197"/>
      <c r="AJ257" s="197"/>
      <c r="AK257" s="197"/>
      <c r="AL257" s="197"/>
      <c r="AM257" s="197"/>
      <c r="AN257" s="197"/>
      <c r="AO257" s="197"/>
      <c r="AP257" s="197"/>
      <c r="AQ257" s="197"/>
      <c r="AR257" s="197"/>
      <c r="AS257" s="197"/>
      <c r="AT257" s="197"/>
      <c r="AU257" s="197"/>
      <c r="AV257" s="197"/>
      <c r="AW257" s="197"/>
      <c r="AX257" s="197"/>
      <c r="AY257" s="197"/>
      <c r="AZ257" s="197"/>
      <c r="BA257" s="197"/>
      <c r="BB257" s="197"/>
      <c r="BC257" s="197"/>
      <c r="BD257" s="197"/>
      <c r="BE257" s="197"/>
      <c r="BF257" s="197"/>
      <c r="BG257" s="197"/>
      <c r="BH257" s="197"/>
      <c r="BI257" s="197"/>
      <c r="BJ257" s="197"/>
      <c r="BK257" s="197"/>
      <c r="BL257" s="197"/>
      <c r="BM257" s="197"/>
      <c r="BN257" s="197"/>
      <c r="BO257" s="197"/>
      <c r="BP257" s="197"/>
      <c r="BQ257" s="197"/>
      <c r="BR257" s="197"/>
      <c r="BS257" s="197"/>
      <c r="BT257" s="197"/>
      <c r="BU257" s="197"/>
      <c r="BV257" s="197"/>
      <c r="BW257" s="197"/>
      <c r="BX257" s="197"/>
      <c r="BY257" s="197"/>
      <c r="BZ257" s="197"/>
      <c r="CA257" s="197"/>
      <c r="CB257" s="197"/>
      <c r="CC257" s="197"/>
      <c r="CD257" s="197"/>
      <c r="CE257" s="197"/>
      <c r="CF257" s="197"/>
      <c r="CG257" s="197"/>
      <c r="CH257" s="197"/>
      <c r="CI257" s="197"/>
      <c r="CJ257" s="197"/>
      <c r="CK257" s="197"/>
      <c r="CL257" s="197"/>
      <c r="CM257" s="197"/>
      <c r="CN257" s="197"/>
      <c r="CO257" s="197"/>
      <c r="CP257" s="197"/>
      <c r="CQ257" s="197"/>
      <c r="CR257" s="197"/>
      <c r="CS257" s="197"/>
      <c r="CT257" s="197"/>
      <c r="CU257" s="197"/>
      <c r="CV257" s="197"/>
      <c r="CW257" s="197"/>
    </row>
    <row r="258" spans="2:101" outlineLevel="1" x14ac:dyDescent="0.25">
      <c r="C258" s="202" t="s">
        <v>230</v>
      </c>
      <c r="D258" s="152" t="s">
        <v>107</v>
      </c>
      <c r="E258" s="80"/>
      <c r="F258" s="82">
        <f>IF(F255&lt;0,0,+F245-SUM(F255:F256))</f>
        <v>0</v>
      </c>
      <c r="G258" s="82">
        <f t="shared" ref="G258:BR258" si="2822">IF(G255&lt;0,0,+G245-SUM(G255:G256))</f>
        <v>0</v>
      </c>
      <c r="H258" s="82">
        <f t="shared" si="2822"/>
        <v>0</v>
      </c>
      <c r="I258" s="82">
        <f t="shared" si="2822"/>
        <v>0</v>
      </c>
      <c r="J258" s="82">
        <f t="shared" si="2822"/>
        <v>0</v>
      </c>
      <c r="K258" s="82">
        <f t="shared" si="2822"/>
        <v>0</v>
      </c>
      <c r="L258" s="82">
        <f t="shared" si="2822"/>
        <v>0</v>
      </c>
      <c r="M258" s="82">
        <f t="shared" si="2822"/>
        <v>0</v>
      </c>
      <c r="N258" s="82">
        <f t="shared" si="2822"/>
        <v>0</v>
      </c>
      <c r="O258" s="82">
        <f t="shared" si="2822"/>
        <v>0</v>
      </c>
      <c r="P258" s="82">
        <f t="shared" si="2822"/>
        <v>0</v>
      </c>
      <c r="Q258" s="82">
        <f t="shared" si="2822"/>
        <v>0</v>
      </c>
      <c r="R258" s="82">
        <f t="shared" si="2822"/>
        <v>0</v>
      </c>
      <c r="S258" s="82">
        <f t="shared" si="2822"/>
        <v>0</v>
      </c>
      <c r="T258" s="82">
        <f t="shared" si="2822"/>
        <v>0</v>
      </c>
      <c r="U258" s="82">
        <f t="shared" si="2822"/>
        <v>0</v>
      </c>
      <c r="V258" s="82">
        <f t="shared" si="2822"/>
        <v>0</v>
      </c>
      <c r="W258" s="82">
        <f t="shared" si="2822"/>
        <v>0</v>
      </c>
      <c r="X258" s="82">
        <f t="shared" si="2822"/>
        <v>0</v>
      </c>
      <c r="Y258" s="82">
        <f t="shared" si="2822"/>
        <v>0</v>
      </c>
      <c r="Z258" s="82">
        <f t="shared" si="2822"/>
        <v>0</v>
      </c>
      <c r="AA258" s="82">
        <f t="shared" si="2822"/>
        <v>0</v>
      </c>
      <c r="AB258" s="82">
        <f t="shared" si="2822"/>
        <v>0</v>
      </c>
      <c r="AC258" s="82">
        <f t="shared" si="2822"/>
        <v>0</v>
      </c>
      <c r="AD258" s="82">
        <f t="shared" si="2822"/>
        <v>0</v>
      </c>
      <c r="AE258" s="82">
        <f t="shared" si="2822"/>
        <v>0</v>
      </c>
      <c r="AF258" s="82">
        <f t="shared" si="2822"/>
        <v>0</v>
      </c>
      <c r="AG258" s="82">
        <f t="shared" si="2822"/>
        <v>0</v>
      </c>
      <c r="AH258" s="82">
        <f t="shared" si="2822"/>
        <v>0</v>
      </c>
      <c r="AI258" s="82">
        <f t="shared" si="2822"/>
        <v>0</v>
      </c>
      <c r="AJ258" s="82">
        <f t="shared" si="2822"/>
        <v>0</v>
      </c>
      <c r="AK258" s="82">
        <f t="shared" si="2822"/>
        <v>0</v>
      </c>
      <c r="AL258" s="82">
        <f t="shared" si="2822"/>
        <v>0</v>
      </c>
      <c r="AM258" s="82">
        <f t="shared" si="2822"/>
        <v>0</v>
      </c>
      <c r="AN258" s="82">
        <f t="shared" si="2822"/>
        <v>0</v>
      </c>
      <c r="AO258" s="82">
        <f t="shared" si="2822"/>
        <v>0</v>
      </c>
      <c r="AP258" s="82">
        <f t="shared" si="2822"/>
        <v>0</v>
      </c>
      <c r="AQ258" s="82">
        <f t="shared" si="2822"/>
        <v>0</v>
      </c>
      <c r="AR258" s="82">
        <f t="shared" si="2822"/>
        <v>0</v>
      </c>
      <c r="AS258" s="82">
        <f t="shared" si="2822"/>
        <v>0</v>
      </c>
      <c r="AT258" s="82">
        <f t="shared" si="2822"/>
        <v>0</v>
      </c>
      <c r="AU258" s="82">
        <f t="shared" si="2822"/>
        <v>0</v>
      </c>
      <c r="AV258" s="82">
        <f t="shared" si="2822"/>
        <v>0</v>
      </c>
      <c r="AW258" s="82">
        <f t="shared" si="2822"/>
        <v>0</v>
      </c>
      <c r="AX258" s="82">
        <f t="shared" si="2822"/>
        <v>0</v>
      </c>
      <c r="AY258" s="82">
        <f t="shared" si="2822"/>
        <v>0</v>
      </c>
      <c r="AZ258" s="82">
        <f t="shared" si="2822"/>
        <v>0</v>
      </c>
      <c r="BA258" s="82">
        <f t="shared" si="2822"/>
        <v>-2.9802322387695313E-8</v>
      </c>
      <c r="BB258" s="82">
        <f t="shared" si="2822"/>
        <v>0</v>
      </c>
      <c r="BC258" s="82">
        <f t="shared" si="2822"/>
        <v>0</v>
      </c>
      <c r="BD258" s="82">
        <f t="shared" si="2822"/>
        <v>0</v>
      </c>
      <c r="BE258" s="82">
        <f t="shared" si="2822"/>
        <v>0</v>
      </c>
      <c r="BF258" s="82">
        <f t="shared" si="2822"/>
        <v>0</v>
      </c>
      <c r="BG258" s="82">
        <f t="shared" si="2822"/>
        <v>0</v>
      </c>
      <c r="BH258" s="82">
        <f t="shared" si="2822"/>
        <v>0</v>
      </c>
      <c r="BI258" s="82">
        <f t="shared" si="2822"/>
        <v>0</v>
      </c>
      <c r="BJ258" s="82">
        <f t="shared" si="2822"/>
        <v>0</v>
      </c>
      <c r="BK258" s="82">
        <f t="shared" si="2822"/>
        <v>0</v>
      </c>
      <c r="BL258" s="82">
        <f t="shared" si="2822"/>
        <v>0</v>
      </c>
      <c r="BM258" s="82">
        <f t="shared" si="2822"/>
        <v>0</v>
      </c>
      <c r="BN258" s="82">
        <f t="shared" si="2822"/>
        <v>0</v>
      </c>
      <c r="BO258" s="82">
        <f t="shared" si="2822"/>
        <v>0</v>
      </c>
      <c r="BP258" s="82">
        <f t="shared" si="2822"/>
        <v>0</v>
      </c>
      <c r="BQ258" s="82">
        <f t="shared" si="2822"/>
        <v>0</v>
      </c>
      <c r="BR258" s="82">
        <f t="shared" si="2822"/>
        <v>0</v>
      </c>
      <c r="BS258" s="82">
        <f t="shared" ref="BS258:CW258" si="2823">IF(BS255&lt;0,0,+BS245-SUM(BS255:BS256))</f>
        <v>0</v>
      </c>
      <c r="BT258" s="82">
        <f t="shared" si="2823"/>
        <v>0</v>
      </c>
      <c r="BU258" s="82">
        <f t="shared" si="2823"/>
        <v>0</v>
      </c>
      <c r="BV258" s="82">
        <f t="shared" si="2823"/>
        <v>0</v>
      </c>
      <c r="BW258" s="82">
        <f t="shared" si="2823"/>
        <v>0</v>
      </c>
      <c r="BX258" s="82">
        <f t="shared" si="2823"/>
        <v>0</v>
      </c>
      <c r="BY258" s="82">
        <f t="shared" si="2823"/>
        <v>0</v>
      </c>
      <c r="BZ258" s="82">
        <f t="shared" si="2823"/>
        <v>100987184.8473053</v>
      </c>
      <c r="CA258" s="82">
        <f t="shared" si="2823"/>
        <v>0</v>
      </c>
      <c r="CB258" s="82">
        <f t="shared" si="2823"/>
        <v>0</v>
      </c>
      <c r="CC258" s="82">
        <f t="shared" si="2823"/>
        <v>0</v>
      </c>
      <c r="CD258" s="82">
        <f t="shared" si="2823"/>
        <v>0</v>
      </c>
      <c r="CE258" s="82">
        <f t="shared" si="2823"/>
        <v>0</v>
      </c>
      <c r="CF258" s="82">
        <f t="shared" si="2823"/>
        <v>0</v>
      </c>
      <c r="CG258" s="82">
        <f t="shared" si="2823"/>
        <v>0</v>
      </c>
      <c r="CH258" s="82">
        <f t="shared" si="2823"/>
        <v>0</v>
      </c>
      <c r="CI258" s="82">
        <f t="shared" si="2823"/>
        <v>0</v>
      </c>
      <c r="CJ258" s="82">
        <f t="shared" si="2823"/>
        <v>0</v>
      </c>
      <c r="CK258" s="82">
        <f t="shared" si="2823"/>
        <v>0</v>
      </c>
      <c r="CL258" s="82">
        <f t="shared" si="2823"/>
        <v>0</v>
      </c>
      <c r="CM258" s="82">
        <f t="shared" si="2823"/>
        <v>0</v>
      </c>
      <c r="CN258" s="82">
        <f t="shared" si="2823"/>
        <v>0</v>
      </c>
      <c r="CO258" s="82">
        <f t="shared" si="2823"/>
        <v>0</v>
      </c>
      <c r="CP258" s="82">
        <f t="shared" si="2823"/>
        <v>0</v>
      </c>
      <c r="CQ258" s="82">
        <f t="shared" si="2823"/>
        <v>0</v>
      </c>
      <c r="CR258" s="82">
        <f t="shared" si="2823"/>
        <v>0</v>
      </c>
      <c r="CS258" s="82">
        <f t="shared" si="2823"/>
        <v>0</v>
      </c>
      <c r="CT258" s="82">
        <f t="shared" si="2823"/>
        <v>0</v>
      </c>
      <c r="CU258" s="82">
        <f t="shared" si="2823"/>
        <v>0</v>
      </c>
      <c r="CV258" s="82">
        <f t="shared" si="2823"/>
        <v>0</v>
      </c>
      <c r="CW258" s="82">
        <f t="shared" si="2823"/>
        <v>0</v>
      </c>
    </row>
    <row r="259" spans="2:101" outlineLevel="1" x14ac:dyDescent="0.25"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0"/>
      <c r="N259" s="80"/>
      <c r="O259" s="80"/>
      <c r="P259" s="80"/>
      <c r="Q259" s="80"/>
      <c r="R259" s="80"/>
      <c r="S259" s="80"/>
      <c r="T259" s="80"/>
      <c r="U259" s="80"/>
      <c r="V259" s="80"/>
      <c r="W259" s="80"/>
      <c r="X259" s="80"/>
      <c r="Y259" s="80"/>
      <c r="Z259" s="80"/>
      <c r="AA259" s="80"/>
      <c r="AB259" s="80"/>
      <c r="AC259" s="80"/>
      <c r="AD259" s="80"/>
      <c r="AE259" s="80"/>
      <c r="AF259" s="80"/>
      <c r="AG259" s="80"/>
      <c r="AH259" s="80"/>
      <c r="AI259" s="80"/>
      <c r="AJ259" s="80"/>
      <c r="AK259" s="80"/>
      <c r="AL259" s="80"/>
      <c r="AM259" s="80"/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0"/>
      <c r="BG259" s="80"/>
      <c r="BH259" s="80"/>
      <c r="BI259" s="80"/>
      <c r="BJ259" s="80"/>
      <c r="BK259" s="80"/>
      <c r="BL259" s="80"/>
      <c r="BM259" s="80"/>
      <c r="BN259" s="80"/>
      <c r="BO259" s="80"/>
      <c r="BP259" s="80"/>
      <c r="BQ259" s="80"/>
      <c r="BR259" s="80"/>
      <c r="BS259" s="80"/>
      <c r="BT259" s="80"/>
      <c r="BU259" s="80"/>
      <c r="BV259" s="80"/>
      <c r="BW259" s="80"/>
      <c r="BX259" s="80"/>
      <c r="BY259" s="80"/>
      <c r="BZ259" s="80"/>
      <c r="CA259" s="80"/>
      <c r="CB259" s="80"/>
      <c r="CC259" s="80"/>
      <c r="CD259" s="80"/>
      <c r="CE259" s="80"/>
      <c r="CF259" s="80"/>
      <c r="CG259" s="80"/>
      <c r="CH259" s="80"/>
      <c r="CI259" s="80"/>
      <c r="CJ259" s="80"/>
      <c r="CK259" s="80"/>
      <c r="CL259" s="80"/>
      <c r="CM259" s="80"/>
      <c r="CN259" s="80"/>
      <c r="CO259" s="80"/>
      <c r="CP259" s="80"/>
      <c r="CQ259" s="80"/>
      <c r="CR259" s="80"/>
      <c r="CS259" s="80"/>
      <c r="CT259" s="80"/>
      <c r="CU259" s="80"/>
      <c r="CV259" s="80"/>
      <c r="CW259" s="80"/>
    </row>
    <row r="260" spans="2:101" outlineLevel="1" x14ac:dyDescent="0.25">
      <c r="C260" s="198" t="str">
        <f>"Tier 3 - Above "&amp;TEXT(Tier_3_IRR_Min,"0.0x")&amp;" Multiple:"</f>
        <v>Tier 3 - Above 2.0x Multiple:</v>
      </c>
      <c r="D260" s="198"/>
      <c r="E260" s="198"/>
      <c r="F260" s="198"/>
      <c r="G260" s="198"/>
      <c r="H260" s="198"/>
      <c r="I260" s="198"/>
      <c r="J260" s="198"/>
      <c r="K260" s="198"/>
      <c r="L260" s="198"/>
      <c r="M260" s="198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198"/>
      <c r="Y260" s="198"/>
      <c r="Z260" s="198"/>
      <c r="AA260" s="198"/>
      <c r="AB260" s="198"/>
      <c r="AC260" s="198"/>
      <c r="AD260" s="198"/>
      <c r="AE260" s="198"/>
      <c r="AF260" s="198"/>
      <c r="AG260" s="198"/>
      <c r="AH260" s="198"/>
      <c r="AI260" s="198"/>
      <c r="AJ260" s="198"/>
      <c r="AK260" s="198"/>
      <c r="AL260" s="198"/>
      <c r="AM260" s="198"/>
      <c r="AN260" s="198"/>
      <c r="AO260" s="198"/>
      <c r="AP260" s="198"/>
      <c r="AQ260" s="198"/>
      <c r="AR260" s="198"/>
      <c r="AS260" s="198"/>
      <c r="AT260" s="198"/>
      <c r="AU260" s="198"/>
      <c r="AV260" s="198"/>
      <c r="AW260" s="198"/>
      <c r="AX260" s="198"/>
      <c r="AY260" s="198"/>
      <c r="AZ260" s="198"/>
      <c r="BA260" s="198"/>
      <c r="BB260" s="198"/>
      <c r="BC260" s="198"/>
      <c r="BD260" s="198"/>
      <c r="BE260" s="198"/>
      <c r="BF260" s="198"/>
      <c r="BG260" s="198"/>
      <c r="BH260" s="198"/>
      <c r="BI260" s="198"/>
      <c r="BJ260" s="198"/>
      <c r="BK260" s="198"/>
      <c r="BL260" s="198"/>
      <c r="BM260" s="198"/>
      <c r="BN260" s="198"/>
      <c r="BO260" s="198"/>
      <c r="BP260" s="198"/>
      <c r="BQ260" s="198"/>
      <c r="BR260" s="198"/>
      <c r="BS260" s="198"/>
      <c r="BT260" s="198"/>
      <c r="BU260" s="198"/>
      <c r="BV260" s="198"/>
      <c r="BW260" s="198"/>
      <c r="BX260" s="198"/>
      <c r="BY260" s="198"/>
      <c r="BZ260" s="198"/>
      <c r="CA260" s="198"/>
      <c r="CB260" s="198"/>
      <c r="CC260" s="198"/>
      <c r="CD260" s="198"/>
      <c r="CE260" s="198"/>
      <c r="CF260" s="198"/>
      <c r="CG260" s="198"/>
      <c r="CH260" s="198"/>
      <c r="CI260" s="198"/>
      <c r="CJ260" s="198"/>
      <c r="CK260" s="198"/>
      <c r="CL260" s="198"/>
      <c r="CM260" s="198"/>
      <c r="CN260" s="198"/>
      <c r="CO260" s="198"/>
      <c r="CP260" s="198"/>
      <c r="CQ260" s="198"/>
      <c r="CR260" s="198"/>
      <c r="CS260" s="198"/>
      <c r="CT260" s="198"/>
      <c r="CU260" s="198"/>
      <c r="CV260" s="198"/>
      <c r="CW260" s="198"/>
    </row>
    <row r="261" spans="2:101" outlineLevel="1" x14ac:dyDescent="0.25"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0"/>
      <c r="N261" s="80"/>
      <c r="O261" s="80"/>
      <c r="P261" s="80"/>
      <c r="Q261" s="80"/>
      <c r="R261" s="80"/>
      <c r="S261" s="80"/>
      <c r="T261" s="80"/>
      <c r="U261" s="80"/>
      <c r="V261" s="80"/>
      <c r="W261" s="80"/>
      <c r="X261" s="80"/>
      <c r="Y261" s="80"/>
      <c r="Z261" s="80"/>
      <c r="AA261" s="80"/>
      <c r="AB261" s="80"/>
      <c r="AC261" s="80"/>
      <c r="AD261" s="80"/>
      <c r="AE261" s="80"/>
      <c r="AF261" s="80"/>
      <c r="AG261" s="80"/>
      <c r="AH261" s="80"/>
      <c r="AI261" s="80"/>
      <c r="AJ261" s="80"/>
      <c r="AK261" s="80"/>
      <c r="AL261" s="80"/>
      <c r="AM261" s="80"/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  <c r="AY261" s="80"/>
      <c r="AZ261" s="80"/>
      <c r="BA261" s="80"/>
      <c r="BB261" s="80"/>
      <c r="BC261" s="80"/>
      <c r="BD261" s="80"/>
      <c r="BE261" s="80"/>
      <c r="BF261" s="80"/>
      <c r="BG261" s="80"/>
      <c r="BH261" s="80"/>
      <c r="BI261" s="80"/>
      <c r="BJ261" s="80"/>
      <c r="BK261" s="80"/>
      <c r="BL261" s="80"/>
      <c r="BM261" s="80"/>
      <c r="BN261" s="80"/>
      <c r="BO261" s="80"/>
      <c r="BP261" s="80"/>
      <c r="BQ261" s="80"/>
      <c r="BR261" s="80"/>
      <c r="BS261" s="80"/>
      <c r="BT261" s="80"/>
      <c r="BU261" s="80"/>
      <c r="BV261" s="80"/>
      <c r="BW261" s="80"/>
      <c r="BX261" s="80"/>
      <c r="BY261" s="80"/>
      <c r="BZ261" s="80"/>
      <c r="CA261" s="80"/>
      <c r="CB261" s="80"/>
      <c r="CC261" s="80"/>
      <c r="CD261" s="80"/>
      <c r="CE261" s="80"/>
      <c r="CF261" s="80"/>
      <c r="CG261" s="80"/>
      <c r="CH261" s="80"/>
      <c r="CI261" s="80"/>
      <c r="CJ261" s="80"/>
      <c r="CK261" s="80"/>
      <c r="CL261" s="80"/>
      <c r="CM261" s="80"/>
      <c r="CN261" s="80"/>
      <c r="CO261" s="80"/>
      <c r="CP261" s="80"/>
      <c r="CQ261" s="80"/>
      <c r="CR261" s="80"/>
      <c r="CS261" s="80"/>
      <c r="CT261" s="80"/>
      <c r="CU261" s="80"/>
      <c r="CV261" s="80"/>
      <c r="CW261" s="80"/>
    </row>
    <row r="262" spans="2:101" outlineLevel="1" x14ac:dyDescent="0.25">
      <c r="C262" s="201" t="s">
        <v>226</v>
      </c>
      <c r="D262" s="152" t="s">
        <v>107</v>
      </c>
      <c r="E262" s="205">
        <f>Tier_3_Investor_Split</f>
        <v>0.67500000000000004</v>
      </c>
      <c r="F262" s="197">
        <f>+F$258*$E262</f>
        <v>0</v>
      </c>
      <c r="G262" s="197">
        <f t="shared" ref="G262:BR263" si="2824">+G$258*$E262</f>
        <v>0</v>
      </c>
      <c r="H262" s="197">
        <f t="shared" si="2824"/>
        <v>0</v>
      </c>
      <c r="I262" s="197">
        <f t="shared" si="2824"/>
        <v>0</v>
      </c>
      <c r="J262" s="197">
        <f t="shared" si="2824"/>
        <v>0</v>
      </c>
      <c r="K262" s="197">
        <f t="shared" si="2824"/>
        <v>0</v>
      </c>
      <c r="L262" s="197">
        <f t="shared" si="2824"/>
        <v>0</v>
      </c>
      <c r="M262" s="197">
        <f t="shared" si="2824"/>
        <v>0</v>
      </c>
      <c r="N262" s="197">
        <f t="shared" si="2824"/>
        <v>0</v>
      </c>
      <c r="O262" s="197">
        <f t="shared" si="2824"/>
        <v>0</v>
      </c>
      <c r="P262" s="197">
        <f t="shared" si="2824"/>
        <v>0</v>
      </c>
      <c r="Q262" s="197">
        <f t="shared" si="2824"/>
        <v>0</v>
      </c>
      <c r="R262" s="197">
        <f t="shared" si="2824"/>
        <v>0</v>
      </c>
      <c r="S262" s="197">
        <f t="shared" si="2824"/>
        <v>0</v>
      </c>
      <c r="T262" s="197">
        <f t="shared" si="2824"/>
        <v>0</v>
      </c>
      <c r="U262" s="197">
        <f t="shared" si="2824"/>
        <v>0</v>
      </c>
      <c r="V262" s="197">
        <f t="shared" si="2824"/>
        <v>0</v>
      </c>
      <c r="W262" s="197">
        <f t="shared" si="2824"/>
        <v>0</v>
      </c>
      <c r="X262" s="197">
        <f t="shared" si="2824"/>
        <v>0</v>
      </c>
      <c r="Y262" s="197">
        <f t="shared" si="2824"/>
        <v>0</v>
      </c>
      <c r="Z262" s="197">
        <f t="shared" si="2824"/>
        <v>0</v>
      </c>
      <c r="AA262" s="197">
        <f t="shared" si="2824"/>
        <v>0</v>
      </c>
      <c r="AB262" s="197">
        <f t="shared" si="2824"/>
        <v>0</v>
      </c>
      <c r="AC262" s="197">
        <f t="shared" si="2824"/>
        <v>0</v>
      </c>
      <c r="AD262" s="197">
        <f t="shared" si="2824"/>
        <v>0</v>
      </c>
      <c r="AE262" s="197">
        <f t="shared" si="2824"/>
        <v>0</v>
      </c>
      <c r="AF262" s="197">
        <f t="shared" si="2824"/>
        <v>0</v>
      </c>
      <c r="AG262" s="197">
        <f t="shared" si="2824"/>
        <v>0</v>
      </c>
      <c r="AH262" s="197">
        <f t="shared" si="2824"/>
        <v>0</v>
      </c>
      <c r="AI262" s="197">
        <f t="shared" si="2824"/>
        <v>0</v>
      </c>
      <c r="AJ262" s="197">
        <f t="shared" si="2824"/>
        <v>0</v>
      </c>
      <c r="AK262" s="197">
        <f t="shared" si="2824"/>
        <v>0</v>
      </c>
      <c r="AL262" s="197">
        <f t="shared" si="2824"/>
        <v>0</v>
      </c>
      <c r="AM262" s="197">
        <f t="shared" si="2824"/>
        <v>0</v>
      </c>
      <c r="AN262" s="197">
        <f t="shared" si="2824"/>
        <v>0</v>
      </c>
      <c r="AO262" s="197">
        <f t="shared" si="2824"/>
        <v>0</v>
      </c>
      <c r="AP262" s="197">
        <f t="shared" si="2824"/>
        <v>0</v>
      </c>
      <c r="AQ262" s="197">
        <f t="shared" si="2824"/>
        <v>0</v>
      </c>
      <c r="AR262" s="197">
        <f t="shared" si="2824"/>
        <v>0</v>
      </c>
      <c r="AS262" s="197">
        <f t="shared" si="2824"/>
        <v>0</v>
      </c>
      <c r="AT262" s="197">
        <f t="shared" si="2824"/>
        <v>0</v>
      </c>
      <c r="AU262" s="197">
        <f t="shared" si="2824"/>
        <v>0</v>
      </c>
      <c r="AV262" s="197">
        <f t="shared" si="2824"/>
        <v>0</v>
      </c>
      <c r="AW262" s="197">
        <f t="shared" si="2824"/>
        <v>0</v>
      </c>
      <c r="AX262" s="197">
        <f t="shared" si="2824"/>
        <v>0</v>
      </c>
      <c r="AY262" s="197">
        <f t="shared" si="2824"/>
        <v>0</v>
      </c>
      <c r="AZ262" s="197">
        <f t="shared" si="2824"/>
        <v>0</v>
      </c>
      <c r="BA262" s="197">
        <f t="shared" si="2824"/>
        <v>-2.0116567611694337E-8</v>
      </c>
      <c r="BB262" s="197">
        <f t="shared" si="2824"/>
        <v>0</v>
      </c>
      <c r="BC262" s="197">
        <f t="shared" si="2824"/>
        <v>0</v>
      </c>
      <c r="BD262" s="197">
        <f t="shared" si="2824"/>
        <v>0</v>
      </c>
      <c r="BE262" s="197">
        <f t="shared" si="2824"/>
        <v>0</v>
      </c>
      <c r="BF262" s="197">
        <f t="shared" si="2824"/>
        <v>0</v>
      </c>
      <c r="BG262" s="197">
        <f t="shared" si="2824"/>
        <v>0</v>
      </c>
      <c r="BH262" s="197">
        <f t="shared" si="2824"/>
        <v>0</v>
      </c>
      <c r="BI262" s="197">
        <f t="shared" si="2824"/>
        <v>0</v>
      </c>
      <c r="BJ262" s="197">
        <f t="shared" si="2824"/>
        <v>0</v>
      </c>
      <c r="BK262" s="197">
        <f t="shared" si="2824"/>
        <v>0</v>
      </c>
      <c r="BL262" s="197">
        <f t="shared" si="2824"/>
        <v>0</v>
      </c>
      <c r="BM262" s="197">
        <f t="shared" si="2824"/>
        <v>0</v>
      </c>
      <c r="BN262" s="197">
        <f t="shared" si="2824"/>
        <v>0</v>
      </c>
      <c r="BO262" s="197">
        <f t="shared" si="2824"/>
        <v>0</v>
      </c>
      <c r="BP262" s="197">
        <f t="shared" si="2824"/>
        <v>0</v>
      </c>
      <c r="BQ262" s="197">
        <f t="shared" si="2824"/>
        <v>0</v>
      </c>
      <c r="BR262" s="197">
        <f t="shared" si="2824"/>
        <v>0</v>
      </c>
      <c r="BS262" s="197">
        <f t="shared" ref="BS262:CW263" si="2825">+BS$258*$E262</f>
        <v>0</v>
      </c>
      <c r="BT262" s="197">
        <f t="shared" si="2825"/>
        <v>0</v>
      </c>
      <c r="BU262" s="197">
        <f t="shared" si="2825"/>
        <v>0</v>
      </c>
      <c r="BV262" s="197">
        <f t="shared" si="2825"/>
        <v>0</v>
      </c>
      <c r="BW262" s="197">
        <f t="shared" si="2825"/>
        <v>0</v>
      </c>
      <c r="BX262" s="197">
        <f t="shared" si="2825"/>
        <v>0</v>
      </c>
      <c r="BY262" s="197">
        <f t="shared" si="2825"/>
        <v>0</v>
      </c>
      <c r="BZ262" s="197">
        <f t="shared" si="2825"/>
        <v>68166349.771931082</v>
      </c>
      <c r="CA262" s="197">
        <f t="shared" si="2825"/>
        <v>0</v>
      </c>
      <c r="CB262" s="197">
        <f t="shared" si="2825"/>
        <v>0</v>
      </c>
      <c r="CC262" s="197">
        <f t="shared" si="2825"/>
        <v>0</v>
      </c>
      <c r="CD262" s="197">
        <f t="shared" si="2825"/>
        <v>0</v>
      </c>
      <c r="CE262" s="197">
        <f t="shared" si="2825"/>
        <v>0</v>
      </c>
      <c r="CF262" s="197">
        <f t="shared" si="2825"/>
        <v>0</v>
      </c>
      <c r="CG262" s="197">
        <f t="shared" si="2825"/>
        <v>0</v>
      </c>
      <c r="CH262" s="197">
        <f t="shared" si="2825"/>
        <v>0</v>
      </c>
      <c r="CI262" s="197">
        <f t="shared" si="2825"/>
        <v>0</v>
      </c>
      <c r="CJ262" s="197">
        <f t="shared" si="2825"/>
        <v>0</v>
      </c>
      <c r="CK262" s="197">
        <f t="shared" si="2825"/>
        <v>0</v>
      </c>
      <c r="CL262" s="197">
        <f t="shared" si="2825"/>
        <v>0</v>
      </c>
      <c r="CM262" s="197">
        <f t="shared" si="2825"/>
        <v>0</v>
      </c>
      <c r="CN262" s="197">
        <f t="shared" si="2825"/>
        <v>0</v>
      </c>
      <c r="CO262" s="197">
        <f t="shared" si="2825"/>
        <v>0</v>
      </c>
      <c r="CP262" s="197">
        <f t="shared" si="2825"/>
        <v>0</v>
      </c>
      <c r="CQ262" s="197">
        <f t="shared" si="2825"/>
        <v>0</v>
      </c>
      <c r="CR262" s="197">
        <f t="shared" si="2825"/>
        <v>0</v>
      </c>
      <c r="CS262" s="197">
        <f t="shared" si="2825"/>
        <v>0</v>
      </c>
      <c r="CT262" s="197">
        <f t="shared" si="2825"/>
        <v>0</v>
      </c>
      <c r="CU262" s="197">
        <f t="shared" si="2825"/>
        <v>0</v>
      </c>
      <c r="CV262" s="197">
        <f t="shared" si="2825"/>
        <v>0</v>
      </c>
      <c r="CW262" s="197">
        <f t="shared" si="2825"/>
        <v>0</v>
      </c>
    </row>
    <row r="263" spans="2:101" outlineLevel="1" x14ac:dyDescent="0.25">
      <c r="C263" s="201" t="s">
        <v>227</v>
      </c>
      <c r="D263" s="152" t="s">
        <v>107</v>
      </c>
      <c r="E263" s="210">
        <f>1-E262</f>
        <v>0.32499999999999996</v>
      </c>
      <c r="F263" s="197">
        <f t="shared" ref="F263:BQ263" si="2826">+F$258*$E263</f>
        <v>0</v>
      </c>
      <c r="G263" s="197">
        <f t="shared" si="2826"/>
        <v>0</v>
      </c>
      <c r="H263" s="197">
        <f t="shared" si="2826"/>
        <v>0</v>
      </c>
      <c r="I263" s="197">
        <f t="shared" si="2826"/>
        <v>0</v>
      </c>
      <c r="J263" s="197">
        <f t="shared" si="2826"/>
        <v>0</v>
      </c>
      <c r="K263" s="197">
        <f t="shared" si="2826"/>
        <v>0</v>
      </c>
      <c r="L263" s="197">
        <f t="shared" si="2826"/>
        <v>0</v>
      </c>
      <c r="M263" s="197">
        <f t="shared" si="2826"/>
        <v>0</v>
      </c>
      <c r="N263" s="197">
        <f t="shared" si="2826"/>
        <v>0</v>
      </c>
      <c r="O263" s="197">
        <f t="shared" si="2826"/>
        <v>0</v>
      </c>
      <c r="P263" s="197">
        <f t="shared" si="2826"/>
        <v>0</v>
      </c>
      <c r="Q263" s="197">
        <f t="shared" si="2826"/>
        <v>0</v>
      </c>
      <c r="R263" s="197">
        <f t="shared" si="2826"/>
        <v>0</v>
      </c>
      <c r="S263" s="197">
        <f t="shared" si="2826"/>
        <v>0</v>
      </c>
      <c r="T263" s="197">
        <f t="shared" si="2826"/>
        <v>0</v>
      </c>
      <c r="U263" s="197">
        <f t="shared" si="2826"/>
        <v>0</v>
      </c>
      <c r="V263" s="197">
        <f t="shared" si="2826"/>
        <v>0</v>
      </c>
      <c r="W263" s="197">
        <f t="shared" si="2826"/>
        <v>0</v>
      </c>
      <c r="X263" s="197">
        <f t="shared" si="2826"/>
        <v>0</v>
      </c>
      <c r="Y263" s="197">
        <f t="shared" si="2826"/>
        <v>0</v>
      </c>
      <c r="Z263" s="197">
        <f t="shared" si="2826"/>
        <v>0</v>
      </c>
      <c r="AA263" s="197">
        <f t="shared" si="2826"/>
        <v>0</v>
      </c>
      <c r="AB263" s="197">
        <f t="shared" si="2826"/>
        <v>0</v>
      </c>
      <c r="AC263" s="197">
        <f t="shared" si="2826"/>
        <v>0</v>
      </c>
      <c r="AD263" s="197">
        <f t="shared" si="2826"/>
        <v>0</v>
      </c>
      <c r="AE263" s="197">
        <f t="shared" si="2826"/>
        <v>0</v>
      </c>
      <c r="AF263" s="197">
        <f t="shared" si="2826"/>
        <v>0</v>
      </c>
      <c r="AG263" s="197">
        <f t="shared" si="2826"/>
        <v>0</v>
      </c>
      <c r="AH263" s="197">
        <f t="shared" si="2826"/>
        <v>0</v>
      </c>
      <c r="AI263" s="197">
        <f t="shared" si="2826"/>
        <v>0</v>
      </c>
      <c r="AJ263" s="197">
        <f t="shared" si="2826"/>
        <v>0</v>
      </c>
      <c r="AK263" s="197">
        <f t="shared" si="2826"/>
        <v>0</v>
      </c>
      <c r="AL263" s="197">
        <f t="shared" si="2826"/>
        <v>0</v>
      </c>
      <c r="AM263" s="197">
        <f t="shared" si="2826"/>
        <v>0</v>
      </c>
      <c r="AN263" s="197">
        <f t="shared" si="2826"/>
        <v>0</v>
      </c>
      <c r="AO263" s="197">
        <f t="shared" si="2826"/>
        <v>0</v>
      </c>
      <c r="AP263" s="197">
        <f t="shared" si="2826"/>
        <v>0</v>
      </c>
      <c r="AQ263" s="197">
        <f t="shared" si="2826"/>
        <v>0</v>
      </c>
      <c r="AR263" s="197">
        <f t="shared" si="2826"/>
        <v>0</v>
      </c>
      <c r="AS263" s="197">
        <f t="shared" si="2826"/>
        <v>0</v>
      </c>
      <c r="AT263" s="197">
        <f t="shared" si="2826"/>
        <v>0</v>
      </c>
      <c r="AU263" s="197">
        <f t="shared" si="2826"/>
        <v>0</v>
      </c>
      <c r="AV263" s="197">
        <f t="shared" si="2826"/>
        <v>0</v>
      </c>
      <c r="AW263" s="197">
        <f t="shared" si="2826"/>
        <v>0</v>
      </c>
      <c r="AX263" s="197">
        <f t="shared" si="2826"/>
        <v>0</v>
      </c>
      <c r="AY263" s="197">
        <f t="shared" si="2826"/>
        <v>0</v>
      </c>
      <c r="AZ263" s="197">
        <f t="shared" si="2826"/>
        <v>0</v>
      </c>
      <c r="BA263" s="197">
        <f t="shared" si="2826"/>
        <v>-9.6857547760009752E-9</v>
      </c>
      <c r="BB263" s="197">
        <f t="shared" si="2826"/>
        <v>0</v>
      </c>
      <c r="BC263" s="197">
        <f t="shared" si="2826"/>
        <v>0</v>
      </c>
      <c r="BD263" s="197">
        <f t="shared" si="2826"/>
        <v>0</v>
      </c>
      <c r="BE263" s="197">
        <f t="shared" si="2826"/>
        <v>0</v>
      </c>
      <c r="BF263" s="197">
        <f t="shared" si="2826"/>
        <v>0</v>
      </c>
      <c r="BG263" s="197">
        <f t="shared" si="2826"/>
        <v>0</v>
      </c>
      <c r="BH263" s="197">
        <f t="shared" si="2826"/>
        <v>0</v>
      </c>
      <c r="BI263" s="197">
        <f t="shared" si="2826"/>
        <v>0</v>
      </c>
      <c r="BJ263" s="197">
        <f t="shared" si="2826"/>
        <v>0</v>
      </c>
      <c r="BK263" s="197">
        <f t="shared" si="2826"/>
        <v>0</v>
      </c>
      <c r="BL263" s="197">
        <f t="shared" si="2826"/>
        <v>0</v>
      </c>
      <c r="BM263" s="197">
        <f t="shared" si="2826"/>
        <v>0</v>
      </c>
      <c r="BN263" s="197">
        <f t="shared" si="2826"/>
        <v>0</v>
      </c>
      <c r="BO263" s="197">
        <f t="shared" si="2826"/>
        <v>0</v>
      </c>
      <c r="BP263" s="197">
        <f t="shared" si="2826"/>
        <v>0</v>
      </c>
      <c r="BQ263" s="197">
        <f t="shared" si="2826"/>
        <v>0</v>
      </c>
      <c r="BR263" s="197">
        <f t="shared" si="2824"/>
        <v>0</v>
      </c>
      <c r="BS263" s="197">
        <f t="shared" si="2825"/>
        <v>0</v>
      </c>
      <c r="BT263" s="197">
        <f t="shared" si="2825"/>
        <v>0</v>
      </c>
      <c r="BU263" s="197">
        <f t="shared" si="2825"/>
        <v>0</v>
      </c>
      <c r="BV263" s="197">
        <f t="shared" si="2825"/>
        <v>0</v>
      </c>
      <c r="BW263" s="197">
        <f t="shared" si="2825"/>
        <v>0</v>
      </c>
      <c r="BX263" s="197">
        <f t="shared" si="2825"/>
        <v>0</v>
      </c>
      <c r="BY263" s="197">
        <f t="shared" si="2825"/>
        <v>0</v>
      </c>
      <c r="BZ263" s="197">
        <f t="shared" si="2825"/>
        <v>32820835.075374216</v>
      </c>
      <c r="CA263" s="197">
        <f t="shared" si="2825"/>
        <v>0</v>
      </c>
      <c r="CB263" s="197">
        <f t="shared" si="2825"/>
        <v>0</v>
      </c>
      <c r="CC263" s="197">
        <f t="shared" si="2825"/>
        <v>0</v>
      </c>
      <c r="CD263" s="197">
        <f t="shared" si="2825"/>
        <v>0</v>
      </c>
      <c r="CE263" s="197">
        <f t="shared" si="2825"/>
        <v>0</v>
      </c>
      <c r="CF263" s="197">
        <f t="shared" si="2825"/>
        <v>0</v>
      </c>
      <c r="CG263" s="197">
        <f t="shared" si="2825"/>
        <v>0</v>
      </c>
      <c r="CH263" s="197">
        <f t="shared" si="2825"/>
        <v>0</v>
      </c>
      <c r="CI263" s="197">
        <f t="shared" si="2825"/>
        <v>0</v>
      </c>
      <c r="CJ263" s="197">
        <f t="shared" si="2825"/>
        <v>0</v>
      </c>
      <c r="CK263" s="197">
        <f t="shared" si="2825"/>
        <v>0</v>
      </c>
      <c r="CL263" s="197">
        <f t="shared" si="2825"/>
        <v>0</v>
      </c>
      <c r="CM263" s="197">
        <f t="shared" si="2825"/>
        <v>0</v>
      </c>
      <c r="CN263" s="197">
        <f t="shared" si="2825"/>
        <v>0</v>
      </c>
      <c r="CO263" s="197">
        <f t="shared" si="2825"/>
        <v>0</v>
      </c>
      <c r="CP263" s="197">
        <f t="shared" si="2825"/>
        <v>0</v>
      </c>
      <c r="CQ263" s="197">
        <f t="shared" si="2825"/>
        <v>0</v>
      </c>
      <c r="CR263" s="197">
        <f t="shared" si="2825"/>
        <v>0</v>
      </c>
      <c r="CS263" s="197">
        <f t="shared" si="2825"/>
        <v>0</v>
      </c>
      <c r="CT263" s="197">
        <f t="shared" si="2825"/>
        <v>0</v>
      </c>
      <c r="CU263" s="197">
        <f t="shared" si="2825"/>
        <v>0</v>
      </c>
      <c r="CV263" s="197">
        <f t="shared" si="2825"/>
        <v>0</v>
      </c>
      <c r="CW263" s="197">
        <f t="shared" si="2825"/>
        <v>0</v>
      </c>
    </row>
    <row r="264" spans="2:101" outlineLevel="1" x14ac:dyDescent="0.25">
      <c r="C264" s="197"/>
      <c r="D264" s="80"/>
      <c r="E264" s="80"/>
      <c r="F264" s="197"/>
      <c r="G264" s="197"/>
      <c r="H264" s="197"/>
      <c r="I264" s="197"/>
      <c r="J264" s="197"/>
      <c r="K264" s="197"/>
      <c r="L264" s="197"/>
      <c r="M264" s="197"/>
      <c r="N264" s="197"/>
      <c r="O264" s="197"/>
      <c r="P264" s="197"/>
      <c r="Q264" s="197"/>
      <c r="R264" s="197"/>
      <c r="S264" s="197"/>
      <c r="T264" s="197"/>
      <c r="U264" s="197"/>
      <c r="V264" s="197"/>
      <c r="W264" s="197"/>
      <c r="X264" s="197"/>
      <c r="Y264" s="197"/>
      <c r="Z264" s="197"/>
      <c r="AA264" s="197"/>
      <c r="AB264" s="197"/>
      <c r="AC264" s="197"/>
      <c r="AD264" s="197"/>
      <c r="AE264" s="197"/>
      <c r="AF264" s="197"/>
      <c r="AG264" s="197"/>
      <c r="AH264" s="197"/>
      <c r="AI264" s="197"/>
      <c r="AJ264" s="197"/>
      <c r="AK264" s="197"/>
      <c r="AL264" s="197"/>
      <c r="AM264" s="197"/>
      <c r="AN264" s="197"/>
      <c r="AO264" s="197"/>
      <c r="AP264" s="197"/>
      <c r="AQ264" s="197"/>
      <c r="AR264" s="197"/>
      <c r="AS264" s="197"/>
      <c r="AT264" s="197"/>
      <c r="AU264" s="197"/>
      <c r="AV264" s="197"/>
      <c r="AW264" s="197"/>
      <c r="AX264" s="197"/>
      <c r="AY264" s="197"/>
      <c r="AZ264" s="197"/>
      <c r="BA264" s="197"/>
      <c r="BB264" s="197"/>
      <c r="BC264" s="197"/>
      <c r="BD264" s="197"/>
      <c r="BE264" s="197"/>
      <c r="BF264" s="197"/>
      <c r="BG264" s="197"/>
      <c r="BH264" s="197"/>
      <c r="BI264" s="197"/>
      <c r="BJ264" s="197"/>
      <c r="BK264" s="197"/>
      <c r="BL264" s="197"/>
      <c r="BM264" s="197"/>
      <c r="BN264" s="197"/>
      <c r="BO264" s="197"/>
      <c r="BP264" s="197"/>
      <c r="BQ264" s="197"/>
      <c r="BR264" s="197"/>
      <c r="BS264" s="197"/>
      <c r="BT264" s="197"/>
      <c r="BU264" s="197"/>
      <c r="BV264" s="197"/>
      <c r="BW264" s="197"/>
      <c r="BX264" s="197"/>
      <c r="BY264" s="197"/>
      <c r="BZ264" s="197"/>
      <c r="CA264" s="197"/>
      <c r="CB264" s="197"/>
      <c r="CC264" s="197"/>
      <c r="CD264" s="197"/>
      <c r="CE264" s="197"/>
      <c r="CF264" s="197"/>
      <c r="CG264" s="197"/>
      <c r="CH264" s="197"/>
      <c r="CI264" s="197"/>
      <c r="CJ264" s="197"/>
      <c r="CK264" s="197"/>
      <c r="CL264" s="197"/>
      <c r="CM264" s="197"/>
      <c r="CN264" s="197"/>
      <c r="CO264" s="197"/>
      <c r="CP264" s="197"/>
      <c r="CQ264" s="197"/>
      <c r="CR264" s="197"/>
      <c r="CS264" s="197"/>
      <c r="CT264" s="197"/>
      <c r="CU264" s="197"/>
      <c r="CV264" s="197"/>
      <c r="CW264" s="197"/>
    </row>
    <row r="265" spans="2:101" outlineLevel="1" x14ac:dyDescent="0.25">
      <c r="C265" s="202" t="s">
        <v>231</v>
      </c>
      <c r="D265" s="152" t="s">
        <v>107</v>
      </c>
      <c r="E265" s="80"/>
      <c r="F265" s="211">
        <f>+F258-SUM(F262:F263)</f>
        <v>0</v>
      </c>
      <c r="G265" s="211">
        <f t="shared" ref="G265:BR265" si="2827">+G258-SUM(G262:G263)</f>
        <v>0</v>
      </c>
      <c r="H265" s="211">
        <f t="shared" si="2827"/>
        <v>0</v>
      </c>
      <c r="I265" s="211">
        <f t="shared" si="2827"/>
        <v>0</v>
      </c>
      <c r="J265" s="211">
        <f t="shared" si="2827"/>
        <v>0</v>
      </c>
      <c r="K265" s="211">
        <f t="shared" si="2827"/>
        <v>0</v>
      </c>
      <c r="L265" s="211">
        <f t="shared" si="2827"/>
        <v>0</v>
      </c>
      <c r="M265" s="211">
        <f t="shared" si="2827"/>
        <v>0</v>
      </c>
      <c r="N265" s="211">
        <f t="shared" si="2827"/>
        <v>0</v>
      </c>
      <c r="O265" s="211">
        <f t="shared" si="2827"/>
        <v>0</v>
      </c>
      <c r="P265" s="211">
        <f t="shared" si="2827"/>
        <v>0</v>
      </c>
      <c r="Q265" s="211">
        <f t="shared" si="2827"/>
        <v>0</v>
      </c>
      <c r="R265" s="211">
        <f t="shared" si="2827"/>
        <v>0</v>
      </c>
      <c r="S265" s="211">
        <f t="shared" si="2827"/>
        <v>0</v>
      </c>
      <c r="T265" s="211">
        <f t="shared" si="2827"/>
        <v>0</v>
      </c>
      <c r="U265" s="211">
        <f t="shared" si="2827"/>
        <v>0</v>
      </c>
      <c r="V265" s="211">
        <f t="shared" si="2827"/>
        <v>0</v>
      </c>
      <c r="W265" s="211">
        <f t="shared" si="2827"/>
        <v>0</v>
      </c>
      <c r="X265" s="211">
        <f t="shared" si="2827"/>
        <v>0</v>
      </c>
      <c r="Y265" s="211">
        <f t="shared" si="2827"/>
        <v>0</v>
      </c>
      <c r="Z265" s="211">
        <f t="shared" si="2827"/>
        <v>0</v>
      </c>
      <c r="AA265" s="211">
        <f t="shared" si="2827"/>
        <v>0</v>
      </c>
      <c r="AB265" s="211">
        <f t="shared" si="2827"/>
        <v>0</v>
      </c>
      <c r="AC265" s="211">
        <f t="shared" si="2827"/>
        <v>0</v>
      </c>
      <c r="AD265" s="211">
        <f t="shared" si="2827"/>
        <v>0</v>
      </c>
      <c r="AE265" s="211">
        <f t="shared" si="2827"/>
        <v>0</v>
      </c>
      <c r="AF265" s="211">
        <f t="shared" si="2827"/>
        <v>0</v>
      </c>
      <c r="AG265" s="211">
        <f t="shared" si="2827"/>
        <v>0</v>
      </c>
      <c r="AH265" s="211">
        <f t="shared" si="2827"/>
        <v>0</v>
      </c>
      <c r="AI265" s="211">
        <f t="shared" si="2827"/>
        <v>0</v>
      </c>
      <c r="AJ265" s="211">
        <f t="shared" si="2827"/>
        <v>0</v>
      </c>
      <c r="AK265" s="211">
        <f t="shared" si="2827"/>
        <v>0</v>
      </c>
      <c r="AL265" s="211">
        <f t="shared" si="2827"/>
        <v>0</v>
      </c>
      <c r="AM265" s="211">
        <f t="shared" si="2827"/>
        <v>0</v>
      </c>
      <c r="AN265" s="211">
        <f t="shared" si="2827"/>
        <v>0</v>
      </c>
      <c r="AO265" s="211">
        <f t="shared" si="2827"/>
        <v>0</v>
      </c>
      <c r="AP265" s="211">
        <f t="shared" si="2827"/>
        <v>0</v>
      </c>
      <c r="AQ265" s="211">
        <f t="shared" si="2827"/>
        <v>0</v>
      </c>
      <c r="AR265" s="211">
        <f t="shared" si="2827"/>
        <v>0</v>
      </c>
      <c r="AS265" s="211">
        <f t="shared" si="2827"/>
        <v>0</v>
      </c>
      <c r="AT265" s="211">
        <f t="shared" si="2827"/>
        <v>0</v>
      </c>
      <c r="AU265" s="211">
        <f t="shared" si="2827"/>
        <v>0</v>
      </c>
      <c r="AV265" s="211">
        <f t="shared" si="2827"/>
        <v>0</v>
      </c>
      <c r="AW265" s="211">
        <f t="shared" si="2827"/>
        <v>0</v>
      </c>
      <c r="AX265" s="211">
        <f t="shared" si="2827"/>
        <v>0</v>
      </c>
      <c r="AY265" s="211">
        <f t="shared" si="2827"/>
        <v>0</v>
      </c>
      <c r="AZ265" s="211">
        <f t="shared" si="2827"/>
        <v>0</v>
      </c>
      <c r="BA265" s="211">
        <f t="shared" si="2827"/>
        <v>0</v>
      </c>
      <c r="BB265" s="211">
        <f t="shared" si="2827"/>
        <v>0</v>
      </c>
      <c r="BC265" s="211">
        <f t="shared" si="2827"/>
        <v>0</v>
      </c>
      <c r="BD265" s="211">
        <f t="shared" si="2827"/>
        <v>0</v>
      </c>
      <c r="BE265" s="211">
        <f t="shared" si="2827"/>
        <v>0</v>
      </c>
      <c r="BF265" s="211">
        <f t="shared" si="2827"/>
        <v>0</v>
      </c>
      <c r="BG265" s="211">
        <f t="shared" si="2827"/>
        <v>0</v>
      </c>
      <c r="BH265" s="211">
        <f t="shared" si="2827"/>
        <v>0</v>
      </c>
      <c r="BI265" s="211">
        <f t="shared" si="2827"/>
        <v>0</v>
      </c>
      <c r="BJ265" s="211">
        <f t="shared" si="2827"/>
        <v>0</v>
      </c>
      <c r="BK265" s="211">
        <f t="shared" si="2827"/>
        <v>0</v>
      </c>
      <c r="BL265" s="211">
        <f t="shared" si="2827"/>
        <v>0</v>
      </c>
      <c r="BM265" s="211">
        <f t="shared" si="2827"/>
        <v>0</v>
      </c>
      <c r="BN265" s="211">
        <f t="shared" si="2827"/>
        <v>0</v>
      </c>
      <c r="BO265" s="211">
        <f t="shared" si="2827"/>
        <v>0</v>
      </c>
      <c r="BP265" s="211">
        <f t="shared" si="2827"/>
        <v>0</v>
      </c>
      <c r="BQ265" s="211">
        <f t="shared" si="2827"/>
        <v>0</v>
      </c>
      <c r="BR265" s="211">
        <f t="shared" si="2827"/>
        <v>0</v>
      </c>
      <c r="BS265" s="211">
        <f t="shared" ref="BS265:CW265" si="2828">+BS258-SUM(BS262:BS263)</f>
        <v>0</v>
      </c>
      <c r="BT265" s="211">
        <f t="shared" si="2828"/>
        <v>0</v>
      </c>
      <c r="BU265" s="211">
        <f t="shared" si="2828"/>
        <v>0</v>
      </c>
      <c r="BV265" s="211">
        <f t="shared" si="2828"/>
        <v>0</v>
      </c>
      <c r="BW265" s="211">
        <f t="shared" si="2828"/>
        <v>0</v>
      </c>
      <c r="BX265" s="211">
        <f t="shared" si="2828"/>
        <v>0</v>
      </c>
      <c r="BY265" s="211">
        <f t="shared" si="2828"/>
        <v>0</v>
      </c>
      <c r="BZ265" s="211">
        <f t="shared" si="2828"/>
        <v>0</v>
      </c>
      <c r="CA265" s="211">
        <f t="shared" si="2828"/>
        <v>0</v>
      </c>
      <c r="CB265" s="211">
        <f t="shared" si="2828"/>
        <v>0</v>
      </c>
      <c r="CC265" s="211">
        <f t="shared" si="2828"/>
        <v>0</v>
      </c>
      <c r="CD265" s="211">
        <f t="shared" si="2828"/>
        <v>0</v>
      </c>
      <c r="CE265" s="211">
        <f t="shared" si="2828"/>
        <v>0</v>
      </c>
      <c r="CF265" s="211">
        <f t="shared" si="2828"/>
        <v>0</v>
      </c>
      <c r="CG265" s="211">
        <f t="shared" si="2828"/>
        <v>0</v>
      </c>
      <c r="CH265" s="211">
        <f t="shared" si="2828"/>
        <v>0</v>
      </c>
      <c r="CI265" s="211">
        <f t="shared" si="2828"/>
        <v>0</v>
      </c>
      <c r="CJ265" s="211">
        <f t="shared" si="2828"/>
        <v>0</v>
      </c>
      <c r="CK265" s="211">
        <f t="shared" si="2828"/>
        <v>0</v>
      </c>
      <c r="CL265" s="211">
        <f t="shared" si="2828"/>
        <v>0</v>
      </c>
      <c r="CM265" s="211">
        <f t="shared" si="2828"/>
        <v>0</v>
      </c>
      <c r="CN265" s="211">
        <f t="shared" si="2828"/>
        <v>0</v>
      </c>
      <c r="CO265" s="211">
        <f t="shared" si="2828"/>
        <v>0</v>
      </c>
      <c r="CP265" s="211">
        <f t="shared" si="2828"/>
        <v>0</v>
      </c>
      <c r="CQ265" s="211">
        <f t="shared" si="2828"/>
        <v>0</v>
      </c>
      <c r="CR265" s="211">
        <f t="shared" si="2828"/>
        <v>0</v>
      </c>
      <c r="CS265" s="211">
        <f t="shared" si="2828"/>
        <v>0</v>
      </c>
      <c r="CT265" s="211">
        <f t="shared" si="2828"/>
        <v>0</v>
      </c>
      <c r="CU265" s="211">
        <f t="shared" si="2828"/>
        <v>0</v>
      </c>
      <c r="CV265" s="211">
        <f t="shared" si="2828"/>
        <v>0</v>
      </c>
      <c r="CW265" s="211">
        <f t="shared" si="2828"/>
        <v>0</v>
      </c>
    </row>
    <row r="267" spans="2:101" x14ac:dyDescent="0.25">
      <c r="B267" s="52" t="s">
        <v>232</v>
      </c>
      <c r="C267" s="52"/>
      <c r="D267" s="40" t="str">
        <f>+$D$5</f>
        <v>Units:</v>
      </c>
      <c r="E267" s="52"/>
      <c r="F267" s="120">
        <f>Constr_Start_Date</f>
        <v>42155</v>
      </c>
      <c r="G267" s="120">
        <f>EOMONTH(F267,1)</f>
        <v>42185</v>
      </c>
      <c r="H267" s="120">
        <f t="shared" ref="H267" si="2829">EOMONTH(G267,1)</f>
        <v>42216</v>
      </c>
      <c r="I267" s="120">
        <f t="shared" ref="I267" si="2830">EOMONTH(H267,1)</f>
        <v>42247</v>
      </c>
      <c r="J267" s="120">
        <f t="shared" ref="J267" si="2831">EOMONTH(I267,1)</f>
        <v>42277</v>
      </c>
      <c r="K267" s="120">
        <f t="shared" ref="K267" si="2832">EOMONTH(J267,1)</f>
        <v>42308</v>
      </c>
      <c r="L267" s="120">
        <f t="shared" ref="L267" si="2833">EOMONTH(K267,1)</f>
        <v>42338</v>
      </c>
      <c r="M267" s="120">
        <f t="shared" ref="M267" si="2834">EOMONTH(L267,1)</f>
        <v>42369</v>
      </c>
      <c r="N267" s="120">
        <f t="shared" ref="N267" si="2835">EOMONTH(M267,1)</f>
        <v>42400</v>
      </c>
      <c r="O267" s="120">
        <f t="shared" ref="O267" si="2836">EOMONTH(N267,1)</f>
        <v>42429</v>
      </c>
      <c r="P267" s="120">
        <f t="shared" ref="P267" si="2837">EOMONTH(O267,1)</f>
        <v>42460</v>
      </c>
      <c r="Q267" s="120">
        <f t="shared" ref="Q267" si="2838">EOMONTH(P267,1)</f>
        <v>42490</v>
      </c>
      <c r="R267" s="120">
        <f t="shared" ref="R267" si="2839">EOMONTH(Q267,1)</f>
        <v>42521</v>
      </c>
      <c r="S267" s="120">
        <f t="shared" ref="S267" si="2840">EOMONTH(R267,1)</f>
        <v>42551</v>
      </c>
      <c r="T267" s="120">
        <f t="shared" ref="T267" si="2841">EOMONTH(S267,1)</f>
        <v>42582</v>
      </c>
      <c r="U267" s="120">
        <f t="shared" ref="U267" si="2842">EOMONTH(T267,1)</f>
        <v>42613</v>
      </c>
      <c r="V267" s="120">
        <f t="shared" ref="V267" si="2843">EOMONTH(U267,1)</f>
        <v>42643</v>
      </c>
      <c r="W267" s="120">
        <f t="shared" ref="W267" si="2844">EOMONTH(V267,1)</f>
        <v>42674</v>
      </c>
      <c r="X267" s="120">
        <f t="shared" ref="X267" si="2845">EOMONTH(W267,1)</f>
        <v>42704</v>
      </c>
      <c r="Y267" s="120">
        <f t="shared" ref="Y267" si="2846">EOMONTH(X267,1)</f>
        <v>42735</v>
      </c>
      <c r="Z267" s="120">
        <f t="shared" ref="Z267" si="2847">EOMONTH(Y267,1)</f>
        <v>42766</v>
      </c>
      <c r="AA267" s="120">
        <f t="shared" ref="AA267" si="2848">EOMONTH(Z267,1)</f>
        <v>42794</v>
      </c>
      <c r="AB267" s="120">
        <f t="shared" ref="AB267" si="2849">EOMONTH(AA267,1)</f>
        <v>42825</v>
      </c>
      <c r="AC267" s="120">
        <f t="shared" ref="AC267" si="2850">EOMONTH(AB267,1)</f>
        <v>42855</v>
      </c>
      <c r="AD267" s="120">
        <f t="shared" ref="AD267" si="2851">EOMONTH(AC267,1)</f>
        <v>42886</v>
      </c>
      <c r="AE267" s="120">
        <f t="shared" ref="AE267" si="2852">EOMONTH(AD267,1)</f>
        <v>42916</v>
      </c>
      <c r="AF267" s="120">
        <f t="shared" ref="AF267" si="2853">EOMONTH(AE267,1)</f>
        <v>42947</v>
      </c>
      <c r="AG267" s="120">
        <f t="shared" ref="AG267" si="2854">EOMONTH(AF267,1)</f>
        <v>42978</v>
      </c>
      <c r="AH267" s="120">
        <f t="shared" ref="AH267" si="2855">EOMONTH(AG267,1)</f>
        <v>43008</v>
      </c>
      <c r="AI267" s="120">
        <f t="shared" ref="AI267" si="2856">EOMONTH(AH267,1)</f>
        <v>43039</v>
      </c>
      <c r="AJ267" s="120">
        <f t="shared" ref="AJ267" si="2857">EOMONTH(AI267,1)</f>
        <v>43069</v>
      </c>
      <c r="AK267" s="120">
        <f t="shared" ref="AK267" si="2858">EOMONTH(AJ267,1)</f>
        <v>43100</v>
      </c>
      <c r="AL267" s="120">
        <f t="shared" ref="AL267" si="2859">EOMONTH(AK267,1)</f>
        <v>43131</v>
      </c>
      <c r="AM267" s="120">
        <f t="shared" ref="AM267" si="2860">EOMONTH(AL267,1)</f>
        <v>43159</v>
      </c>
      <c r="AN267" s="120">
        <f t="shared" ref="AN267" si="2861">EOMONTH(AM267,1)</f>
        <v>43190</v>
      </c>
      <c r="AO267" s="120">
        <f t="shared" ref="AO267" si="2862">EOMONTH(AN267,1)</f>
        <v>43220</v>
      </c>
      <c r="AP267" s="120">
        <f t="shared" ref="AP267" si="2863">EOMONTH(AO267,1)</f>
        <v>43251</v>
      </c>
      <c r="AQ267" s="120">
        <f t="shared" ref="AQ267" si="2864">EOMONTH(AP267,1)</f>
        <v>43281</v>
      </c>
      <c r="AR267" s="120">
        <f t="shared" ref="AR267" si="2865">EOMONTH(AQ267,1)</f>
        <v>43312</v>
      </c>
      <c r="AS267" s="120">
        <f t="shared" ref="AS267" si="2866">EOMONTH(AR267,1)</f>
        <v>43343</v>
      </c>
      <c r="AT267" s="120">
        <f t="shared" ref="AT267" si="2867">EOMONTH(AS267,1)</f>
        <v>43373</v>
      </c>
      <c r="AU267" s="120">
        <f t="shared" ref="AU267" si="2868">EOMONTH(AT267,1)</f>
        <v>43404</v>
      </c>
      <c r="AV267" s="120">
        <f t="shared" ref="AV267" si="2869">EOMONTH(AU267,1)</f>
        <v>43434</v>
      </c>
      <c r="AW267" s="120">
        <f t="shared" ref="AW267" si="2870">EOMONTH(AV267,1)</f>
        <v>43465</v>
      </c>
      <c r="AX267" s="120">
        <f t="shared" ref="AX267" si="2871">EOMONTH(AW267,1)</f>
        <v>43496</v>
      </c>
      <c r="AY267" s="120">
        <f t="shared" ref="AY267" si="2872">EOMONTH(AX267,1)</f>
        <v>43524</v>
      </c>
      <c r="AZ267" s="120">
        <f t="shared" ref="AZ267" si="2873">EOMONTH(AY267,1)</f>
        <v>43555</v>
      </c>
      <c r="BA267" s="120">
        <f t="shared" ref="BA267" si="2874">EOMONTH(AZ267,1)</f>
        <v>43585</v>
      </c>
      <c r="BB267" s="120">
        <f t="shared" ref="BB267" si="2875">EOMONTH(BA267,1)</f>
        <v>43616</v>
      </c>
      <c r="BC267" s="120">
        <f t="shared" ref="BC267" si="2876">EOMONTH(BB267,1)</f>
        <v>43646</v>
      </c>
      <c r="BD267" s="120">
        <f t="shared" ref="BD267" si="2877">EOMONTH(BC267,1)</f>
        <v>43677</v>
      </c>
      <c r="BE267" s="120">
        <f t="shared" ref="BE267" si="2878">EOMONTH(BD267,1)</f>
        <v>43708</v>
      </c>
      <c r="BF267" s="120">
        <f t="shared" ref="BF267" si="2879">EOMONTH(BE267,1)</f>
        <v>43738</v>
      </c>
      <c r="BG267" s="120">
        <f t="shared" ref="BG267" si="2880">EOMONTH(BF267,1)</f>
        <v>43769</v>
      </c>
      <c r="BH267" s="120">
        <f t="shared" ref="BH267" si="2881">EOMONTH(BG267,1)</f>
        <v>43799</v>
      </c>
      <c r="BI267" s="120">
        <f t="shared" ref="BI267" si="2882">EOMONTH(BH267,1)</f>
        <v>43830</v>
      </c>
      <c r="BJ267" s="120">
        <f t="shared" ref="BJ267" si="2883">EOMONTH(BI267,1)</f>
        <v>43861</v>
      </c>
      <c r="BK267" s="120">
        <f t="shared" ref="BK267" si="2884">EOMONTH(BJ267,1)</f>
        <v>43890</v>
      </c>
      <c r="BL267" s="120">
        <f t="shared" ref="BL267" si="2885">EOMONTH(BK267,1)</f>
        <v>43921</v>
      </c>
      <c r="BM267" s="120">
        <f t="shared" ref="BM267" si="2886">EOMONTH(BL267,1)</f>
        <v>43951</v>
      </c>
      <c r="BN267" s="120">
        <f t="shared" ref="BN267" si="2887">EOMONTH(BM267,1)</f>
        <v>43982</v>
      </c>
      <c r="BO267" s="120">
        <f t="shared" ref="BO267" si="2888">EOMONTH(BN267,1)</f>
        <v>44012</v>
      </c>
      <c r="BP267" s="120">
        <f t="shared" ref="BP267" si="2889">EOMONTH(BO267,1)</f>
        <v>44043</v>
      </c>
      <c r="BQ267" s="120">
        <f t="shared" ref="BQ267" si="2890">EOMONTH(BP267,1)</f>
        <v>44074</v>
      </c>
      <c r="BR267" s="120">
        <f t="shared" ref="BR267" si="2891">EOMONTH(BQ267,1)</f>
        <v>44104</v>
      </c>
      <c r="BS267" s="120">
        <f t="shared" ref="BS267" si="2892">EOMONTH(BR267,1)</f>
        <v>44135</v>
      </c>
      <c r="BT267" s="120">
        <f t="shared" ref="BT267" si="2893">EOMONTH(BS267,1)</f>
        <v>44165</v>
      </c>
      <c r="BU267" s="120">
        <f t="shared" ref="BU267" si="2894">EOMONTH(BT267,1)</f>
        <v>44196</v>
      </c>
      <c r="BV267" s="120">
        <f t="shared" ref="BV267" si="2895">EOMONTH(BU267,1)</f>
        <v>44227</v>
      </c>
      <c r="BW267" s="120">
        <f t="shared" ref="BW267" si="2896">EOMONTH(BV267,1)</f>
        <v>44255</v>
      </c>
      <c r="BX267" s="120">
        <f t="shared" ref="BX267" si="2897">EOMONTH(BW267,1)</f>
        <v>44286</v>
      </c>
      <c r="BY267" s="120">
        <f t="shared" ref="BY267" si="2898">EOMONTH(BX267,1)</f>
        <v>44316</v>
      </c>
      <c r="BZ267" s="120">
        <f t="shared" ref="BZ267" si="2899">EOMONTH(BY267,1)</f>
        <v>44347</v>
      </c>
      <c r="CA267" s="120">
        <f t="shared" ref="CA267" si="2900">EOMONTH(BZ267,1)</f>
        <v>44377</v>
      </c>
      <c r="CB267" s="120">
        <f t="shared" ref="CB267" si="2901">EOMONTH(CA267,1)</f>
        <v>44408</v>
      </c>
      <c r="CC267" s="120">
        <f t="shared" ref="CC267" si="2902">EOMONTH(CB267,1)</f>
        <v>44439</v>
      </c>
      <c r="CD267" s="120">
        <f t="shared" ref="CD267" si="2903">EOMONTH(CC267,1)</f>
        <v>44469</v>
      </c>
      <c r="CE267" s="120">
        <f t="shared" ref="CE267" si="2904">EOMONTH(CD267,1)</f>
        <v>44500</v>
      </c>
      <c r="CF267" s="120">
        <f t="shared" ref="CF267" si="2905">EOMONTH(CE267,1)</f>
        <v>44530</v>
      </c>
      <c r="CG267" s="120">
        <f t="shared" ref="CG267" si="2906">EOMONTH(CF267,1)</f>
        <v>44561</v>
      </c>
      <c r="CH267" s="120">
        <f t="shared" ref="CH267" si="2907">EOMONTH(CG267,1)</f>
        <v>44592</v>
      </c>
      <c r="CI267" s="120">
        <f t="shared" ref="CI267" si="2908">EOMONTH(CH267,1)</f>
        <v>44620</v>
      </c>
      <c r="CJ267" s="120">
        <f t="shared" ref="CJ267" si="2909">EOMONTH(CI267,1)</f>
        <v>44651</v>
      </c>
      <c r="CK267" s="120">
        <f t="shared" ref="CK267" si="2910">EOMONTH(CJ267,1)</f>
        <v>44681</v>
      </c>
      <c r="CL267" s="120">
        <f t="shared" ref="CL267" si="2911">EOMONTH(CK267,1)</f>
        <v>44712</v>
      </c>
      <c r="CM267" s="120">
        <f t="shared" ref="CM267" si="2912">EOMONTH(CL267,1)</f>
        <v>44742</v>
      </c>
      <c r="CN267" s="120">
        <f t="shared" ref="CN267" si="2913">EOMONTH(CM267,1)</f>
        <v>44773</v>
      </c>
      <c r="CO267" s="120">
        <f t="shared" ref="CO267" si="2914">EOMONTH(CN267,1)</f>
        <v>44804</v>
      </c>
      <c r="CP267" s="120">
        <f t="shared" ref="CP267" si="2915">EOMONTH(CO267,1)</f>
        <v>44834</v>
      </c>
      <c r="CQ267" s="120">
        <f t="shared" ref="CQ267" si="2916">EOMONTH(CP267,1)</f>
        <v>44865</v>
      </c>
      <c r="CR267" s="120">
        <f t="shared" ref="CR267" si="2917">EOMONTH(CQ267,1)</f>
        <v>44895</v>
      </c>
      <c r="CS267" s="120">
        <f t="shared" ref="CS267" si="2918">EOMONTH(CR267,1)</f>
        <v>44926</v>
      </c>
      <c r="CT267" s="120">
        <f t="shared" ref="CT267" si="2919">EOMONTH(CS267,1)</f>
        <v>44957</v>
      </c>
      <c r="CU267" s="120">
        <f t="shared" ref="CU267" si="2920">EOMONTH(CT267,1)</f>
        <v>44985</v>
      </c>
      <c r="CV267" s="120">
        <f t="shared" ref="CV267" si="2921">EOMONTH(CU267,1)</f>
        <v>45016</v>
      </c>
      <c r="CW267" s="120">
        <f t="shared" ref="CW267" si="2922">EOMONTH(CV267,1)</f>
        <v>45046</v>
      </c>
    </row>
    <row r="268" spans="2:101" outlineLevel="1" x14ac:dyDescent="0.25">
      <c r="B268" s="80"/>
      <c r="C268" s="80"/>
      <c r="D268" s="80"/>
      <c r="E268" s="80"/>
      <c r="F268" s="80"/>
    </row>
    <row r="269" spans="2:101" outlineLevel="1" x14ac:dyDescent="0.25">
      <c r="B269" s="80"/>
      <c r="C269" s="202" t="s">
        <v>233</v>
      </c>
      <c r="D269" s="152" t="s">
        <v>107</v>
      </c>
      <c r="E269" s="214"/>
      <c r="F269" s="82">
        <f t="shared" ref="F269:AK269" si="2923">IF(F267&lt;=Exit_Date,-F20+F168+F196+F197+F198,0)</f>
        <v>-77970000</v>
      </c>
      <c r="G269" s="82">
        <f t="shared" si="2923"/>
        <v>-2520000</v>
      </c>
      <c r="H269" s="82">
        <f t="shared" si="2923"/>
        <v>-4320000</v>
      </c>
      <c r="I269" s="82">
        <f t="shared" si="2923"/>
        <v>-4770000</v>
      </c>
      <c r="J269" s="82">
        <f t="shared" si="2923"/>
        <v>-2970000</v>
      </c>
      <c r="K269" s="82">
        <f t="shared" si="2923"/>
        <v>-77790000</v>
      </c>
      <c r="L269" s="82">
        <f t="shared" si="2923"/>
        <v>-7560000</v>
      </c>
      <c r="M269" s="82">
        <f t="shared" si="2923"/>
        <v>-5580000</v>
      </c>
      <c r="N269" s="82">
        <f t="shared" si="2923"/>
        <v>-6570000</v>
      </c>
      <c r="O269" s="82">
        <f t="shared" si="2923"/>
        <v>-9270000</v>
      </c>
      <c r="P269" s="82">
        <f t="shared" si="2923"/>
        <v>-13320000</v>
      </c>
      <c r="Q269" s="82">
        <f t="shared" si="2923"/>
        <v>-15750000</v>
      </c>
      <c r="R269" s="82">
        <f t="shared" si="2923"/>
        <v>-24750000</v>
      </c>
      <c r="S269" s="82">
        <f t="shared" si="2923"/>
        <v>-27900000.000000004</v>
      </c>
      <c r="T269" s="82">
        <f t="shared" si="2923"/>
        <v>-28440000</v>
      </c>
      <c r="U269" s="82">
        <f t="shared" si="2923"/>
        <v>-41940000</v>
      </c>
      <c r="V269" s="82">
        <f t="shared" si="2923"/>
        <v>-41940000</v>
      </c>
      <c r="W269" s="82">
        <f t="shared" si="2923"/>
        <v>-47340000</v>
      </c>
      <c r="X269" s="82">
        <f t="shared" si="2923"/>
        <v>-53100000.000000007</v>
      </c>
      <c r="Y269" s="82">
        <f t="shared" si="2923"/>
        <v>-54989999.999999993</v>
      </c>
      <c r="Z269" s="82">
        <f t="shared" si="2923"/>
        <v>-49050000</v>
      </c>
      <c r="AA269" s="82">
        <f t="shared" si="2923"/>
        <v>-48600000</v>
      </c>
      <c r="AB269" s="82">
        <f t="shared" si="2923"/>
        <v>-43740000</v>
      </c>
      <c r="AC269" s="82">
        <f t="shared" si="2923"/>
        <v>-38790000</v>
      </c>
      <c r="AD269" s="82">
        <f t="shared" si="2923"/>
        <v>-31140000.000000004</v>
      </c>
      <c r="AE269" s="82">
        <f t="shared" si="2923"/>
        <v>-27000000.000000004</v>
      </c>
      <c r="AF269" s="82">
        <f t="shared" si="2923"/>
        <v>-18450000</v>
      </c>
      <c r="AG269" s="82">
        <f t="shared" si="2923"/>
        <v>-16200000</v>
      </c>
      <c r="AH269" s="82">
        <f t="shared" si="2923"/>
        <v>-8550000</v>
      </c>
      <c r="AI269" s="82">
        <f t="shared" si="2923"/>
        <v>-7650000</v>
      </c>
      <c r="AJ269" s="82">
        <f t="shared" si="2923"/>
        <v>-6390000</v>
      </c>
      <c r="AK269" s="82">
        <f t="shared" si="2923"/>
        <v>-5850000</v>
      </c>
      <c r="AL269" s="82">
        <f t="shared" ref="AL269:BQ269" si="2924">IF(AL267&lt;=Exit_Date,-AL20+AL168+AL196+AL197+AL198,0)</f>
        <v>-3780000</v>
      </c>
      <c r="AM269" s="82">
        <f t="shared" si="2924"/>
        <v>-3960000</v>
      </c>
      <c r="AN269" s="82">
        <f t="shared" si="2924"/>
        <v>-4500000</v>
      </c>
      <c r="AO269" s="82">
        <f t="shared" si="2924"/>
        <v>-6300000</v>
      </c>
      <c r="AP269" s="82">
        <f t="shared" si="2924"/>
        <v>-8100000</v>
      </c>
      <c r="AQ269" s="82">
        <f t="shared" si="2924"/>
        <v>-9270000</v>
      </c>
      <c r="AR269" s="82">
        <f t="shared" si="2924"/>
        <v>-6210000</v>
      </c>
      <c r="AS269" s="82">
        <f t="shared" si="2924"/>
        <v>-4050000</v>
      </c>
      <c r="AT269" s="82">
        <f t="shared" si="2924"/>
        <v>-12600000</v>
      </c>
      <c r="AU269" s="82">
        <f t="shared" si="2924"/>
        <v>-10170000</v>
      </c>
      <c r="AV269" s="82">
        <f t="shared" si="2924"/>
        <v>-3600000</v>
      </c>
      <c r="AW269" s="82">
        <f t="shared" si="2924"/>
        <v>-15930000</v>
      </c>
      <c r="AX269" s="82">
        <f t="shared" si="2924"/>
        <v>-2250000</v>
      </c>
      <c r="AY269" s="82">
        <f t="shared" si="2924"/>
        <v>-4230000</v>
      </c>
      <c r="AZ269" s="82">
        <f t="shared" si="2924"/>
        <v>-3780000</v>
      </c>
      <c r="BA269" s="82">
        <f t="shared" si="2924"/>
        <v>-19440000</v>
      </c>
      <c r="BB269" s="82">
        <f t="shared" si="2924"/>
        <v>-930526.33117645048</v>
      </c>
      <c r="BC269" s="82">
        <f t="shared" si="2924"/>
        <v>-932253.32992209983</v>
      </c>
      <c r="BD269" s="82">
        <f t="shared" si="2924"/>
        <v>-933983.53386954404</v>
      </c>
      <c r="BE269" s="82">
        <f t="shared" si="2924"/>
        <v>-935716.94896743889</v>
      </c>
      <c r="BF269" s="82">
        <f t="shared" si="2924"/>
        <v>-937453.58117547771</v>
      </c>
      <c r="BG269" s="82">
        <f t="shared" si="2924"/>
        <v>-939193.43646441679</v>
      </c>
      <c r="BH269" s="82">
        <f t="shared" si="2924"/>
        <v>1751198.2218403262</v>
      </c>
      <c r="BI269" s="82">
        <f t="shared" si="2924"/>
        <v>1749451.9024329749</v>
      </c>
      <c r="BJ269" s="82">
        <f t="shared" si="2924"/>
        <v>1747702.3419658868</v>
      </c>
      <c r="BK269" s="82">
        <f t="shared" si="2924"/>
        <v>3762153.7462841878</v>
      </c>
      <c r="BL269" s="82">
        <f t="shared" si="2924"/>
        <v>1914498.562030802</v>
      </c>
      <c r="BM269" s="82">
        <f t="shared" si="2924"/>
        <v>3758638.3658586466</v>
      </c>
      <c r="BN269" s="82">
        <f t="shared" si="2924"/>
        <v>3862619.7646172652</v>
      </c>
      <c r="BO269" s="82">
        <f t="shared" si="2924"/>
        <v>3860659.5073904502</v>
      </c>
      <c r="BP269" s="82">
        <f t="shared" si="2924"/>
        <v>3858695.2123547024</v>
      </c>
      <c r="BQ269" s="82">
        <f t="shared" si="2924"/>
        <v>3856726.8711927934</v>
      </c>
      <c r="BR269" s="82">
        <f t="shared" ref="BR269:CW269" si="2925">IF(BR267&lt;=Exit_Date,-BR20+BR168+BR196+BR197+BR198,0)</f>
        <v>3854754.4755703686</v>
      </c>
      <c r="BS269" s="82">
        <f t="shared" si="2925"/>
        <v>3852778.0171359042</v>
      </c>
      <c r="BT269" s="82">
        <f t="shared" si="2925"/>
        <v>3850797.4875206677</v>
      </c>
      <c r="BU269" s="82">
        <f t="shared" si="2925"/>
        <v>3848812.8783386978</v>
      </c>
      <c r="BV269" s="82">
        <f t="shared" si="2925"/>
        <v>3846824.1811867524</v>
      </c>
      <c r="BW269" s="82">
        <f t="shared" si="2925"/>
        <v>3844831.3876442853</v>
      </c>
      <c r="BX269" s="82">
        <f t="shared" si="2925"/>
        <v>3842834.4892734005</v>
      </c>
      <c r="BY269" s="82">
        <f t="shared" si="2925"/>
        <v>3840833.4776188228</v>
      </c>
      <c r="BZ269" s="82">
        <f t="shared" si="2925"/>
        <v>1611975518.5120401</v>
      </c>
      <c r="CA269" s="82">
        <f t="shared" si="2925"/>
        <v>0</v>
      </c>
      <c r="CB269" s="82">
        <f t="shared" si="2925"/>
        <v>0</v>
      </c>
      <c r="CC269" s="82">
        <f t="shared" si="2925"/>
        <v>0</v>
      </c>
      <c r="CD269" s="82">
        <f t="shared" si="2925"/>
        <v>0</v>
      </c>
      <c r="CE269" s="82">
        <f t="shared" si="2925"/>
        <v>0</v>
      </c>
      <c r="CF269" s="82">
        <f t="shared" si="2925"/>
        <v>0</v>
      </c>
      <c r="CG269" s="82">
        <f t="shared" si="2925"/>
        <v>0</v>
      </c>
      <c r="CH269" s="82">
        <f t="shared" si="2925"/>
        <v>0</v>
      </c>
      <c r="CI269" s="82">
        <f t="shared" si="2925"/>
        <v>0</v>
      </c>
      <c r="CJ269" s="82">
        <f t="shared" si="2925"/>
        <v>0</v>
      </c>
      <c r="CK269" s="82">
        <f t="shared" si="2925"/>
        <v>0</v>
      </c>
      <c r="CL269" s="82">
        <f t="shared" si="2925"/>
        <v>0</v>
      </c>
      <c r="CM269" s="82">
        <f t="shared" si="2925"/>
        <v>0</v>
      </c>
      <c r="CN269" s="82">
        <f t="shared" si="2925"/>
        <v>0</v>
      </c>
      <c r="CO269" s="82">
        <f t="shared" si="2925"/>
        <v>0</v>
      </c>
      <c r="CP269" s="82">
        <f t="shared" si="2925"/>
        <v>0</v>
      </c>
      <c r="CQ269" s="82">
        <f t="shared" si="2925"/>
        <v>0</v>
      </c>
      <c r="CR269" s="82">
        <f t="shared" si="2925"/>
        <v>0</v>
      </c>
      <c r="CS269" s="82">
        <f t="shared" si="2925"/>
        <v>0</v>
      </c>
      <c r="CT269" s="82">
        <f t="shared" si="2925"/>
        <v>0</v>
      </c>
      <c r="CU269" s="82">
        <f t="shared" si="2925"/>
        <v>0</v>
      </c>
      <c r="CV269" s="82">
        <f t="shared" si="2925"/>
        <v>0</v>
      </c>
      <c r="CW269" s="82">
        <f t="shared" si="2925"/>
        <v>0</v>
      </c>
    </row>
    <row r="270" spans="2:101" outlineLevel="1" x14ac:dyDescent="0.25">
      <c r="B270" s="80"/>
      <c r="C270" s="81" t="s">
        <v>31</v>
      </c>
      <c r="D270" s="48" t="s">
        <v>39</v>
      </c>
      <c r="E270" s="210">
        <f>XIRR(F269:CW269,Returns_Date_Range)</f>
        <v>0.12862233519554134</v>
      </c>
      <c r="F270" s="209"/>
      <c r="G270" s="80"/>
      <c r="H270" s="80"/>
      <c r="I270" s="80"/>
      <c r="J270" s="80"/>
      <c r="K270" s="80"/>
      <c r="L270" s="80"/>
      <c r="M270" s="80"/>
      <c r="N270" s="80"/>
      <c r="O270" s="80"/>
      <c r="P270" s="80"/>
      <c r="Q270" s="80"/>
      <c r="R270" s="80"/>
      <c r="S270" s="80"/>
      <c r="T270" s="80"/>
      <c r="U270" s="80"/>
      <c r="V270" s="80"/>
      <c r="W270" s="80"/>
      <c r="X270" s="80"/>
      <c r="Y270" s="80"/>
      <c r="Z270" s="80"/>
      <c r="AA270" s="80"/>
      <c r="AB270" s="80"/>
      <c r="AC270" s="80"/>
      <c r="AD270" s="80"/>
      <c r="AE270" s="80"/>
      <c r="AF270" s="80"/>
      <c r="AG270" s="80"/>
      <c r="AH270" s="80"/>
      <c r="AI270" s="80"/>
      <c r="AJ270" s="80"/>
      <c r="AK270" s="80"/>
      <c r="AL270" s="80"/>
      <c r="AM270" s="80"/>
      <c r="AN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  <c r="AY270" s="80"/>
      <c r="AZ270" s="80"/>
      <c r="BA270" s="80"/>
      <c r="BB270" s="80"/>
      <c r="BC270" s="80"/>
      <c r="BD270" s="80"/>
      <c r="BE270" s="80"/>
      <c r="BF270" s="80"/>
      <c r="BG270" s="80"/>
      <c r="BH270" s="80"/>
    </row>
    <row r="271" spans="2:101" outlineLevel="1" x14ac:dyDescent="0.25">
      <c r="B271" s="80"/>
      <c r="C271" s="81" t="s">
        <v>234</v>
      </c>
      <c r="D271" s="152" t="s">
        <v>107</v>
      </c>
      <c r="E271" s="212">
        <f>SUMIF(F269:CW269,"&gt;0",F269:CW269)</f>
        <v>1672880329.402297</v>
      </c>
      <c r="F271" s="212"/>
      <c r="G271" s="80"/>
      <c r="H271" s="80"/>
      <c r="I271" s="80"/>
      <c r="J271" s="80"/>
      <c r="K271" s="80"/>
      <c r="L271" s="80"/>
      <c r="M271" s="80"/>
      <c r="N271" s="80"/>
      <c r="O271" s="80"/>
      <c r="P271" s="80"/>
      <c r="Q271" s="80"/>
      <c r="R271" s="80"/>
      <c r="S271" s="80"/>
      <c r="T271" s="80"/>
      <c r="U271" s="80"/>
      <c r="V271" s="80"/>
      <c r="W271" s="80"/>
      <c r="X271" s="80"/>
      <c r="Y271" s="80"/>
      <c r="Z271" s="80"/>
      <c r="AA271" s="80"/>
      <c r="AB271" s="80"/>
      <c r="AC271" s="80"/>
      <c r="AD271" s="80"/>
      <c r="AE271" s="80"/>
      <c r="AF271" s="80"/>
      <c r="AG271" s="80"/>
      <c r="AH271" s="80"/>
      <c r="AI271" s="80"/>
      <c r="AJ271" s="80"/>
      <c r="AK271" s="80"/>
      <c r="AL271" s="80"/>
      <c r="AM271" s="80"/>
      <c r="AN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  <c r="AY271" s="80"/>
      <c r="AZ271" s="80"/>
      <c r="BA271" s="80"/>
      <c r="BB271" s="80"/>
      <c r="BC271" s="80"/>
      <c r="BD271" s="80"/>
      <c r="BE271" s="80"/>
      <c r="BF271" s="80"/>
      <c r="BG271" s="80"/>
      <c r="BH271" s="80"/>
    </row>
    <row r="272" spans="2:101" outlineLevel="1" x14ac:dyDescent="0.25">
      <c r="B272" s="80"/>
      <c r="C272" s="81" t="s">
        <v>235</v>
      </c>
      <c r="D272" s="152" t="s">
        <v>107</v>
      </c>
      <c r="E272" s="212">
        <f>-SUMIF(F269:CW269,"&lt;=0",F269:CW269)</f>
        <v>973979127.16157532</v>
      </c>
      <c r="F272" s="212"/>
      <c r="G272" s="80"/>
      <c r="H272" s="80"/>
      <c r="I272" s="80"/>
      <c r="J272" s="80"/>
      <c r="K272" s="80"/>
      <c r="L272" s="80"/>
      <c r="M272" s="80"/>
      <c r="N272" s="80"/>
      <c r="O272" s="80"/>
      <c r="P272" s="80"/>
      <c r="Q272" s="80"/>
      <c r="R272" s="80"/>
      <c r="S272" s="80"/>
      <c r="T272" s="80"/>
      <c r="U272" s="80"/>
      <c r="V272" s="80"/>
      <c r="W272" s="80"/>
      <c r="X272" s="80"/>
      <c r="Y272" s="80"/>
      <c r="Z272" s="80"/>
      <c r="AA272" s="80"/>
      <c r="AB272" s="80"/>
      <c r="AC272" s="80"/>
      <c r="AD272" s="80"/>
      <c r="AE272" s="80"/>
      <c r="AF272" s="80"/>
      <c r="AG272" s="80"/>
      <c r="AH272" s="80"/>
      <c r="AI272" s="80"/>
      <c r="AJ272" s="80"/>
      <c r="AK272" s="80"/>
      <c r="AL272" s="80"/>
      <c r="AM272" s="80"/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  <c r="AY272" s="80"/>
      <c r="AZ272" s="80"/>
      <c r="BA272" s="80"/>
      <c r="BB272" s="80"/>
      <c r="BC272" s="80"/>
      <c r="BD272" s="80"/>
      <c r="BE272" s="80"/>
      <c r="BF272" s="80"/>
      <c r="BG272" s="80"/>
      <c r="BH272" s="80"/>
    </row>
    <row r="273" spans="2:101" outlineLevel="1" x14ac:dyDescent="0.25">
      <c r="B273" s="80"/>
      <c r="C273" s="81" t="s">
        <v>83</v>
      </c>
      <c r="D273" s="48" t="s">
        <v>74</v>
      </c>
      <c r="E273" s="213">
        <f>+E271/E272</f>
        <v>1.7175730801105551</v>
      </c>
      <c r="F273" s="213"/>
      <c r="G273" s="80"/>
      <c r="H273" s="80"/>
      <c r="I273" s="80"/>
      <c r="J273" s="80"/>
      <c r="K273" s="80"/>
      <c r="L273" s="80"/>
      <c r="M273" s="80"/>
      <c r="N273" s="80"/>
      <c r="O273" s="80"/>
      <c r="P273" s="80"/>
      <c r="Q273" s="80"/>
      <c r="R273" s="80"/>
      <c r="S273" s="80"/>
      <c r="T273" s="80"/>
      <c r="U273" s="80"/>
      <c r="V273" s="80"/>
      <c r="W273" s="80"/>
      <c r="X273" s="80"/>
      <c r="Y273" s="80"/>
      <c r="Z273" s="80"/>
      <c r="AA273" s="80"/>
      <c r="AB273" s="80"/>
      <c r="AC273" s="80"/>
      <c r="AD273" s="80"/>
      <c r="AE273" s="80"/>
      <c r="AF273" s="80"/>
      <c r="AG273" s="80"/>
      <c r="AH273" s="80"/>
      <c r="AI273" s="80"/>
      <c r="AJ273" s="80"/>
      <c r="AK273" s="80"/>
      <c r="AL273" s="80"/>
      <c r="AM273" s="80"/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  <c r="AY273" s="80"/>
      <c r="AZ273" s="80"/>
      <c r="BA273" s="80"/>
      <c r="BB273" s="80"/>
      <c r="BC273" s="80"/>
      <c r="BD273" s="80"/>
      <c r="BE273" s="80"/>
      <c r="BF273" s="80"/>
      <c r="BG273" s="80"/>
      <c r="BH273" s="80"/>
    </row>
    <row r="274" spans="2:101" outlineLevel="1" x14ac:dyDescent="0.25">
      <c r="B274" s="80"/>
      <c r="C274" s="80"/>
      <c r="D274" s="80"/>
      <c r="E274" s="197"/>
      <c r="F274" s="197"/>
      <c r="G274" s="80"/>
      <c r="H274" s="80"/>
      <c r="I274" s="80"/>
      <c r="J274" s="80"/>
      <c r="K274" s="80"/>
      <c r="L274" s="80"/>
      <c r="M274" s="80"/>
      <c r="N274" s="80"/>
      <c r="O274" s="80"/>
      <c r="P274" s="80"/>
      <c r="Q274" s="80"/>
      <c r="R274" s="80"/>
      <c r="S274" s="80"/>
      <c r="T274" s="80"/>
      <c r="U274" s="80"/>
      <c r="V274" s="80"/>
      <c r="W274" s="80"/>
      <c r="X274" s="80"/>
      <c r="Y274" s="80"/>
      <c r="Z274" s="80"/>
      <c r="AA274" s="80"/>
      <c r="AB274" s="80"/>
      <c r="AC274" s="80"/>
      <c r="AD274" s="80"/>
      <c r="AE274" s="80"/>
      <c r="AF274" s="80"/>
      <c r="AG274" s="80"/>
      <c r="AH274" s="80"/>
      <c r="AI274" s="80"/>
      <c r="AJ274" s="80"/>
      <c r="AK274" s="80"/>
      <c r="AL274" s="80"/>
      <c r="AM274" s="80"/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  <c r="AY274" s="80"/>
      <c r="AZ274" s="80"/>
      <c r="BA274" s="80"/>
      <c r="BB274" s="80"/>
      <c r="BC274" s="80"/>
      <c r="BD274" s="80"/>
      <c r="BE274" s="80"/>
      <c r="BF274" s="80"/>
      <c r="BG274" s="80"/>
      <c r="BH274" s="80"/>
    </row>
    <row r="275" spans="2:101" outlineLevel="1" x14ac:dyDescent="0.25">
      <c r="B275" s="80"/>
      <c r="C275" s="202" t="s">
        <v>30</v>
      </c>
      <c r="D275" s="152" t="s">
        <v>107</v>
      </c>
      <c r="E275" s="80"/>
      <c r="F275" s="215">
        <f>+F233</f>
        <v>-77970000</v>
      </c>
      <c r="G275" s="215">
        <f t="shared" ref="G275:BR275" si="2926">+G233</f>
        <v>-2520000</v>
      </c>
      <c r="H275" s="215">
        <f t="shared" si="2926"/>
        <v>-4320000</v>
      </c>
      <c r="I275" s="215">
        <f t="shared" si="2926"/>
        <v>-4770000</v>
      </c>
      <c r="J275" s="215">
        <f t="shared" si="2926"/>
        <v>-2970000</v>
      </c>
      <c r="K275" s="215">
        <f t="shared" si="2926"/>
        <v>-77790000</v>
      </c>
      <c r="L275" s="215">
        <f t="shared" si="2926"/>
        <v>-7560000</v>
      </c>
      <c r="M275" s="215">
        <f t="shared" si="2926"/>
        <v>-5580000</v>
      </c>
      <c r="N275" s="215">
        <f t="shared" si="2926"/>
        <v>-6570000</v>
      </c>
      <c r="O275" s="215">
        <f t="shared" si="2926"/>
        <v>-9270000</v>
      </c>
      <c r="P275" s="215">
        <f t="shared" si="2926"/>
        <v>-13320000</v>
      </c>
      <c r="Q275" s="215">
        <f t="shared" si="2926"/>
        <v>-15750000</v>
      </c>
      <c r="R275" s="215">
        <f t="shared" si="2926"/>
        <v>-24750000</v>
      </c>
      <c r="S275" s="215">
        <f t="shared" si="2926"/>
        <v>-27900000.000000004</v>
      </c>
      <c r="T275" s="215">
        <f t="shared" si="2926"/>
        <v>-28440000</v>
      </c>
      <c r="U275" s="215">
        <f t="shared" si="2926"/>
        <v>-41940000</v>
      </c>
      <c r="V275" s="215">
        <f t="shared" si="2926"/>
        <v>-41940000</v>
      </c>
      <c r="W275" s="215">
        <f t="shared" si="2926"/>
        <v>-21877056</v>
      </c>
      <c r="X275" s="215">
        <f t="shared" si="2926"/>
        <v>0</v>
      </c>
      <c r="Y275" s="215">
        <f t="shared" si="2926"/>
        <v>0</v>
      </c>
      <c r="Z275" s="215">
        <f t="shared" si="2926"/>
        <v>0</v>
      </c>
      <c r="AA275" s="215">
        <f t="shared" si="2926"/>
        <v>0</v>
      </c>
      <c r="AB275" s="215">
        <f t="shared" si="2926"/>
        <v>0</v>
      </c>
      <c r="AC275" s="215">
        <f t="shared" si="2926"/>
        <v>0</v>
      </c>
      <c r="AD275" s="215">
        <f t="shared" si="2926"/>
        <v>0</v>
      </c>
      <c r="AE275" s="215">
        <f t="shared" si="2926"/>
        <v>0</v>
      </c>
      <c r="AF275" s="215">
        <f t="shared" si="2926"/>
        <v>0</v>
      </c>
      <c r="AG275" s="215">
        <f t="shared" si="2926"/>
        <v>0</v>
      </c>
      <c r="AH275" s="215">
        <f t="shared" si="2926"/>
        <v>0</v>
      </c>
      <c r="AI275" s="215">
        <f t="shared" si="2926"/>
        <v>0</v>
      </c>
      <c r="AJ275" s="215">
        <f t="shared" si="2926"/>
        <v>0</v>
      </c>
      <c r="AK275" s="215">
        <f t="shared" si="2926"/>
        <v>0</v>
      </c>
      <c r="AL275" s="215">
        <f t="shared" si="2926"/>
        <v>0</v>
      </c>
      <c r="AM275" s="215">
        <f t="shared" si="2926"/>
        <v>0</v>
      </c>
      <c r="AN275" s="215">
        <f t="shared" si="2926"/>
        <v>0</v>
      </c>
      <c r="AO275" s="215">
        <f t="shared" si="2926"/>
        <v>0</v>
      </c>
      <c r="AP275" s="215">
        <f t="shared" si="2926"/>
        <v>0</v>
      </c>
      <c r="AQ275" s="215">
        <f t="shared" si="2926"/>
        <v>0</v>
      </c>
      <c r="AR275" s="215">
        <f t="shared" si="2926"/>
        <v>0</v>
      </c>
      <c r="AS275" s="215">
        <f t="shared" si="2926"/>
        <v>0</v>
      </c>
      <c r="AT275" s="215">
        <f t="shared" si="2926"/>
        <v>0</v>
      </c>
      <c r="AU275" s="215">
        <f t="shared" si="2926"/>
        <v>0</v>
      </c>
      <c r="AV275" s="215">
        <f t="shared" si="2926"/>
        <v>0</v>
      </c>
      <c r="AW275" s="215">
        <f t="shared" si="2926"/>
        <v>0</v>
      </c>
      <c r="AX275" s="215">
        <f t="shared" si="2926"/>
        <v>0</v>
      </c>
      <c r="AY275" s="215">
        <f t="shared" si="2926"/>
        <v>0</v>
      </c>
      <c r="AZ275" s="215">
        <f t="shared" si="2926"/>
        <v>0</v>
      </c>
      <c r="BA275" s="215">
        <f t="shared" si="2926"/>
        <v>195972697.55504143</v>
      </c>
      <c r="BB275" s="215">
        <f t="shared" si="2926"/>
        <v>-4420811.8889556434</v>
      </c>
      <c r="BC275" s="215">
        <f t="shared" si="2926"/>
        <v>-4423784.4150807997</v>
      </c>
      <c r="BD275" s="215">
        <f t="shared" si="2926"/>
        <v>-4426764.2239402821</v>
      </c>
      <c r="BE275" s="215">
        <f t="shared" si="2926"/>
        <v>-4429751.3348315293</v>
      </c>
      <c r="BF275" s="215">
        <f t="shared" si="2926"/>
        <v>-4432745.7671067128</v>
      </c>
      <c r="BG275" s="215">
        <f t="shared" si="2926"/>
        <v>-4435747.540172915</v>
      </c>
      <c r="BH275" s="215">
        <f t="shared" si="2926"/>
        <v>-1746621.930835864</v>
      </c>
      <c r="BI275" s="215">
        <f t="shared" si="2926"/>
        <v>-1749638.4439257793</v>
      </c>
      <c r="BJ275" s="215">
        <f t="shared" si="2926"/>
        <v>-1752662.3563590213</v>
      </c>
      <c r="BK275" s="215">
        <f t="shared" si="2926"/>
        <v>260510.52409639768</v>
      </c>
      <c r="BL275" s="215">
        <f t="shared" si="2926"/>
        <v>-1588427.3695743023</v>
      </c>
      <c r="BM275" s="215">
        <f t="shared" si="2926"/>
        <v>254425.52557937941</v>
      </c>
      <c r="BN275" s="215">
        <f t="shared" si="2926"/>
        <v>357115.8026597132</v>
      </c>
      <c r="BO275" s="215">
        <f t="shared" si="2926"/>
        <v>353860.19695820985</v>
      </c>
      <c r="BP275" s="215">
        <f t="shared" si="2926"/>
        <v>350596.31281394279</v>
      </c>
      <c r="BQ275" s="215">
        <f t="shared" si="2926"/>
        <v>347324.12802694738</v>
      </c>
      <c r="BR275" s="215">
        <f t="shared" si="2926"/>
        <v>344043.6203346923</v>
      </c>
      <c r="BS275" s="215">
        <f t="shared" ref="BS275:CW275" si="2927">+BS233</f>
        <v>340754.76741187461</v>
      </c>
      <c r="BT275" s="215">
        <f t="shared" si="2927"/>
        <v>337457.54687023768</v>
      </c>
      <c r="BU275" s="215">
        <f t="shared" si="2927"/>
        <v>334151.93625840172</v>
      </c>
      <c r="BV275" s="215">
        <f t="shared" si="2927"/>
        <v>330837.91306165652</v>
      </c>
      <c r="BW275" s="215">
        <f t="shared" si="2927"/>
        <v>327515.45470179198</v>
      </c>
      <c r="BX275" s="215">
        <f t="shared" si="2927"/>
        <v>324184.53853690112</v>
      </c>
      <c r="BY275" s="215">
        <f t="shared" si="2927"/>
        <v>320845.14186119335</v>
      </c>
      <c r="BZ275" s="215">
        <f t="shared" si="2927"/>
        <v>797718886.42465794</v>
      </c>
      <c r="CA275" s="215">
        <f t="shared" si="2927"/>
        <v>0</v>
      </c>
      <c r="CB275" s="215">
        <f t="shared" si="2927"/>
        <v>0</v>
      </c>
      <c r="CC275" s="215">
        <f t="shared" si="2927"/>
        <v>0</v>
      </c>
      <c r="CD275" s="215">
        <f t="shared" si="2927"/>
        <v>0</v>
      </c>
      <c r="CE275" s="215">
        <f t="shared" si="2927"/>
        <v>0</v>
      </c>
      <c r="CF275" s="215">
        <f t="shared" si="2927"/>
        <v>0</v>
      </c>
      <c r="CG275" s="215">
        <f t="shared" si="2927"/>
        <v>0</v>
      </c>
      <c r="CH275" s="215">
        <f t="shared" si="2927"/>
        <v>0</v>
      </c>
      <c r="CI275" s="215">
        <f t="shared" si="2927"/>
        <v>0</v>
      </c>
      <c r="CJ275" s="215">
        <f t="shared" si="2927"/>
        <v>0</v>
      </c>
      <c r="CK275" s="215">
        <f t="shared" si="2927"/>
        <v>0</v>
      </c>
      <c r="CL275" s="215">
        <f t="shared" si="2927"/>
        <v>0</v>
      </c>
      <c r="CM275" s="215">
        <f t="shared" si="2927"/>
        <v>0</v>
      </c>
      <c r="CN275" s="215">
        <f t="shared" si="2927"/>
        <v>0</v>
      </c>
      <c r="CO275" s="215">
        <f t="shared" si="2927"/>
        <v>0</v>
      </c>
      <c r="CP275" s="215">
        <f t="shared" si="2927"/>
        <v>0</v>
      </c>
      <c r="CQ275" s="215">
        <f t="shared" si="2927"/>
        <v>0</v>
      </c>
      <c r="CR275" s="215">
        <f t="shared" si="2927"/>
        <v>0</v>
      </c>
      <c r="CS275" s="215">
        <f t="shared" si="2927"/>
        <v>0</v>
      </c>
      <c r="CT275" s="215">
        <f t="shared" si="2927"/>
        <v>0</v>
      </c>
      <c r="CU275" s="215">
        <f t="shared" si="2927"/>
        <v>0</v>
      </c>
      <c r="CV275" s="215">
        <f t="shared" si="2927"/>
        <v>0</v>
      </c>
      <c r="CW275" s="215">
        <f t="shared" si="2927"/>
        <v>0</v>
      </c>
    </row>
    <row r="276" spans="2:101" outlineLevel="1" x14ac:dyDescent="0.25">
      <c r="B276" s="80"/>
      <c r="C276" s="81" t="s">
        <v>31</v>
      </c>
      <c r="D276" s="48" t="s">
        <v>39</v>
      </c>
      <c r="E276" s="210">
        <f>XIRR(F275:CW275,Returns_Date_Range)</f>
        <v>0.18959111571311948</v>
      </c>
      <c r="F276" s="209"/>
      <c r="G276" s="80"/>
      <c r="H276" s="80"/>
      <c r="I276" s="80"/>
      <c r="J276" s="80"/>
      <c r="K276" s="80"/>
      <c r="L276" s="80"/>
      <c r="M276" s="80"/>
      <c r="N276" s="80"/>
      <c r="O276" s="80"/>
      <c r="P276" s="80"/>
      <c r="Q276" s="80"/>
      <c r="R276" s="80"/>
      <c r="S276" s="80"/>
      <c r="T276" s="80"/>
      <c r="U276" s="80"/>
      <c r="V276" s="80"/>
      <c r="W276" s="80"/>
      <c r="X276" s="80"/>
      <c r="Y276" s="80"/>
      <c r="Z276" s="80"/>
      <c r="AA276" s="80"/>
      <c r="AB276" s="80"/>
      <c r="AC276" s="80"/>
      <c r="AD276" s="80"/>
      <c r="AE276" s="80"/>
      <c r="AF276" s="80"/>
      <c r="AG276" s="80"/>
      <c r="AH276" s="80"/>
      <c r="AI276" s="80"/>
      <c r="AJ276" s="80"/>
      <c r="AK276" s="80"/>
      <c r="AL276" s="80"/>
      <c r="AM276" s="80"/>
      <c r="AN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  <c r="AY276" s="80"/>
      <c r="AZ276" s="80"/>
      <c r="BA276" s="80"/>
      <c r="BB276" s="80"/>
      <c r="BC276" s="80"/>
      <c r="BD276" s="80"/>
      <c r="BE276" s="80"/>
      <c r="BF276" s="80"/>
      <c r="BG276" s="80"/>
      <c r="BH276" s="80"/>
    </row>
    <row r="277" spans="2:101" outlineLevel="1" x14ac:dyDescent="0.25">
      <c r="B277" s="80"/>
      <c r="C277" s="81" t="s">
        <v>234</v>
      </c>
      <c r="D277" s="152" t="s">
        <v>107</v>
      </c>
      <c r="E277" s="212">
        <f>SUMIF(F275:CW275,"&gt;0",F275:CW275)</f>
        <v>998275207.38887072</v>
      </c>
      <c r="F277" s="212"/>
      <c r="G277" s="80"/>
      <c r="H277" s="80"/>
      <c r="I277" s="80"/>
      <c r="J277" s="80"/>
      <c r="K277" s="80"/>
      <c r="L277" s="80"/>
      <c r="M277" s="80"/>
      <c r="N277" s="80"/>
      <c r="O277" s="80"/>
      <c r="P277" s="80"/>
      <c r="Q277" s="80"/>
      <c r="R277" s="80"/>
      <c r="S277" s="80"/>
      <c r="T277" s="80"/>
      <c r="U277" s="80"/>
      <c r="V277" s="80"/>
      <c r="W277" s="80"/>
      <c r="X277" s="80"/>
      <c r="Y277" s="80"/>
      <c r="Z277" s="80"/>
      <c r="AA277" s="80"/>
      <c r="AB277" s="80"/>
      <c r="AC277" s="80"/>
      <c r="AD277" s="80"/>
      <c r="AE277" s="80"/>
      <c r="AF277" s="80"/>
      <c r="AG277" s="80"/>
      <c r="AH277" s="80"/>
      <c r="AI277" s="80"/>
      <c r="AJ277" s="80"/>
      <c r="AK277" s="80"/>
      <c r="AL277" s="80"/>
      <c r="AM277" s="80"/>
      <c r="AN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  <c r="AY277" s="80"/>
      <c r="AZ277" s="80"/>
      <c r="BA277" s="80"/>
      <c r="BB277" s="80"/>
      <c r="BC277" s="80"/>
      <c r="BD277" s="80"/>
      <c r="BE277" s="80"/>
      <c r="BF277" s="80"/>
      <c r="BG277" s="80"/>
      <c r="BH277" s="80"/>
    </row>
    <row r="278" spans="2:101" outlineLevel="1" x14ac:dyDescent="0.25">
      <c r="B278" s="80"/>
      <c r="C278" s="81" t="s">
        <v>82</v>
      </c>
      <c r="D278" s="152" t="s">
        <v>107</v>
      </c>
      <c r="E278" s="212">
        <f>-SUMIF(F275:CW275,"&lt;=0",F275:CW275)</f>
        <v>448644011.27078283</v>
      </c>
      <c r="F278" s="197"/>
      <c r="G278" s="80"/>
      <c r="H278" s="80"/>
      <c r="I278" s="80"/>
      <c r="J278" s="80"/>
      <c r="K278" s="80"/>
      <c r="L278" s="80"/>
      <c r="M278" s="80"/>
      <c r="N278" s="80"/>
      <c r="O278" s="80"/>
      <c r="P278" s="80"/>
      <c r="Q278" s="80"/>
      <c r="R278" s="80"/>
      <c r="S278" s="80"/>
      <c r="T278" s="80"/>
      <c r="U278" s="80"/>
      <c r="V278" s="80"/>
      <c r="W278" s="80"/>
      <c r="X278" s="80"/>
      <c r="Y278" s="80"/>
      <c r="Z278" s="80"/>
      <c r="AA278" s="80"/>
      <c r="AB278" s="80"/>
      <c r="AC278" s="80"/>
      <c r="AD278" s="80"/>
      <c r="AE278" s="80"/>
      <c r="AF278" s="80"/>
      <c r="AG278" s="80"/>
      <c r="AH278" s="80"/>
      <c r="AI278" s="80"/>
      <c r="AJ278" s="80"/>
      <c r="AK278" s="80"/>
      <c r="AL278" s="80"/>
      <c r="AM278" s="80"/>
      <c r="AN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  <c r="AY278" s="80"/>
      <c r="AZ278" s="80"/>
      <c r="BA278" s="80"/>
      <c r="BB278" s="80"/>
      <c r="BC278" s="80"/>
      <c r="BD278" s="80"/>
      <c r="BE278" s="80"/>
      <c r="BF278" s="80"/>
      <c r="BG278" s="80"/>
      <c r="BH278" s="80"/>
    </row>
    <row r="279" spans="2:101" outlineLevel="1" x14ac:dyDescent="0.25">
      <c r="B279" s="80"/>
      <c r="C279" s="81" t="s">
        <v>83</v>
      </c>
      <c r="D279" s="48" t="s">
        <v>74</v>
      </c>
      <c r="E279" s="213">
        <f>+E277/E278</f>
        <v>2.2250942446802293</v>
      </c>
      <c r="F279" s="213"/>
      <c r="G279" s="80"/>
      <c r="H279" s="80"/>
      <c r="I279" s="80"/>
      <c r="J279" s="80"/>
      <c r="K279" s="80"/>
      <c r="L279" s="80"/>
      <c r="M279" s="80"/>
      <c r="N279" s="80"/>
      <c r="O279" s="80"/>
      <c r="P279" s="80"/>
      <c r="Q279" s="80"/>
      <c r="R279" s="80"/>
      <c r="S279" s="80"/>
      <c r="T279" s="80"/>
      <c r="U279" s="80"/>
      <c r="V279" s="80"/>
      <c r="W279" s="80"/>
      <c r="X279" s="80"/>
      <c r="Y279" s="80"/>
      <c r="Z279" s="80"/>
      <c r="AA279" s="80"/>
      <c r="AB279" s="80"/>
      <c r="AC279" s="80"/>
      <c r="AD279" s="80"/>
      <c r="AE279" s="80"/>
      <c r="AF279" s="80"/>
      <c r="AG279" s="80"/>
      <c r="AH279" s="80"/>
      <c r="AI279" s="80"/>
      <c r="AJ279" s="80"/>
      <c r="AK279" s="80"/>
      <c r="AL279" s="80"/>
      <c r="AM279" s="80"/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  <c r="AY279" s="80"/>
      <c r="AZ279" s="80"/>
      <c r="BA279" s="80"/>
      <c r="BB279" s="80"/>
      <c r="BC279" s="80"/>
      <c r="BD279" s="80"/>
      <c r="BE279" s="80"/>
      <c r="BF279" s="80"/>
      <c r="BG279" s="80"/>
      <c r="BH279" s="80"/>
    </row>
    <row r="280" spans="2:101" outlineLevel="1" x14ac:dyDescent="0.25">
      <c r="B280" s="80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0"/>
      <c r="N280" s="80"/>
      <c r="O280" s="80"/>
      <c r="P280" s="80"/>
      <c r="Q280" s="80"/>
      <c r="R280" s="80"/>
      <c r="S280" s="80"/>
      <c r="T280" s="80"/>
      <c r="U280" s="80"/>
      <c r="V280" s="80"/>
      <c r="W280" s="80"/>
      <c r="X280" s="80"/>
      <c r="Y280" s="80"/>
      <c r="Z280" s="80"/>
      <c r="AA280" s="80"/>
      <c r="AB280" s="80"/>
      <c r="AC280" s="80"/>
      <c r="AD280" s="80"/>
      <c r="AE280" s="80"/>
      <c r="AF280" s="80"/>
      <c r="AG280" s="80"/>
      <c r="AH280" s="80"/>
      <c r="AI280" s="80"/>
      <c r="AJ280" s="80"/>
      <c r="AK280" s="80"/>
      <c r="AL280" s="80"/>
      <c r="AM280" s="80"/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  <c r="AY280" s="80"/>
      <c r="AZ280" s="80"/>
      <c r="BA280" s="80"/>
      <c r="BB280" s="80"/>
      <c r="BC280" s="80"/>
      <c r="BD280" s="80"/>
      <c r="BE280" s="80"/>
      <c r="BF280" s="80"/>
      <c r="BG280" s="80"/>
      <c r="BH280" s="80"/>
    </row>
    <row r="281" spans="2:101" outlineLevel="1" x14ac:dyDescent="0.25">
      <c r="B281" s="80"/>
      <c r="C281" s="202" t="s">
        <v>239</v>
      </c>
      <c r="D281" s="152" t="s">
        <v>107</v>
      </c>
      <c r="E281" s="80"/>
      <c r="F281" s="215">
        <f>+F242+F255+F262</f>
        <v>-68223750</v>
      </c>
      <c r="G281" s="215">
        <f t="shared" ref="G281:BR281" si="2928">+G242+G255+G262</f>
        <v>-2205000</v>
      </c>
      <c r="H281" s="215">
        <f t="shared" si="2928"/>
        <v>-3780000</v>
      </c>
      <c r="I281" s="215">
        <f t="shared" si="2928"/>
        <v>-4173750</v>
      </c>
      <c r="J281" s="215">
        <f t="shared" si="2928"/>
        <v>-2598750</v>
      </c>
      <c r="K281" s="215">
        <f t="shared" si="2928"/>
        <v>-68066250</v>
      </c>
      <c r="L281" s="215">
        <f t="shared" si="2928"/>
        <v>-6615000</v>
      </c>
      <c r="M281" s="215">
        <f t="shared" si="2928"/>
        <v>-4882500</v>
      </c>
      <c r="N281" s="215">
        <f t="shared" si="2928"/>
        <v>-5748750</v>
      </c>
      <c r="O281" s="215">
        <f t="shared" si="2928"/>
        <v>-8111250</v>
      </c>
      <c r="P281" s="215">
        <f t="shared" si="2928"/>
        <v>-11655000</v>
      </c>
      <c r="Q281" s="215">
        <f t="shared" si="2928"/>
        <v>-13781250</v>
      </c>
      <c r="R281" s="215">
        <f t="shared" si="2928"/>
        <v>-21656250</v>
      </c>
      <c r="S281" s="215">
        <f t="shared" si="2928"/>
        <v>-24412500.000000004</v>
      </c>
      <c r="T281" s="215">
        <f t="shared" si="2928"/>
        <v>-24885000</v>
      </c>
      <c r="U281" s="215">
        <f t="shared" si="2928"/>
        <v>-36697500</v>
      </c>
      <c r="V281" s="215">
        <f t="shared" si="2928"/>
        <v>-36697500</v>
      </c>
      <c r="W281" s="215">
        <f t="shared" si="2928"/>
        <v>-19142424</v>
      </c>
      <c r="X281" s="215">
        <f t="shared" si="2928"/>
        <v>0</v>
      </c>
      <c r="Y281" s="215">
        <f t="shared" si="2928"/>
        <v>0</v>
      </c>
      <c r="Z281" s="215">
        <f t="shared" si="2928"/>
        <v>0</v>
      </c>
      <c r="AA281" s="215">
        <f t="shared" si="2928"/>
        <v>0</v>
      </c>
      <c r="AB281" s="215">
        <f t="shared" si="2928"/>
        <v>0</v>
      </c>
      <c r="AC281" s="215">
        <f t="shared" si="2928"/>
        <v>0</v>
      </c>
      <c r="AD281" s="215">
        <f t="shared" si="2928"/>
        <v>0</v>
      </c>
      <c r="AE281" s="215">
        <f t="shared" si="2928"/>
        <v>0</v>
      </c>
      <c r="AF281" s="215">
        <f t="shared" si="2928"/>
        <v>0</v>
      </c>
      <c r="AG281" s="215">
        <f t="shared" si="2928"/>
        <v>0</v>
      </c>
      <c r="AH281" s="215">
        <f t="shared" si="2928"/>
        <v>0</v>
      </c>
      <c r="AI281" s="215">
        <f t="shared" si="2928"/>
        <v>0</v>
      </c>
      <c r="AJ281" s="215">
        <f t="shared" si="2928"/>
        <v>0</v>
      </c>
      <c r="AK281" s="215">
        <f t="shared" si="2928"/>
        <v>0</v>
      </c>
      <c r="AL281" s="215">
        <f t="shared" si="2928"/>
        <v>0</v>
      </c>
      <c r="AM281" s="215">
        <f t="shared" si="2928"/>
        <v>0</v>
      </c>
      <c r="AN281" s="215">
        <f t="shared" si="2928"/>
        <v>0</v>
      </c>
      <c r="AO281" s="215">
        <f t="shared" si="2928"/>
        <v>0</v>
      </c>
      <c r="AP281" s="215">
        <f t="shared" si="2928"/>
        <v>0</v>
      </c>
      <c r="AQ281" s="215">
        <f t="shared" si="2928"/>
        <v>0</v>
      </c>
      <c r="AR281" s="215">
        <f t="shared" si="2928"/>
        <v>0</v>
      </c>
      <c r="AS281" s="215">
        <f t="shared" si="2928"/>
        <v>0</v>
      </c>
      <c r="AT281" s="215">
        <f t="shared" si="2928"/>
        <v>0</v>
      </c>
      <c r="AU281" s="215">
        <f t="shared" si="2928"/>
        <v>0</v>
      </c>
      <c r="AV281" s="215">
        <f t="shared" si="2928"/>
        <v>0</v>
      </c>
      <c r="AW281" s="215">
        <f t="shared" si="2928"/>
        <v>0</v>
      </c>
      <c r="AX281" s="215">
        <f t="shared" si="2928"/>
        <v>0</v>
      </c>
      <c r="AY281" s="215">
        <f t="shared" si="2928"/>
        <v>0</v>
      </c>
      <c r="AZ281" s="215">
        <f t="shared" si="2928"/>
        <v>0</v>
      </c>
      <c r="BA281" s="215">
        <f t="shared" si="2928"/>
        <v>171476110.36066124</v>
      </c>
      <c r="BB281" s="215">
        <f t="shared" si="2928"/>
        <v>-3868210.4028361877</v>
      </c>
      <c r="BC281" s="215">
        <f t="shared" si="2928"/>
        <v>-3870811.3631956996</v>
      </c>
      <c r="BD281" s="215">
        <f t="shared" si="2928"/>
        <v>-3873418.6959477467</v>
      </c>
      <c r="BE281" s="215">
        <f t="shared" si="2928"/>
        <v>-3876032.4179775883</v>
      </c>
      <c r="BF281" s="215">
        <f t="shared" si="2928"/>
        <v>-3878652.5462183738</v>
      </c>
      <c r="BG281" s="215">
        <f t="shared" si="2928"/>
        <v>-3881279.0976513005</v>
      </c>
      <c r="BH281" s="215">
        <f t="shared" si="2928"/>
        <v>-1528294.1894813811</v>
      </c>
      <c r="BI281" s="215">
        <f t="shared" si="2928"/>
        <v>-1530933.6384350569</v>
      </c>
      <c r="BJ281" s="215">
        <f t="shared" si="2928"/>
        <v>-1533579.5618141436</v>
      </c>
      <c r="BK281" s="215">
        <f t="shared" si="2928"/>
        <v>227946.70858434797</v>
      </c>
      <c r="BL281" s="215">
        <f t="shared" si="2928"/>
        <v>-1389873.9483775145</v>
      </c>
      <c r="BM281" s="215">
        <f t="shared" si="2928"/>
        <v>222622.33488195698</v>
      </c>
      <c r="BN281" s="215">
        <f t="shared" si="2928"/>
        <v>312476.32732724905</v>
      </c>
      <c r="BO281" s="215">
        <f t="shared" si="2928"/>
        <v>309627.67233843362</v>
      </c>
      <c r="BP281" s="215">
        <f t="shared" si="2928"/>
        <v>306771.77371219994</v>
      </c>
      <c r="BQ281" s="215">
        <f t="shared" si="2928"/>
        <v>303908.61202357896</v>
      </c>
      <c r="BR281" s="215">
        <f t="shared" si="2928"/>
        <v>301038.16779285576</v>
      </c>
      <c r="BS281" s="215">
        <f t="shared" ref="BS281:CW281" si="2929">+BS242+BS255+BS262</f>
        <v>298160.42148539028</v>
      </c>
      <c r="BT281" s="215">
        <f t="shared" si="2929"/>
        <v>295275.35351145797</v>
      </c>
      <c r="BU281" s="215">
        <f t="shared" si="2929"/>
        <v>292382.94422610151</v>
      </c>
      <c r="BV281" s="215">
        <f t="shared" si="2929"/>
        <v>289483.17392894946</v>
      </c>
      <c r="BW281" s="215">
        <f t="shared" si="2929"/>
        <v>286576.02286406799</v>
      </c>
      <c r="BX281" s="215">
        <f t="shared" si="2929"/>
        <v>283661.47121978848</v>
      </c>
      <c r="BY281" s="215">
        <f t="shared" si="2929"/>
        <v>280739.49912854418</v>
      </c>
      <c r="BZ281" s="215">
        <f t="shared" si="2929"/>
        <v>672481469.06667364</v>
      </c>
      <c r="CA281" s="215">
        <f t="shared" si="2929"/>
        <v>0</v>
      </c>
      <c r="CB281" s="215">
        <f t="shared" si="2929"/>
        <v>0</v>
      </c>
      <c r="CC281" s="215">
        <f t="shared" si="2929"/>
        <v>0</v>
      </c>
      <c r="CD281" s="215">
        <f t="shared" si="2929"/>
        <v>0</v>
      </c>
      <c r="CE281" s="215">
        <f t="shared" si="2929"/>
        <v>0</v>
      </c>
      <c r="CF281" s="215">
        <f t="shared" si="2929"/>
        <v>0</v>
      </c>
      <c r="CG281" s="215">
        <f t="shared" si="2929"/>
        <v>0</v>
      </c>
      <c r="CH281" s="215">
        <f t="shared" si="2929"/>
        <v>0</v>
      </c>
      <c r="CI281" s="215">
        <f t="shared" si="2929"/>
        <v>0</v>
      </c>
      <c r="CJ281" s="215">
        <f t="shared" si="2929"/>
        <v>0</v>
      </c>
      <c r="CK281" s="215">
        <f t="shared" si="2929"/>
        <v>0</v>
      </c>
      <c r="CL281" s="215">
        <f t="shared" si="2929"/>
        <v>0</v>
      </c>
      <c r="CM281" s="215">
        <f t="shared" si="2929"/>
        <v>0</v>
      </c>
      <c r="CN281" s="215">
        <f t="shared" si="2929"/>
        <v>0</v>
      </c>
      <c r="CO281" s="215">
        <f t="shared" si="2929"/>
        <v>0</v>
      </c>
      <c r="CP281" s="215">
        <f t="shared" si="2929"/>
        <v>0</v>
      </c>
      <c r="CQ281" s="215">
        <f t="shared" si="2929"/>
        <v>0</v>
      </c>
      <c r="CR281" s="215">
        <f t="shared" si="2929"/>
        <v>0</v>
      </c>
      <c r="CS281" s="215">
        <f t="shared" si="2929"/>
        <v>0</v>
      </c>
      <c r="CT281" s="215">
        <f t="shared" si="2929"/>
        <v>0</v>
      </c>
      <c r="CU281" s="215">
        <f t="shared" si="2929"/>
        <v>0</v>
      </c>
      <c r="CV281" s="215">
        <f t="shared" si="2929"/>
        <v>0</v>
      </c>
      <c r="CW281" s="215">
        <f t="shared" si="2929"/>
        <v>0</v>
      </c>
    </row>
    <row r="282" spans="2:101" outlineLevel="1" x14ac:dyDescent="0.25">
      <c r="B282" s="80"/>
      <c r="C282" s="81" t="str">
        <f>$C$276</f>
        <v>Internal Rate of Return (IRR):</v>
      </c>
      <c r="D282" s="48" t="s">
        <v>39</v>
      </c>
      <c r="E282" s="210">
        <f>XIRR(F281:CW281,Returns_Date_Range)</f>
        <v>0.1825580894947052</v>
      </c>
      <c r="F282" s="80"/>
      <c r="G282" s="80"/>
      <c r="H282" s="80"/>
      <c r="I282" s="80"/>
      <c r="J282" s="80"/>
      <c r="K282" s="80"/>
      <c r="L282" s="80"/>
      <c r="M282" s="80"/>
      <c r="N282" s="80"/>
      <c r="O282" s="80"/>
      <c r="P282" s="80"/>
      <c r="Q282" s="80"/>
      <c r="R282" s="80"/>
      <c r="S282" s="80"/>
      <c r="T282" s="80"/>
      <c r="U282" s="80"/>
      <c r="V282" s="80"/>
      <c r="W282" s="80"/>
      <c r="X282" s="80"/>
      <c r="Y282" s="80"/>
      <c r="Z282" s="80"/>
      <c r="AA282" s="80"/>
      <c r="AB282" s="80"/>
      <c r="AC282" s="80"/>
      <c r="AD282" s="80"/>
      <c r="AE282" s="80"/>
      <c r="AF282" s="80"/>
      <c r="AG282" s="80"/>
      <c r="AH282" s="80"/>
      <c r="AI282" s="80"/>
      <c r="AJ282" s="80"/>
      <c r="AK282" s="80"/>
      <c r="AL282" s="80"/>
      <c r="AM282" s="80"/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  <c r="AY282" s="80"/>
      <c r="AZ282" s="80"/>
      <c r="BA282" s="80"/>
      <c r="BB282" s="80"/>
      <c r="BC282" s="80"/>
      <c r="BD282" s="80"/>
      <c r="BE282" s="80"/>
      <c r="BF282" s="80"/>
      <c r="BG282" s="80"/>
      <c r="BH282" s="80"/>
      <c r="BI282" s="80"/>
      <c r="BJ282" s="80"/>
      <c r="BK282" s="80"/>
      <c r="BL282" s="80"/>
      <c r="BM282" s="80"/>
      <c r="BN282" s="80"/>
      <c r="BO282" s="80"/>
      <c r="BP282" s="80"/>
      <c r="BQ282" s="80"/>
      <c r="BR282" s="80"/>
      <c r="BS282" s="80"/>
      <c r="BT282" s="80"/>
      <c r="BU282" s="80"/>
      <c r="BV282" s="80"/>
      <c r="BW282" s="80"/>
      <c r="BX282" s="80"/>
      <c r="BY282" s="80"/>
      <c r="BZ282" s="80"/>
      <c r="CA282" s="80"/>
      <c r="CB282" s="80"/>
      <c r="CC282" s="80"/>
      <c r="CD282" s="80"/>
      <c r="CE282" s="80"/>
      <c r="CF282" s="80"/>
      <c r="CG282" s="80"/>
      <c r="CH282" s="80"/>
      <c r="CI282" s="80"/>
      <c r="CJ282" s="80"/>
      <c r="CK282" s="80"/>
      <c r="CL282" s="80"/>
      <c r="CM282" s="80"/>
      <c r="CN282" s="80"/>
      <c r="CO282" s="80"/>
      <c r="CP282" s="80"/>
      <c r="CQ282" s="80"/>
      <c r="CR282" s="80"/>
      <c r="CS282" s="80"/>
      <c r="CT282" s="80"/>
      <c r="CU282" s="80"/>
      <c r="CV282" s="80"/>
      <c r="CW282" s="80"/>
    </row>
    <row r="283" spans="2:101" outlineLevel="1" x14ac:dyDescent="0.25">
      <c r="B283" s="80"/>
      <c r="C283" s="81" t="str">
        <f>$C$277</f>
        <v>Positive Cash Flows:</v>
      </c>
      <c r="D283" s="152" t="s">
        <v>107</v>
      </c>
      <c r="E283" s="212">
        <f>SUMIF(F281:CW281,"&gt;0",F281:CW281)</f>
        <v>847968249.91035986</v>
      </c>
      <c r="F283" s="80"/>
      <c r="G283" s="80"/>
      <c r="H283" s="80"/>
      <c r="I283" s="80"/>
      <c r="J283" s="80"/>
      <c r="K283" s="80"/>
      <c r="L283" s="80"/>
      <c r="M283" s="80"/>
      <c r="N283" s="80"/>
      <c r="O283" s="80"/>
      <c r="P283" s="80"/>
      <c r="Q283" s="80"/>
      <c r="R283" s="80"/>
      <c r="S283" s="80"/>
      <c r="T283" s="80"/>
      <c r="U283" s="80"/>
      <c r="V283" s="80"/>
      <c r="W283" s="80"/>
      <c r="X283" s="80"/>
      <c r="Y283" s="80"/>
      <c r="Z283" s="80"/>
      <c r="AA283" s="80"/>
      <c r="AB283" s="80"/>
      <c r="AC283" s="80"/>
      <c r="AD283" s="80"/>
      <c r="AE283" s="80"/>
      <c r="AF283" s="80"/>
      <c r="AG283" s="80"/>
      <c r="AH283" s="80"/>
      <c r="AI283" s="80"/>
      <c r="AJ283" s="80"/>
      <c r="AK283" s="80"/>
      <c r="AL283" s="80"/>
      <c r="AM283" s="80"/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  <c r="AY283" s="80"/>
      <c r="AZ283" s="80"/>
      <c r="BA283" s="80"/>
      <c r="BB283" s="80"/>
      <c r="BC283" s="80"/>
      <c r="BD283" s="80"/>
      <c r="BE283" s="80"/>
      <c r="BF283" s="80"/>
      <c r="BG283" s="80"/>
      <c r="BH283" s="80"/>
      <c r="BI283" s="80"/>
      <c r="BJ283" s="80"/>
      <c r="BK283" s="80"/>
      <c r="BL283" s="80"/>
      <c r="BM283" s="80"/>
      <c r="BN283" s="80"/>
      <c r="BO283" s="80"/>
      <c r="BP283" s="80"/>
      <c r="BQ283" s="80"/>
      <c r="BR283" s="80"/>
      <c r="BS283" s="80"/>
      <c r="BT283" s="80"/>
      <c r="BU283" s="80"/>
      <c r="BV283" s="80"/>
      <c r="BW283" s="80"/>
      <c r="BX283" s="80"/>
      <c r="BY283" s="80"/>
      <c r="BZ283" s="80"/>
      <c r="CA283" s="80"/>
      <c r="CB283" s="80"/>
      <c r="CC283" s="80"/>
      <c r="CD283" s="80"/>
      <c r="CE283" s="80"/>
      <c r="CF283" s="80"/>
      <c r="CG283" s="80"/>
      <c r="CH283" s="80"/>
      <c r="CI283" s="80"/>
      <c r="CJ283" s="80"/>
      <c r="CK283" s="80"/>
      <c r="CL283" s="80"/>
      <c r="CM283" s="80"/>
      <c r="CN283" s="80"/>
      <c r="CO283" s="80"/>
      <c r="CP283" s="80"/>
      <c r="CQ283" s="80"/>
      <c r="CR283" s="80"/>
      <c r="CS283" s="80"/>
      <c r="CT283" s="80"/>
      <c r="CU283" s="80"/>
      <c r="CV283" s="80"/>
      <c r="CW283" s="80"/>
    </row>
    <row r="284" spans="2:101" outlineLevel="1" x14ac:dyDescent="0.25">
      <c r="B284" s="80"/>
      <c r="C284" s="81" t="str">
        <f>$C$278</f>
        <v>Invested Equity:</v>
      </c>
      <c r="D284" s="152" t="s">
        <v>107</v>
      </c>
      <c r="E284" s="212">
        <f>-SUMIF(F281:CW281,"&lt;=0",F281:CW281)</f>
        <v>392563509.86193502</v>
      </c>
      <c r="F284" s="80"/>
      <c r="G284" s="80"/>
      <c r="H284" s="80"/>
      <c r="I284" s="80"/>
      <c r="J284" s="80"/>
      <c r="K284" s="80"/>
      <c r="L284" s="80"/>
      <c r="M284" s="80"/>
      <c r="N284" s="80"/>
      <c r="O284" s="80"/>
      <c r="P284" s="80"/>
      <c r="Q284" s="80"/>
      <c r="R284" s="80"/>
      <c r="S284" s="80"/>
      <c r="T284" s="80"/>
      <c r="U284" s="80"/>
      <c r="V284" s="80"/>
      <c r="W284" s="80"/>
      <c r="X284" s="80"/>
      <c r="Y284" s="80"/>
      <c r="Z284" s="80"/>
      <c r="AA284" s="80"/>
      <c r="AB284" s="80"/>
      <c r="AC284" s="80"/>
      <c r="AD284" s="80"/>
      <c r="AE284" s="80"/>
      <c r="AF284" s="80"/>
      <c r="AG284" s="80"/>
      <c r="AH284" s="80"/>
      <c r="AI284" s="80"/>
      <c r="AJ284" s="80"/>
      <c r="AK284" s="80"/>
      <c r="AL284" s="80"/>
      <c r="AM284" s="80"/>
      <c r="AN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  <c r="AY284" s="80"/>
      <c r="AZ284" s="80"/>
      <c r="BA284" s="80"/>
      <c r="BB284" s="80"/>
      <c r="BC284" s="80"/>
      <c r="BD284" s="80"/>
      <c r="BE284" s="80"/>
      <c r="BF284" s="80"/>
      <c r="BG284" s="80"/>
      <c r="BH284" s="80"/>
      <c r="BI284" s="80"/>
      <c r="BJ284" s="80"/>
      <c r="BK284" s="80"/>
      <c r="BL284" s="80"/>
      <c r="BM284" s="80"/>
      <c r="BN284" s="80"/>
      <c r="BO284" s="80"/>
      <c r="BP284" s="80"/>
      <c r="BQ284" s="80"/>
      <c r="BR284" s="80"/>
      <c r="BS284" s="80"/>
      <c r="BT284" s="80"/>
      <c r="BU284" s="80"/>
      <c r="BV284" s="80"/>
      <c r="BW284" s="80"/>
      <c r="BX284" s="80"/>
      <c r="BY284" s="80"/>
      <c r="BZ284" s="80"/>
      <c r="CA284" s="80"/>
      <c r="CB284" s="80"/>
      <c r="CC284" s="80"/>
      <c r="CD284" s="80"/>
      <c r="CE284" s="80"/>
      <c r="CF284" s="80"/>
      <c r="CG284" s="80"/>
      <c r="CH284" s="80"/>
      <c r="CI284" s="80"/>
      <c r="CJ284" s="80"/>
      <c r="CK284" s="80"/>
      <c r="CL284" s="80"/>
      <c r="CM284" s="80"/>
      <c r="CN284" s="80"/>
      <c r="CO284" s="80"/>
      <c r="CP284" s="80"/>
      <c r="CQ284" s="80"/>
      <c r="CR284" s="80"/>
      <c r="CS284" s="80"/>
      <c r="CT284" s="80"/>
      <c r="CU284" s="80"/>
      <c r="CV284" s="80"/>
      <c r="CW284" s="80"/>
    </row>
    <row r="285" spans="2:101" outlineLevel="1" x14ac:dyDescent="0.25">
      <c r="B285" s="80"/>
      <c r="C285" s="81" t="str">
        <f>$C$279</f>
        <v>Cash-on-Cash Multiple:</v>
      </c>
      <c r="D285" s="48" t="s">
        <v>74</v>
      </c>
      <c r="E285" s="213">
        <f>+E283/E284</f>
        <v>2.1600791428846535</v>
      </c>
      <c r="F285" s="80"/>
      <c r="G285" s="80"/>
      <c r="H285" s="80"/>
      <c r="I285" s="80"/>
      <c r="J285" s="80"/>
      <c r="K285" s="80"/>
      <c r="L285" s="80"/>
      <c r="M285" s="80"/>
      <c r="N285" s="80"/>
      <c r="O285" s="80"/>
      <c r="P285" s="80"/>
      <c r="Q285" s="80"/>
      <c r="R285" s="80"/>
      <c r="S285" s="80"/>
      <c r="T285" s="80"/>
      <c r="U285" s="80"/>
      <c r="V285" s="80"/>
      <c r="W285" s="80"/>
      <c r="X285" s="80"/>
      <c r="Y285" s="80"/>
      <c r="Z285" s="80"/>
      <c r="AA285" s="80"/>
      <c r="AB285" s="80"/>
      <c r="AC285" s="80"/>
      <c r="AD285" s="80"/>
      <c r="AE285" s="80"/>
      <c r="AF285" s="80"/>
      <c r="AG285" s="80"/>
      <c r="AH285" s="80"/>
      <c r="AI285" s="80"/>
      <c r="AJ285" s="80"/>
      <c r="AK285" s="80"/>
      <c r="AL285" s="80"/>
      <c r="AM285" s="80"/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  <c r="AY285" s="80"/>
      <c r="AZ285" s="80"/>
      <c r="BA285" s="80"/>
      <c r="BB285" s="80"/>
      <c r="BC285" s="80"/>
      <c r="BD285" s="80"/>
      <c r="BE285" s="80"/>
      <c r="BF285" s="80"/>
      <c r="BG285" s="80"/>
      <c r="BH285" s="80"/>
      <c r="BI285" s="80"/>
      <c r="BJ285" s="80"/>
      <c r="BK285" s="80"/>
      <c r="BL285" s="80"/>
      <c r="BM285" s="80"/>
      <c r="BN285" s="80"/>
      <c r="BO285" s="80"/>
      <c r="BP285" s="80"/>
      <c r="BQ285" s="80"/>
      <c r="BR285" s="80"/>
      <c r="BS285" s="80"/>
      <c r="BT285" s="80"/>
      <c r="BU285" s="80"/>
      <c r="BV285" s="80"/>
      <c r="BW285" s="80"/>
      <c r="BX285" s="80"/>
      <c r="BY285" s="80"/>
      <c r="BZ285" s="80"/>
      <c r="CA285" s="80"/>
      <c r="CB285" s="80"/>
      <c r="CC285" s="80"/>
      <c r="CD285" s="80"/>
      <c r="CE285" s="80"/>
      <c r="CF285" s="80"/>
      <c r="CG285" s="80"/>
      <c r="CH285" s="80"/>
      <c r="CI285" s="80"/>
      <c r="CJ285" s="80"/>
      <c r="CK285" s="80"/>
      <c r="CL285" s="80"/>
      <c r="CM285" s="80"/>
      <c r="CN285" s="80"/>
      <c r="CO285" s="80"/>
      <c r="CP285" s="80"/>
      <c r="CQ285" s="80"/>
      <c r="CR285" s="80"/>
      <c r="CS285" s="80"/>
      <c r="CT285" s="80"/>
      <c r="CU285" s="80"/>
      <c r="CV285" s="80"/>
      <c r="CW285" s="80"/>
    </row>
    <row r="286" spans="2:101" outlineLevel="1" x14ac:dyDescent="0.25">
      <c r="B286" s="80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0"/>
      <c r="N286" s="80"/>
      <c r="O286" s="80"/>
      <c r="P286" s="80"/>
      <c r="Q286" s="80"/>
      <c r="R286" s="80"/>
      <c r="S286" s="80"/>
      <c r="T286" s="80"/>
      <c r="U286" s="80"/>
      <c r="V286" s="80"/>
      <c r="W286" s="80"/>
      <c r="X286" s="80"/>
      <c r="Y286" s="80"/>
      <c r="Z286" s="80"/>
      <c r="AA286" s="80"/>
      <c r="AB286" s="80"/>
      <c r="AC286" s="80"/>
      <c r="AD286" s="80"/>
      <c r="AE286" s="80"/>
      <c r="AF286" s="80"/>
      <c r="AG286" s="80"/>
      <c r="AH286" s="80"/>
      <c r="AI286" s="80"/>
      <c r="AJ286" s="80"/>
      <c r="AK286" s="80"/>
      <c r="AL286" s="80"/>
      <c r="AM286" s="80"/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  <c r="AY286" s="80"/>
      <c r="AZ286" s="80"/>
      <c r="BA286" s="80"/>
      <c r="BB286" s="80"/>
      <c r="BC286" s="80"/>
      <c r="BD286" s="80"/>
      <c r="BE286" s="80"/>
      <c r="BF286" s="80"/>
      <c r="BG286" s="80"/>
      <c r="BH286" s="80"/>
      <c r="BI286" s="80"/>
      <c r="BJ286" s="80"/>
      <c r="BK286" s="80"/>
      <c r="BL286" s="80"/>
      <c r="BM286" s="80"/>
      <c r="BN286" s="80"/>
      <c r="BO286" s="80"/>
      <c r="BP286" s="80"/>
      <c r="BQ286" s="80"/>
      <c r="BR286" s="80"/>
      <c r="BS286" s="80"/>
      <c r="BT286" s="80"/>
      <c r="BU286" s="80"/>
      <c r="BV286" s="80"/>
      <c r="BW286" s="80"/>
      <c r="BX286" s="80"/>
      <c r="BY286" s="80"/>
      <c r="BZ286" s="80"/>
      <c r="CA286" s="80"/>
      <c r="CB286" s="80"/>
      <c r="CC286" s="80"/>
      <c r="CD286" s="80"/>
      <c r="CE286" s="80"/>
      <c r="CF286" s="80"/>
      <c r="CG286" s="80"/>
      <c r="CH286" s="80"/>
      <c r="CI286" s="80"/>
      <c r="CJ286" s="80"/>
      <c r="CK286" s="80"/>
      <c r="CL286" s="80"/>
      <c r="CM286" s="80"/>
      <c r="CN286" s="80"/>
      <c r="CO286" s="80"/>
      <c r="CP286" s="80"/>
      <c r="CQ286" s="80"/>
      <c r="CR286" s="80"/>
      <c r="CS286" s="80"/>
      <c r="CT286" s="80"/>
      <c r="CU286" s="80"/>
      <c r="CV286" s="80"/>
      <c r="CW286" s="80"/>
    </row>
    <row r="287" spans="2:101" outlineLevel="1" x14ac:dyDescent="0.25">
      <c r="B287" s="80"/>
      <c r="C287" s="202" t="s">
        <v>240</v>
      </c>
      <c r="D287" s="152" t="s">
        <v>107</v>
      </c>
      <c r="E287" s="80"/>
      <c r="F287" s="215">
        <f>+F243+F256+F263</f>
        <v>-9746250</v>
      </c>
      <c r="G287" s="215">
        <f t="shared" ref="G287:BR287" si="2930">+G243+G256+G263</f>
        <v>-315000</v>
      </c>
      <c r="H287" s="215">
        <f t="shared" si="2930"/>
        <v>-540000</v>
      </c>
      <c r="I287" s="215">
        <f t="shared" si="2930"/>
        <v>-596250</v>
      </c>
      <c r="J287" s="215">
        <f t="shared" si="2930"/>
        <v>-371250</v>
      </c>
      <c r="K287" s="215">
        <f t="shared" si="2930"/>
        <v>-9723750</v>
      </c>
      <c r="L287" s="215">
        <f t="shared" si="2930"/>
        <v>-945000</v>
      </c>
      <c r="M287" s="215">
        <f t="shared" si="2930"/>
        <v>-697500</v>
      </c>
      <c r="N287" s="215">
        <f t="shared" si="2930"/>
        <v>-821250</v>
      </c>
      <c r="O287" s="215">
        <f t="shared" si="2930"/>
        <v>-1158750</v>
      </c>
      <c r="P287" s="215">
        <f t="shared" si="2930"/>
        <v>-1665000</v>
      </c>
      <c r="Q287" s="215">
        <f t="shared" si="2930"/>
        <v>-1968750</v>
      </c>
      <c r="R287" s="215">
        <f t="shared" si="2930"/>
        <v>-3093750</v>
      </c>
      <c r="S287" s="215">
        <f t="shared" si="2930"/>
        <v>-3487500.0000000005</v>
      </c>
      <c r="T287" s="215">
        <f t="shared" si="2930"/>
        <v>-3555000</v>
      </c>
      <c r="U287" s="215">
        <f t="shared" si="2930"/>
        <v>-5242500</v>
      </c>
      <c r="V287" s="215">
        <f t="shared" si="2930"/>
        <v>-5242500</v>
      </c>
      <c r="W287" s="215">
        <f t="shared" si="2930"/>
        <v>-2734632</v>
      </c>
      <c r="X287" s="215">
        <f t="shared" si="2930"/>
        <v>0</v>
      </c>
      <c r="Y287" s="215">
        <f t="shared" si="2930"/>
        <v>0</v>
      </c>
      <c r="Z287" s="215">
        <f t="shared" si="2930"/>
        <v>0</v>
      </c>
      <c r="AA287" s="215">
        <f t="shared" si="2930"/>
        <v>0</v>
      </c>
      <c r="AB287" s="215">
        <f t="shared" si="2930"/>
        <v>0</v>
      </c>
      <c r="AC287" s="215">
        <f t="shared" si="2930"/>
        <v>0</v>
      </c>
      <c r="AD287" s="215">
        <f t="shared" si="2930"/>
        <v>0</v>
      </c>
      <c r="AE287" s="215">
        <f t="shared" si="2930"/>
        <v>0</v>
      </c>
      <c r="AF287" s="215">
        <f t="shared" si="2930"/>
        <v>0</v>
      </c>
      <c r="AG287" s="215">
        <f t="shared" si="2930"/>
        <v>0</v>
      </c>
      <c r="AH287" s="215">
        <f t="shared" si="2930"/>
        <v>0</v>
      </c>
      <c r="AI287" s="215">
        <f t="shared" si="2930"/>
        <v>0</v>
      </c>
      <c r="AJ287" s="215">
        <f t="shared" si="2930"/>
        <v>0</v>
      </c>
      <c r="AK287" s="215">
        <f t="shared" si="2930"/>
        <v>0</v>
      </c>
      <c r="AL287" s="215">
        <f t="shared" si="2930"/>
        <v>0</v>
      </c>
      <c r="AM287" s="215">
        <f t="shared" si="2930"/>
        <v>0</v>
      </c>
      <c r="AN287" s="215">
        <f t="shared" si="2930"/>
        <v>0</v>
      </c>
      <c r="AO287" s="215">
        <f t="shared" si="2930"/>
        <v>0</v>
      </c>
      <c r="AP287" s="215">
        <f t="shared" si="2930"/>
        <v>0</v>
      </c>
      <c r="AQ287" s="215">
        <f t="shared" si="2930"/>
        <v>0</v>
      </c>
      <c r="AR287" s="215">
        <f t="shared" si="2930"/>
        <v>0</v>
      </c>
      <c r="AS287" s="215">
        <f t="shared" si="2930"/>
        <v>0</v>
      </c>
      <c r="AT287" s="215">
        <f t="shared" si="2930"/>
        <v>0</v>
      </c>
      <c r="AU287" s="215">
        <f t="shared" si="2930"/>
        <v>0</v>
      </c>
      <c r="AV287" s="215">
        <f t="shared" si="2930"/>
        <v>0</v>
      </c>
      <c r="AW287" s="215">
        <f t="shared" si="2930"/>
        <v>0</v>
      </c>
      <c r="AX287" s="215">
        <f t="shared" si="2930"/>
        <v>0</v>
      </c>
      <c r="AY287" s="215">
        <f t="shared" si="2930"/>
        <v>0</v>
      </c>
      <c r="AZ287" s="215">
        <f t="shared" si="2930"/>
        <v>0</v>
      </c>
      <c r="BA287" s="215">
        <f t="shared" si="2930"/>
        <v>24496587.194380172</v>
      </c>
      <c r="BB287" s="215">
        <f t="shared" si="2930"/>
        <v>-552601.48611945543</v>
      </c>
      <c r="BC287" s="215">
        <f t="shared" si="2930"/>
        <v>-552973.05188509997</v>
      </c>
      <c r="BD287" s="215">
        <f t="shared" si="2930"/>
        <v>-553345.52799253527</v>
      </c>
      <c r="BE287" s="215">
        <f t="shared" si="2930"/>
        <v>-553718.91685394116</v>
      </c>
      <c r="BF287" s="215">
        <f t="shared" si="2930"/>
        <v>-554093.2208883391</v>
      </c>
      <c r="BG287" s="215">
        <f t="shared" si="2930"/>
        <v>-554468.44252161437</v>
      </c>
      <c r="BH287" s="215">
        <f t="shared" si="2930"/>
        <v>-218327.74135448301</v>
      </c>
      <c r="BI287" s="215">
        <f t="shared" si="2930"/>
        <v>-218704.80549072241</v>
      </c>
      <c r="BJ287" s="215">
        <f t="shared" si="2930"/>
        <v>-219082.79454487766</v>
      </c>
      <c r="BK287" s="215">
        <f t="shared" si="2930"/>
        <v>32563.81551204971</v>
      </c>
      <c r="BL287" s="215">
        <f t="shared" si="2930"/>
        <v>-198553.42119678779</v>
      </c>
      <c r="BM287" s="215">
        <f t="shared" si="2930"/>
        <v>31803.190697422426</v>
      </c>
      <c r="BN287" s="215">
        <f t="shared" si="2930"/>
        <v>44639.47533246415</v>
      </c>
      <c r="BO287" s="215">
        <f t="shared" si="2930"/>
        <v>44232.524619776232</v>
      </c>
      <c r="BP287" s="215">
        <f t="shared" si="2930"/>
        <v>43824.539101742848</v>
      </c>
      <c r="BQ287" s="215">
        <f t="shared" si="2930"/>
        <v>43415.516003368422</v>
      </c>
      <c r="BR287" s="215">
        <f t="shared" si="2930"/>
        <v>43005.452541836537</v>
      </c>
      <c r="BS287" s="215">
        <f t="shared" ref="BS287:CW287" si="2931">+BS243+BS256+BS263</f>
        <v>42594.345926484326</v>
      </c>
      <c r="BT287" s="215">
        <f t="shared" si="2931"/>
        <v>42182.19335877971</v>
      </c>
      <c r="BU287" s="215">
        <f t="shared" si="2931"/>
        <v>41768.992032300215</v>
      </c>
      <c r="BV287" s="215">
        <f t="shared" si="2931"/>
        <v>41354.739132707065</v>
      </c>
      <c r="BW287" s="215">
        <f t="shared" si="2931"/>
        <v>40939.431837723998</v>
      </c>
      <c r="BX287" s="215">
        <f t="shared" si="2931"/>
        <v>40523.06731711264</v>
      </c>
      <c r="BY287" s="215">
        <f t="shared" si="2931"/>
        <v>40105.642732649168</v>
      </c>
      <c r="BZ287" s="215">
        <f t="shared" si="2931"/>
        <v>125237417.35798429</v>
      </c>
      <c r="CA287" s="215">
        <f t="shared" si="2931"/>
        <v>0</v>
      </c>
      <c r="CB287" s="215">
        <f t="shared" si="2931"/>
        <v>0</v>
      </c>
      <c r="CC287" s="215">
        <f t="shared" si="2931"/>
        <v>0</v>
      </c>
      <c r="CD287" s="215">
        <f t="shared" si="2931"/>
        <v>0</v>
      </c>
      <c r="CE287" s="215">
        <f t="shared" si="2931"/>
        <v>0</v>
      </c>
      <c r="CF287" s="215">
        <f t="shared" si="2931"/>
        <v>0</v>
      </c>
      <c r="CG287" s="215">
        <f t="shared" si="2931"/>
        <v>0</v>
      </c>
      <c r="CH287" s="215">
        <f t="shared" si="2931"/>
        <v>0</v>
      </c>
      <c r="CI287" s="215">
        <f t="shared" si="2931"/>
        <v>0</v>
      </c>
      <c r="CJ287" s="215">
        <f t="shared" si="2931"/>
        <v>0</v>
      </c>
      <c r="CK287" s="215">
        <f t="shared" si="2931"/>
        <v>0</v>
      </c>
      <c r="CL287" s="215">
        <f t="shared" si="2931"/>
        <v>0</v>
      </c>
      <c r="CM287" s="215">
        <f t="shared" si="2931"/>
        <v>0</v>
      </c>
      <c r="CN287" s="215">
        <f t="shared" si="2931"/>
        <v>0</v>
      </c>
      <c r="CO287" s="215">
        <f t="shared" si="2931"/>
        <v>0</v>
      </c>
      <c r="CP287" s="215">
        <f t="shared" si="2931"/>
        <v>0</v>
      </c>
      <c r="CQ287" s="215">
        <f t="shared" si="2931"/>
        <v>0</v>
      </c>
      <c r="CR287" s="215">
        <f t="shared" si="2931"/>
        <v>0</v>
      </c>
      <c r="CS287" s="215">
        <f t="shared" si="2931"/>
        <v>0</v>
      </c>
      <c r="CT287" s="215">
        <f t="shared" si="2931"/>
        <v>0</v>
      </c>
      <c r="CU287" s="215">
        <f t="shared" si="2931"/>
        <v>0</v>
      </c>
      <c r="CV287" s="215">
        <f t="shared" si="2931"/>
        <v>0</v>
      </c>
      <c r="CW287" s="215">
        <f t="shared" si="2931"/>
        <v>0</v>
      </c>
    </row>
    <row r="288" spans="2:101" outlineLevel="1" x14ac:dyDescent="0.25">
      <c r="B288" s="80"/>
      <c r="C288" s="81" t="str">
        <f>$C$276</f>
        <v>Internal Rate of Return (IRR):</v>
      </c>
      <c r="D288" s="48" t="s">
        <v>39</v>
      </c>
      <c r="E288" s="210">
        <f>XIRR(F287:CW287,Returns_Date_Range)</f>
        <v>0.23407437205314635</v>
      </c>
      <c r="F288" s="80"/>
      <c r="G288" s="80"/>
      <c r="H288" s="80"/>
      <c r="I288" s="80"/>
      <c r="J288" s="80"/>
      <c r="K288" s="80"/>
      <c r="L288" s="80"/>
      <c r="M288" s="80"/>
      <c r="N288" s="80"/>
      <c r="O288" s="80"/>
      <c r="P288" s="80"/>
      <c r="Q288" s="80"/>
      <c r="R288" s="80"/>
      <c r="S288" s="80"/>
      <c r="T288" s="80"/>
      <c r="U288" s="80"/>
      <c r="V288" s="80"/>
      <c r="W288" s="80"/>
      <c r="X288" s="80"/>
      <c r="Y288" s="80"/>
      <c r="Z288" s="80"/>
      <c r="AA288" s="80"/>
      <c r="AB288" s="80"/>
      <c r="AC288" s="80"/>
      <c r="AD288" s="80"/>
      <c r="AE288" s="80"/>
      <c r="AF288" s="80"/>
      <c r="AG288" s="80"/>
      <c r="AH288" s="80"/>
      <c r="AI288" s="80"/>
      <c r="AJ288" s="80"/>
      <c r="AK288" s="80"/>
      <c r="AL288" s="80"/>
      <c r="AM288" s="80"/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  <c r="AY288" s="80"/>
      <c r="AZ288" s="80"/>
      <c r="BA288" s="80"/>
      <c r="BB288" s="80"/>
      <c r="BC288" s="80"/>
      <c r="BD288" s="80"/>
      <c r="BE288" s="80"/>
      <c r="BF288" s="80"/>
      <c r="BG288" s="80"/>
      <c r="BH288" s="80"/>
    </row>
    <row r="289" spans="2:101" outlineLevel="1" x14ac:dyDescent="0.25">
      <c r="B289" s="80"/>
      <c r="C289" s="81" t="str">
        <f>$C$277</f>
        <v>Positive Cash Flows:</v>
      </c>
      <c r="D289" s="152" t="s">
        <v>107</v>
      </c>
      <c r="E289" s="212">
        <f>SUMIF(F287:CW287,"&gt;0",F287:CW287)</f>
        <v>150306957.47851089</v>
      </c>
      <c r="F289" s="80"/>
      <c r="G289" s="80"/>
      <c r="H289" s="80"/>
      <c r="I289" s="80"/>
      <c r="J289" s="80"/>
      <c r="K289" s="80"/>
      <c r="L289" s="80"/>
      <c r="M289" s="80"/>
      <c r="N289" s="80"/>
      <c r="O289" s="80"/>
      <c r="P289" s="80"/>
      <c r="Q289" s="80"/>
      <c r="R289" s="80"/>
      <c r="S289" s="80"/>
      <c r="T289" s="80"/>
      <c r="U289" s="80"/>
      <c r="V289" s="80"/>
      <c r="W289" s="80"/>
      <c r="X289" s="80"/>
      <c r="Y289" s="80"/>
      <c r="Z289" s="80"/>
      <c r="AA289" s="80"/>
      <c r="AB289" s="80"/>
      <c r="AC289" s="80"/>
      <c r="AD289" s="80"/>
      <c r="AE289" s="80"/>
      <c r="AF289" s="80"/>
      <c r="AG289" s="80"/>
      <c r="AH289" s="80"/>
      <c r="AI289" s="80"/>
      <c r="AJ289" s="80"/>
      <c r="AK289" s="80"/>
      <c r="AL289" s="80"/>
      <c r="AM289" s="80"/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  <c r="AY289" s="80"/>
      <c r="AZ289" s="80"/>
      <c r="BA289" s="80"/>
      <c r="BB289" s="80"/>
      <c r="BC289" s="80"/>
      <c r="BD289" s="80"/>
      <c r="BE289" s="80"/>
      <c r="BF289" s="80"/>
      <c r="BG289" s="80"/>
      <c r="BH289" s="80"/>
    </row>
    <row r="290" spans="2:101" outlineLevel="1" x14ac:dyDescent="0.25">
      <c r="B290" s="80"/>
      <c r="C290" s="81" t="str">
        <f>$C$278</f>
        <v>Invested Equity:</v>
      </c>
      <c r="D290" s="152" t="s">
        <v>107</v>
      </c>
      <c r="E290" s="212">
        <f>-SUMIF(F287:CW287,"&lt;=0",F287:CW287)</f>
        <v>56080501.408847854</v>
      </c>
      <c r="F290" s="80"/>
      <c r="G290" s="80"/>
      <c r="H290" s="80"/>
      <c r="I290" s="80"/>
      <c r="J290" s="80"/>
      <c r="K290" s="80"/>
      <c r="L290" s="80"/>
      <c r="M290" s="80"/>
      <c r="N290" s="80"/>
      <c r="O290" s="80"/>
      <c r="P290" s="80"/>
      <c r="Q290" s="80"/>
      <c r="R290" s="80"/>
      <c r="S290" s="80"/>
      <c r="T290" s="80"/>
      <c r="U290" s="80"/>
      <c r="V290" s="80"/>
      <c r="W290" s="80"/>
      <c r="X290" s="80"/>
      <c r="Y290" s="80"/>
      <c r="Z290" s="80"/>
      <c r="AA290" s="80"/>
      <c r="AB290" s="80"/>
      <c r="AC290" s="80"/>
      <c r="AD290" s="80"/>
      <c r="AE290" s="80"/>
      <c r="AF290" s="80"/>
      <c r="AG290" s="80"/>
      <c r="AH290" s="80"/>
      <c r="AI290" s="80"/>
      <c r="AJ290" s="80"/>
      <c r="AK290" s="80"/>
      <c r="AL290" s="80"/>
      <c r="AM290" s="80"/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  <c r="AY290" s="80"/>
      <c r="AZ290" s="80"/>
      <c r="BA290" s="80"/>
      <c r="BB290" s="80"/>
      <c r="BC290" s="80"/>
      <c r="BD290" s="80"/>
      <c r="BE290" s="80"/>
      <c r="BF290" s="80"/>
      <c r="BG290" s="80"/>
      <c r="BH290" s="80"/>
    </row>
    <row r="291" spans="2:101" outlineLevel="1" x14ac:dyDescent="0.25">
      <c r="B291" s="80"/>
      <c r="C291" s="81" t="str">
        <f>$C$279</f>
        <v>Cash-on-Cash Multiple:</v>
      </c>
      <c r="D291" s="48" t="s">
        <v>74</v>
      </c>
      <c r="E291" s="213">
        <f>+E289/E290</f>
        <v>2.6801999572492563</v>
      </c>
      <c r="F291" s="80"/>
      <c r="G291" s="80"/>
      <c r="H291" s="80"/>
      <c r="I291" s="80"/>
      <c r="J291" s="80"/>
      <c r="K291" s="80"/>
      <c r="L291" s="80"/>
      <c r="M291" s="80"/>
      <c r="N291" s="80"/>
      <c r="O291" s="80"/>
      <c r="P291" s="80"/>
      <c r="Q291" s="80"/>
      <c r="R291" s="80"/>
      <c r="S291" s="80"/>
      <c r="T291" s="80"/>
      <c r="U291" s="80"/>
      <c r="V291" s="80"/>
      <c r="W291" s="80"/>
      <c r="X291" s="80"/>
      <c r="Y291" s="80"/>
      <c r="Z291" s="80"/>
      <c r="AA291" s="80"/>
      <c r="AB291" s="80"/>
      <c r="AC291" s="80"/>
      <c r="AD291" s="80"/>
      <c r="AE291" s="80"/>
      <c r="AF291" s="80"/>
      <c r="AG291" s="80"/>
      <c r="AH291" s="80"/>
      <c r="AI291" s="80"/>
      <c r="AJ291" s="80"/>
      <c r="AK291" s="80"/>
      <c r="AL291" s="80"/>
      <c r="AM291" s="80"/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  <c r="AY291" s="80"/>
      <c r="AZ291" s="80"/>
      <c r="BA291" s="80"/>
      <c r="BB291" s="80"/>
      <c r="BC291" s="80"/>
      <c r="BD291" s="80"/>
      <c r="BE291" s="80"/>
      <c r="BF291" s="80"/>
      <c r="BG291" s="80"/>
      <c r="BH291" s="80"/>
    </row>
    <row r="292" spans="2:101" outlineLevel="1" x14ac:dyDescent="0.25">
      <c r="B292" s="80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0"/>
      <c r="N292" s="80"/>
      <c r="O292" s="80"/>
      <c r="P292" s="80"/>
      <c r="Q292" s="80"/>
      <c r="R292" s="80"/>
      <c r="S292" s="80"/>
      <c r="T292" s="80"/>
      <c r="U292" s="80"/>
      <c r="V292" s="80"/>
      <c r="W292" s="80"/>
      <c r="X292" s="80"/>
      <c r="Y292" s="80"/>
      <c r="Z292" s="80"/>
      <c r="AA292" s="80"/>
      <c r="AB292" s="80"/>
      <c r="AC292" s="80"/>
      <c r="AD292" s="80"/>
      <c r="AE292" s="80"/>
      <c r="AF292" s="80"/>
      <c r="AG292" s="80"/>
      <c r="AH292" s="80"/>
      <c r="AI292" s="80"/>
      <c r="AJ292" s="80"/>
      <c r="AK292" s="80"/>
      <c r="AL292" s="80"/>
      <c r="AM292" s="80"/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  <c r="AY292" s="80"/>
      <c r="AZ292" s="80"/>
      <c r="BA292" s="80"/>
      <c r="BB292" s="80"/>
      <c r="BC292" s="80"/>
      <c r="BD292" s="80"/>
      <c r="BE292" s="80"/>
      <c r="BF292" s="80"/>
      <c r="BG292" s="80"/>
      <c r="BH292" s="80"/>
    </row>
    <row r="293" spans="2:101" outlineLevel="1" x14ac:dyDescent="0.25">
      <c r="B293" s="80"/>
      <c r="C293" s="202" t="s">
        <v>236</v>
      </c>
      <c r="D293" s="152" t="s">
        <v>107</v>
      </c>
      <c r="E293" s="82"/>
      <c r="F293" s="82"/>
      <c r="G293" s="82"/>
      <c r="H293" s="82"/>
      <c r="I293" s="82"/>
      <c r="J293" s="82"/>
      <c r="K293" s="82"/>
      <c r="L293" s="82"/>
      <c r="M293" s="82"/>
      <c r="N293" s="82"/>
      <c r="O293" s="82"/>
      <c r="P293" s="82"/>
      <c r="Q293" s="82"/>
      <c r="R293" s="82"/>
      <c r="S293" s="82"/>
      <c r="T293" s="82"/>
      <c r="U293" s="82"/>
      <c r="V293" s="82"/>
      <c r="W293" s="82"/>
      <c r="X293" s="82"/>
      <c r="Y293" s="82"/>
      <c r="Z293" s="82"/>
      <c r="AA293" s="82"/>
      <c r="AB293" s="82"/>
      <c r="AC293" s="82"/>
      <c r="AD293" s="82"/>
      <c r="AE293" s="82"/>
      <c r="AF293" s="82"/>
      <c r="AG293" s="82"/>
      <c r="AH293" s="82"/>
      <c r="AI293" s="82"/>
      <c r="AJ293" s="82"/>
      <c r="AK293" s="82"/>
      <c r="AL293" s="82"/>
      <c r="AM293" s="82"/>
      <c r="AN293" s="82"/>
      <c r="AO293" s="82"/>
      <c r="AP293" s="82"/>
      <c r="AQ293" s="82"/>
      <c r="AR293" s="82"/>
      <c r="AS293" s="82"/>
      <c r="AT293" s="82"/>
      <c r="AU293" s="82"/>
      <c r="AV293" s="82"/>
      <c r="AW293" s="82"/>
      <c r="AX293" s="82"/>
      <c r="AY293" s="82"/>
      <c r="AZ293" s="82"/>
      <c r="BA293" s="82"/>
      <c r="BB293" s="82"/>
      <c r="BC293" s="82"/>
      <c r="BD293" s="82"/>
      <c r="BE293" s="82"/>
      <c r="BF293" s="82"/>
      <c r="BG293" s="82"/>
      <c r="BH293" s="82"/>
      <c r="BI293" s="82"/>
      <c r="BJ293" s="82"/>
      <c r="BK293" s="82"/>
      <c r="BL293" s="82"/>
      <c r="BM293" s="82"/>
      <c r="BN293" s="82"/>
      <c r="BO293" s="82"/>
      <c r="BP293" s="82"/>
      <c r="BQ293" s="82"/>
      <c r="BR293" s="82"/>
      <c r="BS293" s="82"/>
      <c r="BT293" s="82"/>
      <c r="BU293" s="82"/>
      <c r="BV293" s="82"/>
      <c r="BW293" s="82"/>
      <c r="BX293" s="82"/>
      <c r="BY293" s="82"/>
      <c r="BZ293" s="82">
        <v>64403384.536550626</v>
      </c>
      <c r="CA293" s="82"/>
      <c r="CB293" s="82"/>
      <c r="CC293" s="82"/>
      <c r="CD293" s="82"/>
      <c r="CE293" s="82"/>
      <c r="CF293" s="82"/>
      <c r="CG293" s="82"/>
      <c r="CH293" s="82"/>
      <c r="CI293" s="82"/>
      <c r="CJ293" s="82"/>
      <c r="CK293" s="82"/>
      <c r="CL293" s="82"/>
      <c r="CM293" s="82"/>
      <c r="CN293" s="82"/>
      <c r="CO293" s="82"/>
      <c r="CP293" s="82"/>
      <c r="CQ293" s="82"/>
      <c r="CR293" s="82"/>
      <c r="CS293" s="82"/>
      <c r="CT293" s="82"/>
      <c r="CU293" s="82"/>
      <c r="CV293" s="82"/>
      <c r="CW293" s="82"/>
    </row>
    <row r="294" spans="2:101" outlineLevel="1" x14ac:dyDescent="0.25">
      <c r="B294" s="80"/>
      <c r="C294" s="20" t="s">
        <v>242</v>
      </c>
      <c r="D294" s="80"/>
      <c r="E294" s="80"/>
      <c r="F294" s="80"/>
      <c r="G294" s="80"/>
      <c r="H294" s="80"/>
      <c r="I294" s="80"/>
      <c r="J294" s="80"/>
      <c r="K294" s="80"/>
      <c r="L294" s="80"/>
      <c r="M294" s="80"/>
      <c r="N294" s="80"/>
      <c r="O294" s="80"/>
      <c r="P294" s="80"/>
      <c r="Q294" s="80"/>
      <c r="R294" s="80"/>
      <c r="S294" s="80"/>
      <c r="T294" s="80"/>
      <c r="U294" s="80"/>
      <c r="V294" s="80"/>
      <c r="W294" s="80"/>
      <c r="X294" s="80"/>
      <c r="Y294" s="80"/>
      <c r="Z294" s="80"/>
      <c r="AA294" s="80"/>
      <c r="AB294" s="80"/>
      <c r="AC294" s="80"/>
      <c r="AD294" s="80"/>
      <c r="AE294" s="80"/>
      <c r="AF294" s="80"/>
      <c r="AG294" s="80"/>
      <c r="AH294" s="80"/>
      <c r="AI294" s="80"/>
      <c r="AJ294" s="80"/>
      <c r="AK294" s="80"/>
      <c r="AL294" s="80"/>
      <c r="AM294" s="80"/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  <c r="AY294" s="80"/>
      <c r="AZ294" s="80"/>
      <c r="BA294" s="80"/>
      <c r="BB294" s="80"/>
      <c r="BC294" s="80"/>
      <c r="BD294" s="80"/>
      <c r="BE294" s="80"/>
      <c r="BF294" s="80"/>
      <c r="BG294" s="80"/>
      <c r="BH294" s="80"/>
    </row>
    <row r="295" spans="2:101" outlineLevel="1" x14ac:dyDescent="0.25">
      <c r="B295" s="80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0"/>
      <c r="N295" s="80"/>
      <c r="O295" s="80"/>
      <c r="P295" s="80"/>
      <c r="Q295" s="80"/>
      <c r="R295" s="80"/>
      <c r="S295" s="80"/>
      <c r="T295" s="80"/>
      <c r="U295" s="80"/>
      <c r="V295" s="80"/>
      <c r="W295" s="80"/>
      <c r="X295" s="80"/>
      <c r="Y295" s="80"/>
      <c r="Z295" s="80"/>
      <c r="AA295" s="80"/>
      <c r="AB295" s="80"/>
      <c r="AC295" s="80"/>
      <c r="AD295" s="80"/>
      <c r="AE295" s="80"/>
      <c r="AF295" s="80"/>
      <c r="AG295" s="80"/>
      <c r="AH295" s="80"/>
      <c r="AI295" s="80"/>
      <c r="AJ295" s="80"/>
      <c r="AK295" s="80"/>
      <c r="AL295" s="80"/>
      <c r="AM295" s="80"/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  <c r="AY295" s="80"/>
      <c r="AZ295" s="80"/>
      <c r="BA295" s="80"/>
      <c r="BB295" s="80"/>
      <c r="BC295" s="80"/>
      <c r="BD295" s="80"/>
      <c r="BE295" s="80"/>
      <c r="BF295" s="80"/>
      <c r="BG295" s="80"/>
      <c r="BH295" s="80"/>
    </row>
    <row r="296" spans="2:101" outlineLevel="1" x14ac:dyDescent="0.25">
      <c r="B296" s="80"/>
      <c r="C296" s="202" t="s">
        <v>237</v>
      </c>
      <c r="D296" s="152" t="s">
        <v>107</v>
      </c>
      <c r="E296" s="80"/>
      <c r="F296" s="82">
        <f>+F281+F293</f>
        <v>-68223750</v>
      </c>
      <c r="G296" s="82">
        <f t="shared" ref="G296:BR296" si="2932">+G281+G293</f>
        <v>-2205000</v>
      </c>
      <c r="H296" s="82">
        <f t="shared" si="2932"/>
        <v>-3780000</v>
      </c>
      <c r="I296" s="82">
        <f t="shared" si="2932"/>
        <v>-4173750</v>
      </c>
      <c r="J296" s="82">
        <f t="shared" si="2932"/>
        <v>-2598750</v>
      </c>
      <c r="K296" s="82">
        <f t="shared" si="2932"/>
        <v>-68066250</v>
      </c>
      <c r="L296" s="82">
        <f t="shared" si="2932"/>
        <v>-6615000</v>
      </c>
      <c r="M296" s="82">
        <f t="shared" si="2932"/>
        <v>-4882500</v>
      </c>
      <c r="N296" s="82">
        <f t="shared" si="2932"/>
        <v>-5748750</v>
      </c>
      <c r="O296" s="82">
        <f t="shared" si="2932"/>
        <v>-8111250</v>
      </c>
      <c r="P296" s="82">
        <f t="shared" si="2932"/>
        <v>-11655000</v>
      </c>
      <c r="Q296" s="82">
        <f t="shared" si="2932"/>
        <v>-13781250</v>
      </c>
      <c r="R296" s="82">
        <f t="shared" si="2932"/>
        <v>-21656250</v>
      </c>
      <c r="S296" s="82">
        <f t="shared" si="2932"/>
        <v>-24412500.000000004</v>
      </c>
      <c r="T296" s="82">
        <f t="shared" si="2932"/>
        <v>-24885000</v>
      </c>
      <c r="U296" s="82">
        <f t="shared" si="2932"/>
        <v>-36697500</v>
      </c>
      <c r="V296" s="82">
        <f t="shared" si="2932"/>
        <v>-36697500</v>
      </c>
      <c r="W296" s="82">
        <f t="shared" si="2932"/>
        <v>-19142424</v>
      </c>
      <c r="X296" s="82">
        <f t="shared" si="2932"/>
        <v>0</v>
      </c>
      <c r="Y296" s="82">
        <f t="shared" si="2932"/>
        <v>0</v>
      </c>
      <c r="Z296" s="82">
        <f t="shared" si="2932"/>
        <v>0</v>
      </c>
      <c r="AA296" s="82">
        <f t="shared" si="2932"/>
        <v>0</v>
      </c>
      <c r="AB296" s="82">
        <f t="shared" si="2932"/>
        <v>0</v>
      </c>
      <c r="AC296" s="82">
        <f t="shared" si="2932"/>
        <v>0</v>
      </c>
      <c r="AD296" s="82">
        <f t="shared" si="2932"/>
        <v>0</v>
      </c>
      <c r="AE296" s="82">
        <f t="shared" si="2932"/>
        <v>0</v>
      </c>
      <c r="AF296" s="82">
        <f t="shared" si="2932"/>
        <v>0</v>
      </c>
      <c r="AG296" s="82">
        <f t="shared" si="2932"/>
        <v>0</v>
      </c>
      <c r="AH296" s="82">
        <f t="shared" si="2932"/>
        <v>0</v>
      </c>
      <c r="AI296" s="82">
        <f t="shared" si="2932"/>
        <v>0</v>
      </c>
      <c r="AJ296" s="82">
        <f t="shared" si="2932"/>
        <v>0</v>
      </c>
      <c r="AK296" s="82">
        <f t="shared" si="2932"/>
        <v>0</v>
      </c>
      <c r="AL296" s="82">
        <f t="shared" si="2932"/>
        <v>0</v>
      </c>
      <c r="AM296" s="82">
        <f t="shared" si="2932"/>
        <v>0</v>
      </c>
      <c r="AN296" s="82">
        <f t="shared" si="2932"/>
        <v>0</v>
      </c>
      <c r="AO296" s="82">
        <f t="shared" si="2932"/>
        <v>0</v>
      </c>
      <c r="AP296" s="82">
        <f t="shared" si="2932"/>
        <v>0</v>
      </c>
      <c r="AQ296" s="82">
        <f t="shared" si="2932"/>
        <v>0</v>
      </c>
      <c r="AR296" s="82">
        <f t="shared" si="2932"/>
        <v>0</v>
      </c>
      <c r="AS296" s="82">
        <f t="shared" si="2932"/>
        <v>0</v>
      </c>
      <c r="AT296" s="82">
        <f t="shared" si="2932"/>
        <v>0</v>
      </c>
      <c r="AU296" s="82">
        <f t="shared" si="2932"/>
        <v>0</v>
      </c>
      <c r="AV296" s="82">
        <f t="shared" si="2932"/>
        <v>0</v>
      </c>
      <c r="AW296" s="82">
        <f t="shared" si="2932"/>
        <v>0</v>
      </c>
      <c r="AX296" s="82">
        <f t="shared" si="2932"/>
        <v>0</v>
      </c>
      <c r="AY296" s="82">
        <f t="shared" si="2932"/>
        <v>0</v>
      </c>
      <c r="AZ296" s="82">
        <f t="shared" si="2932"/>
        <v>0</v>
      </c>
      <c r="BA296" s="82">
        <f t="shared" si="2932"/>
        <v>171476110.36066124</v>
      </c>
      <c r="BB296" s="82">
        <f t="shared" si="2932"/>
        <v>-3868210.4028361877</v>
      </c>
      <c r="BC296" s="82">
        <f t="shared" si="2932"/>
        <v>-3870811.3631956996</v>
      </c>
      <c r="BD296" s="82">
        <f t="shared" si="2932"/>
        <v>-3873418.6959477467</v>
      </c>
      <c r="BE296" s="82">
        <f t="shared" si="2932"/>
        <v>-3876032.4179775883</v>
      </c>
      <c r="BF296" s="82">
        <f t="shared" si="2932"/>
        <v>-3878652.5462183738</v>
      </c>
      <c r="BG296" s="82">
        <f t="shared" si="2932"/>
        <v>-3881279.0976513005</v>
      </c>
      <c r="BH296" s="82">
        <f t="shared" si="2932"/>
        <v>-1528294.1894813811</v>
      </c>
      <c r="BI296" s="82">
        <f t="shared" si="2932"/>
        <v>-1530933.6384350569</v>
      </c>
      <c r="BJ296" s="82">
        <f t="shared" si="2932"/>
        <v>-1533579.5618141436</v>
      </c>
      <c r="BK296" s="82">
        <f t="shared" si="2932"/>
        <v>227946.70858434797</v>
      </c>
      <c r="BL296" s="82">
        <f t="shared" si="2932"/>
        <v>-1389873.9483775145</v>
      </c>
      <c r="BM296" s="82">
        <f t="shared" si="2932"/>
        <v>222622.33488195698</v>
      </c>
      <c r="BN296" s="82">
        <f t="shared" si="2932"/>
        <v>312476.32732724905</v>
      </c>
      <c r="BO296" s="82">
        <f t="shared" si="2932"/>
        <v>309627.67233843362</v>
      </c>
      <c r="BP296" s="82">
        <f t="shared" si="2932"/>
        <v>306771.77371219994</v>
      </c>
      <c r="BQ296" s="82">
        <f t="shared" si="2932"/>
        <v>303908.61202357896</v>
      </c>
      <c r="BR296" s="82">
        <f t="shared" si="2932"/>
        <v>301038.16779285576</v>
      </c>
      <c r="BS296" s="82">
        <f t="shared" ref="BS296:CW296" si="2933">+BS281+BS293</f>
        <v>298160.42148539028</v>
      </c>
      <c r="BT296" s="82">
        <f t="shared" si="2933"/>
        <v>295275.35351145797</v>
      </c>
      <c r="BU296" s="82">
        <f t="shared" si="2933"/>
        <v>292382.94422610151</v>
      </c>
      <c r="BV296" s="82">
        <f t="shared" si="2933"/>
        <v>289483.17392894946</v>
      </c>
      <c r="BW296" s="82">
        <f t="shared" si="2933"/>
        <v>286576.02286406799</v>
      </c>
      <c r="BX296" s="82">
        <f t="shared" si="2933"/>
        <v>283661.47121978848</v>
      </c>
      <c r="BY296" s="82">
        <f t="shared" si="2933"/>
        <v>280739.49912854418</v>
      </c>
      <c r="BZ296" s="82">
        <f t="shared" si="2933"/>
        <v>736884853.60322428</v>
      </c>
      <c r="CA296" s="82">
        <f t="shared" si="2933"/>
        <v>0</v>
      </c>
      <c r="CB296" s="82">
        <f t="shared" si="2933"/>
        <v>0</v>
      </c>
      <c r="CC296" s="82">
        <f t="shared" si="2933"/>
        <v>0</v>
      </c>
      <c r="CD296" s="82">
        <f t="shared" si="2933"/>
        <v>0</v>
      </c>
      <c r="CE296" s="82">
        <f t="shared" si="2933"/>
        <v>0</v>
      </c>
      <c r="CF296" s="82">
        <f t="shared" si="2933"/>
        <v>0</v>
      </c>
      <c r="CG296" s="82">
        <f t="shared" si="2933"/>
        <v>0</v>
      </c>
      <c r="CH296" s="82">
        <f t="shared" si="2933"/>
        <v>0</v>
      </c>
      <c r="CI296" s="82">
        <f t="shared" si="2933"/>
        <v>0</v>
      </c>
      <c r="CJ296" s="82">
        <f t="shared" si="2933"/>
        <v>0</v>
      </c>
      <c r="CK296" s="82">
        <f t="shared" si="2933"/>
        <v>0</v>
      </c>
      <c r="CL296" s="82">
        <f t="shared" si="2933"/>
        <v>0</v>
      </c>
      <c r="CM296" s="82">
        <f t="shared" si="2933"/>
        <v>0</v>
      </c>
      <c r="CN296" s="82">
        <f t="shared" si="2933"/>
        <v>0</v>
      </c>
      <c r="CO296" s="82">
        <f t="shared" si="2933"/>
        <v>0</v>
      </c>
      <c r="CP296" s="82">
        <f t="shared" si="2933"/>
        <v>0</v>
      </c>
      <c r="CQ296" s="82">
        <f t="shared" si="2933"/>
        <v>0</v>
      </c>
      <c r="CR296" s="82">
        <f t="shared" si="2933"/>
        <v>0</v>
      </c>
      <c r="CS296" s="82">
        <f t="shared" si="2933"/>
        <v>0</v>
      </c>
      <c r="CT296" s="82">
        <f t="shared" si="2933"/>
        <v>0</v>
      </c>
      <c r="CU296" s="82">
        <f t="shared" si="2933"/>
        <v>0</v>
      </c>
      <c r="CV296" s="82">
        <f t="shared" si="2933"/>
        <v>0</v>
      </c>
      <c r="CW296" s="82">
        <f t="shared" si="2933"/>
        <v>0</v>
      </c>
    </row>
    <row r="297" spans="2:101" outlineLevel="1" x14ac:dyDescent="0.25">
      <c r="B297" s="80"/>
      <c r="C297" s="81" t="str">
        <f>$C$276</f>
        <v>Internal Rate of Return (IRR):</v>
      </c>
      <c r="D297" s="48" t="s">
        <v>39</v>
      </c>
      <c r="E297" s="210">
        <f>XIRR(F296:CW296,Returns_Date_Range)</f>
        <v>0.19994452595710754</v>
      </c>
      <c r="F297" s="209"/>
      <c r="G297" s="209"/>
      <c r="H297" s="209"/>
      <c r="I297" s="209"/>
      <c r="J297" s="209"/>
      <c r="K297" s="209"/>
      <c r="L297" s="209"/>
      <c r="M297" s="209"/>
      <c r="N297" s="209"/>
      <c r="O297" s="209"/>
      <c r="P297" s="209"/>
      <c r="Q297" s="209"/>
      <c r="R297" s="209"/>
      <c r="S297" s="209"/>
      <c r="T297" s="209"/>
      <c r="U297" s="209"/>
      <c r="V297" s="209"/>
      <c r="W297" s="209"/>
      <c r="X297" s="209"/>
      <c r="Y297" s="209"/>
      <c r="Z297" s="209"/>
      <c r="AA297" s="209"/>
      <c r="AB297" s="209"/>
      <c r="AC297" s="209"/>
      <c r="AD297" s="209"/>
      <c r="AE297" s="209"/>
      <c r="AF297" s="209"/>
      <c r="AG297" s="209"/>
      <c r="AH297" s="209"/>
      <c r="AI297" s="209"/>
      <c r="AJ297" s="209"/>
      <c r="AK297" s="209"/>
      <c r="AL297" s="209"/>
      <c r="AM297" s="209"/>
      <c r="AN297" s="209"/>
      <c r="AO297" s="209"/>
      <c r="AP297" s="209"/>
      <c r="AQ297" s="209"/>
      <c r="AR297" s="209"/>
      <c r="AS297" s="209"/>
      <c r="AT297" s="209"/>
      <c r="AU297" s="209"/>
      <c r="AV297" s="209"/>
      <c r="AW297" s="209"/>
      <c r="AX297" s="209"/>
      <c r="AY297" s="209"/>
      <c r="AZ297" s="209"/>
      <c r="BA297" s="209"/>
      <c r="BB297" s="209"/>
      <c r="BC297" s="209"/>
      <c r="BD297" s="209"/>
      <c r="BE297" s="209"/>
      <c r="BF297" s="209"/>
      <c r="BG297" s="209"/>
      <c r="BH297" s="209"/>
      <c r="BI297" s="209"/>
      <c r="BJ297" s="209"/>
      <c r="BK297" s="209"/>
      <c r="BL297" s="209"/>
      <c r="BM297" s="209"/>
      <c r="BN297" s="209"/>
      <c r="BO297" s="209"/>
      <c r="BP297" s="209"/>
      <c r="BQ297" s="209"/>
      <c r="BR297" s="209"/>
      <c r="BS297" s="209"/>
      <c r="BT297" s="209"/>
      <c r="BU297" s="209"/>
      <c r="BV297" s="209"/>
      <c r="BW297" s="209"/>
      <c r="BX297" s="209"/>
      <c r="BY297" s="209"/>
      <c r="BZ297" s="209"/>
      <c r="CA297" s="209"/>
      <c r="CB297" s="209"/>
      <c r="CC297" s="209"/>
      <c r="CD297" s="209"/>
      <c r="CE297" s="209"/>
      <c r="CF297" s="209"/>
      <c r="CG297" s="209"/>
      <c r="CH297" s="209"/>
      <c r="CI297" s="209"/>
      <c r="CJ297" s="209"/>
      <c r="CK297" s="209"/>
      <c r="CL297" s="209"/>
      <c r="CM297" s="209"/>
      <c r="CN297" s="209"/>
      <c r="CO297" s="209"/>
      <c r="CP297" s="209"/>
      <c r="CQ297" s="209"/>
      <c r="CR297" s="209"/>
      <c r="CS297" s="209"/>
      <c r="CT297" s="209"/>
      <c r="CU297" s="209"/>
      <c r="CV297" s="209"/>
      <c r="CW297" s="209"/>
    </row>
    <row r="298" spans="2:101" outlineLevel="1" x14ac:dyDescent="0.25">
      <c r="B298" s="80"/>
      <c r="C298" s="81" t="str">
        <f>$C$277</f>
        <v>Positive Cash Flows:</v>
      </c>
      <c r="D298" s="152" t="s">
        <v>107</v>
      </c>
      <c r="E298" s="212">
        <f>SUMIF(F296:CW296,"&gt;0",F296:CW296)</f>
        <v>912371634.44691038</v>
      </c>
      <c r="F298" s="212"/>
      <c r="G298" s="212"/>
      <c r="H298" s="212"/>
      <c r="I298" s="212"/>
      <c r="J298" s="212"/>
      <c r="K298" s="212"/>
      <c r="L298" s="212"/>
      <c r="M298" s="212"/>
      <c r="N298" s="212"/>
      <c r="O298" s="212"/>
      <c r="P298" s="212"/>
      <c r="Q298" s="212"/>
      <c r="R298" s="212"/>
      <c r="S298" s="212"/>
      <c r="T298" s="212"/>
      <c r="U298" s="212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12"/>
      <c r="AF298" s="212"/>
      <c r="AG298" s="212"/>
      <c r="AH298" s="212"/>
      <c r="AI298" s="212"/>
      <c r="AJ298" s="212"/>
      <c r="AK298" s="212"/>
      <c r="AL298" s="212"/>
      <c r="AM298" s="212"/>
      <c r="AN298" s="212"/>
      <c r="AO298" s="212"/>
      <c r="AP298" s="212"/>
      <c r="AQ298" s="212"/>
      <c r="AR298" s="212"/>
      <c r="AS298" s="212"/>
      <c r="AT298" s="212"/>
      <c r="AU298" s="212"/>
      <c r="AV298" s="212"/>
      <c r="AW298" s="212"/>
      <c r="AX298" s="212"/>
      <c r="AY298" s="212"/>
      <c r="AZ298" s="212"/>
      <c r="BA298" s="212"/>
      <c r="BB298" s="212"/>
      <c r="BC298" s="212"/>
      <c r="BD298" s="212"/>
      <c r="BE298" s="212"/>
      <c r="BF298" s="212"/>
      <c r="BG298" s="212"/>
      <c r="BH298" s="212"/>
      <c r="BI298" s="212"/>
      <c r="BJ298" s="212"/>
      <c r="BK298" s="212"/>
      <c r="BL298" s="212"/>
      <c r="BM298" s="212"/>
      <c r="BN298" s="212"/>
      <c r="BO298" s="212"/>
      <c r="BP298" s="212"/>
      <c r="BQ298" s="212"/>
      <c r="BR298" s="212"/>
      <c r="BS298" s="212"/>
      <c r="BT298" s="212"/>
      <c r="BU298" s="212"/>
      <c r="BV298" s="212"/>
      <c r="BW298" s="212"/>
      <c r="BX298" s="212"/>
      <c r="BY298" s="212"/>
      <c r="BZ298" s="212"/>
      <c r="CA298" s="212"/>
      <c r="CB298" s="212"/>
      <c r="CC298" s="212"/>
      <c r="CD298" s="212"/>
      <c r="CE298" s="212"/>
      <c r="CF298" s="212"/>
      <c r="CG298" s="212"/>
      <c r="CH298" s="212"/>
      <c r="CI298" s="212"/>
      <c r="CJ298" s="212"/>
      <c r="CK298" s="212"/>
      <c r="CL298" s="212"/>
      <c r="CM298" s="212"/>
      <c r="CN298" s="212"/>
      <c r="CO298" s="212"/>
      <c r="CP298" s="212"/>
      <c r="CQ298" s="212"/>
      <c r="CR298" s="212"/>
      <c r="CS298" s="212"/>
      <c r="CT298" s="212"/>
      <c r="CU298" s="212"/>
      <c r="CV298" s="212"/>
      <c r="CW298" s="212"/>
    </row>
    <row r="299" spans="2:101" outlineLevel="1" x14ac:dyDescent="0.25">
      <c r="B299" s="80"/>
      <c r="C299" s="81" t="str">
        <f>$C$278</f>
        <v>Invested Equity:</v>
      </c>
      <c r="D299" s="152" t="s">
        <v>107</v>
      </c>
      <c r="E299" s="212">
        <f>-SUMIF(F296:CW296,"&lt;=0",F296:CW296)</f>
        <v>392563509.86193502</v>
      </c>
      <c r="F299" s="197"/>
      <c r="G299" s="197"/>
      <c r="H299" s="197"/>
      <c r="I299" s="197"/>
      <c r="J299" s="197"/>
      <c r="K299" s="197"/>
      <c r="L299" s="197"/>
      <c r="M299" s="197"/>
      <c r="N299" s="197"/>
      <c r="O299" s="197"/>
      <c r="P299" s="197"/>
      <c r="Q299" s="197"/>
      <c r="R299" s="197"/>
      <c r="S299" s="197"/>
      <c r="T299" s="197"/>
      <c r="U299" s="197"/>
      <c r="V299" s="197"/>
      <c r="W299" s="197"/>
      <c r="X299" s="197"/>
      <c r="Y299" s="197"/>
      <c r="Z299" s="197"/>
      <c r="AA299" s="197"/>
      <c r="AB299" s="197"/>
      <c r="AC299" s="197"/>
      <c r="AD299" s="197"/>
      <c r="AE299" s="197"/>
      <c r="AF299" s="197"/>
      <c r="AG299" s="197"/>
      <c r="AH299" s="197"/>
      <c r="AI299" s="197"/>
      <c r="AJ299" s="197"/>
      <c r="AK299" s="197"/>
      <c r="AL299" s="197"/>
      <c r="AM299" s="197"/>
      <c r="AN299" s="197"/>
      <c r="AO299" s="197"/>
      <c r="AP299" s="197"/>
      <c r="AQ299" s="197"/>
      <c r="AR299" s="197"/>
      <c r="AS299" s="197"/>
      <c r="AT299" s="197"/>
      <c r="AU299" s="197"/>
      <c r="AV299" s="197"/>
      <c r="AW299" s="197"/>
      <c r="AX299" s="197"/>
      <c r="AY299" s="197"/>
      <c r="AZ299" s="197"/>
      <c r="BA299" s="197"/>
      <c r="BB299" s="197"/>
      <c r="BC299" s="197"/>
      <c r="BD299" s="197"/>
      <c r="BE299" s="197"/>
      <c r="BF299" s="197"/>
      <c r="BG299" s="197"/>
      <c r="BH299" s="197"/>
      <c r="BI299" s="197"/>
      <c r="BJ299" s="197"/>
      <c r="BK299" s="197"/>
      <c r="BL299" s="197"/>
      <c r="BM299" s="197"/>
      <c r="BN299" s="197"/>
      <c r="BO299" s="197"/>
      <c r="BP299" s="197"/>
      <c r="BQ299" s="197"/>
      <c r="BR299" s="197"/>
      <c r="BS299" s="197"/>
      <c r="BT299" s="197"/>
      <c r="BU299" s="197"/>
      <c r="BV299" s="197"/>
      <c r="BW299" s="197"/>
      <c r="BX299" s="197"/>
      <c r="BY299" s="197"/>
      <c r="BZ299" s="197"/>
      <c r="CA299" s="197"/>
      <c r="CB299" s="197"/>
      <c r="CC299" s="197"/>
      <c r="CD299" s="197"/>
      <c r="CE299" s="197"/>
      <c r="CF299" s="197"/>
      <c r="CG299" s="197"/>
      <c r="CH299" s="197"/>
      <c r="CI299" s="197"/>
      <c r="CJ299" s="197"/>
      <c r="CK299" s="197"/>
      <c r="CL299" s="197"/>
      <c r="CM299" s="197"/>
      <c r="CN299" s="197"/>
      <c r="CO299" s="197"/>
      <c r="CP299" s="197"/>
      <c r="CQ299" s="197"/>
      <c r="CR299" s="197"/>
      <c r="CS299" s="197"/>
      <c r="CT299" s="197"/>
      <c r="CU299" s="197"/>
      <c r="CV299" s="197"/>
      <c r="CW299" s="197"/>
    </row>
    <row r="300" spans="2:101" outlineLevel="1" x14ac:dyDescent="0.25">
      <c r="B300" s="80"/>
      <c r="C300" s="81" t="str">
        <f>$C$279</f>
        <v>Cash-on-Cash Multiple:</v>
      </c>
      <c r="D300" s="48" t="s">
        <v>74</v>
      </c>
      <c r="E300" s="213">
        <f>+E298/E299</f>
        <v>2.3241376529565683</v>
      </c>
      <c r="F300" s="213"/>
      <c r="G300" s="213"/>
      <c r="H300" s="213"/>
      <c r="I300" s="213"/>
      <c r="J300" s="213"/>
      <c r="K300" s="213"/>
      <c r="L300" s="213"/>
      <c r="M300" s="213"/>
      <c r="N300" s="213"/>
      <c r="O300" s="213"/>
      <c r="P300" s="213"/>
      <c r="Q300" s="213"/>
      <c r="R300" s="213"/>
      <c r="S300" s="213"/>
      <c r="T300" s="213"/>
      <c r="U300" s="213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13"/>
      <c r="AF300" s="213"/>
      <c r="AG300" s="213"/>
      <c r="AH300" s="213"/>
      <c r="AI300" s="213"/>
      <c r="AJ300" s="213"/>
      <c r="AK300" s="213"/>
      <c r="AL300" s="213"/>
      <c r="AM300" s="213"/>
      <c r="AN300" s="213"/>
      <c r="AO300" s="213"/>
      <c r="AP300" s="213"/>
      <c r="AQ300" s="213"/>
      <c r="AR300" s="213"/>
      <c r="AS300" s="213"/>
      <c r="AT300" s="213"/>
      <c r="AU300" s="213"/>
      <c r="AV300" s="213"/>
      <c r="AW300" s="213"/>
      <c r="AX300" s="213"/>
      <c r="AY300" s="213"/>
      <c r="AZ300" s="213"/>
      <c r="BA300" s="213"/>
      <c r="BB300" s="213"/>
      <c r="BC300" s="213"/>
      <c r="BD300" s="213"/>
      <c r="BE300" s="213"/>
      <c r="BF300" s="213"/>
      <c r="BG300" s="213"/>
      <c r="BH300" s="213"/>
      <c r="BI300" s="213"/>
      <c r="BJ300" s="213"/>
      <c r="BK300" s="213"/>
      <c r="BL300" s="213"/>
      <c r="BM300" s="213"/>
      <c r="BN300" s="213"/>
      <c r="BO300" s="213"/>
      <c r="BP300" s="213"/>
      <c r="BQ300" s="213"/>
      <c r="BR300" s="213"/>
      <c r="BS300" s="213"/>
      <c r="BT300" s="213"/>
      <c r="BU300" s="213"/>
      <c r="BV300" s="213"/>
      <c r="BW300" s="213"/>
      <c r="BX300" s="213"/>
      <c r="BY300" s="213"/>
      <c r="BZ300" s="213"/>
      <c r="CA300" s="213"/>
      <c r="CB300" s="213"/>
      <c r="CC300" s="213"/>
      <c r="CD300" s="213"/>
      <c r="CE300" s="213"/>
      <c r="CF300" s="213"/>
      <c r="CG300" s="213"/>
      <c r="CH300" s="213"/>
      <c r="CI300" s="213"/>
      <c r="CJ300" s="213"/>
      <c r="CK300" s="213"/>
      <c r="CL300" s="213"/>
      <c r="CM300" s="213"/>
      <c r="CN300" s="213"/>
      <c r="CO300" s="213"/>
      <c r="CP300" s="213"/>
      <c r="CQ300" s="213"/>
      <c r="CR300" s="213"/>
      <c r="CS300" s="213"/>
      <c r="CT300" s="213"/>
      <c r="CU300" s="213"/>
      <c r="CV300" s="213"/>
      <c r="CW300" s="213"/>
    </row>
    <row r="301" spans="2:101" outlineLevel="1" x14ac:dyDescent="0.25">
      <c r="B301" s="80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0"/>
      <c r="N301" s="80"/>
      <c r="O301" s="80"/>
      <c r="P301" s="80"/>
      <c r="Q301" s="80"/>
      <c r="R301" s="80"/>
      <c r="S301" s="80"/>
      <c r="T301" s="80"/>
      <c r="U301" s="80"/>
      <c r="V301" s="80"/>
      <c r="W301" s="80"/>
      <c r="X301" s="80"/>
      <c r="Y301" s="80"/>
      <c r="Z301" s="80"/>
      <c r="AA301" s="80"/>
      <c r="AB301" s="80"/>
      <c r="AC301" s="80"/>
      <c r="AD301" s="80"/>
      <c r="AE301" s="80"/>
      <c r="AF301" s="80"/>
      <c r="AG301" s="80"/>
      <c r="AH301" s="80"/>
      <c r="AI301" s="80"/>
      <c r="AJ301" s="80"/>
      <c r="AK301" s="80"/>
      <c r="AL301" s="80"/>
      <c r="AM301" s="80"/>
      <c r="AN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  <c r="AY301" s="80"/>
      <c r="AZ301" s="80"/>
      <c r="BA301" s="80"/>
      <c r="BB301" s="80"/>
      <c r="BC301" s="80"/>
      <c r="BD301" s="80"/>
      <c r="BE301" s="80"/>
      <c r="BF301" s="80"/>
      <c r="BG301" s="80"/>
      <c r="BH301" s="80"/>
      <c r="BI301" s="80"/>
      <c r="BJ301" s="80"/>
      <c r="BK301" s="80"/>
      <c r="BL301" s="80"/>
      <c r="BM301" s="80"/>
      <c r="BN301" s="80"/>
      <c r="BO301" s="80"/>
      <c r="BP301" s="80"/>
      <c r="BQ301" s="80"/>
      <c r="BR301" s="80"/>
      <c r="BS301" s="80"/>
      <c r="BT301" s="80"/>
      <c r="BU301" s="80"/>
      <c r="BV301" s="80"/>
      <c r="BW301" s="80"/>
      <c r="BX301" s="80"/>
      <c r="BY301" s="80"/>
      <c r="BZ301" s="80"/>
      <c r="CA301" s="80"/>
      <c r="CB301" s="80"/>
      <c r="CC301" s="80"/>
      <c r="CD301" s="80"/>
      <c r="CE301" s="80"/>
      <c r="CF301" s="80"/>
      <c r="CG301" s="80"/>
      <c r="CH301" s="80"/>
      <c r="CI301" s="80"/>
      <c r="CJ301" s="80"/>
      <c r="CK301" s="80"/>
      <c r="CL301" s="80"/>
      <c r="CM301" s="80"/>
      <c r="CN301" s="80"/>
      <c r="CO301" s="80"/>
      <c r="CP301" s="80"/>
      <c r="CQ301" s="80"/>
      <c r="CR301" s="80"/>
      <c r="CS301" s="80"/>
      <c r="CT301" s="80"/>
      <c r="CU301" s="80"/>
      <c r="CV301" s="80"/>
      <c r="CW301" s="80"/>
    </row>
    <row r="302" spans="2:101" outlineLevel="1" x14ac:dyDescent="0.25">
      <c r="B302" s="80"/>
      <c r="C302" s="202" t="s">
        <v>238</v>
      </c>
      <c r="D302" s="152" t="s">
        <v>107</v>
      </c>
      <c r="E302" s="80"/>
      <c r="F302" s="82">
        <f>+F287-F293</f>
        <v>-9746250</v>
      </c>
      <c r="G302" s="82">
        <f t="shared" ref="G302:BR302" si="2934">+G287-G293</f>
        <v>-315000</v>
      </c>
      <c r="H302" s="82">
        <f t="shared" si="2934"/>
        <v>-540000</v>
      </c>
      <c r="I302" s="82">
        <f t="shared" si="2934"/>
        <v>-596250</v>
      </c>
      <c r="J302" s="82">
        <f t="shared" si="2934"/>
        <v>-371250</v>
      </c>
      <c r="K302" s="82">
        <f t="shared" si="2934"/>
        <v>-9723750</v>
      </c>
      <c r="L302" s="82">
        <f t="shared" si="2934"/>
        <v>-945000</v>
      </c>
      <c r="M302" s="82">
        <f t="shared" si="2934"/>
        <v>-697500</v>
      </c>
      <c r="N302" s="82">
        <f t="shared" si="2934"/>
        <v>-821250</v>
      </c>
      <c r="O302" s="82">
        <f t="shared" si="2934"/>
        <v>-1158750</v>
      </c>
      <c r="P302" s="82">
        <f t="shared" si="2934"/>
        <v>-1665000</v>
      </c>
      <c r="Q302" s="82">
        <f t="shared" si="2934"/>
        <v>-1968750</v>
      </c>
      <c r="R302" s="82">
        <f t="shared" si="2934"/>
        <v>-3093750</v>
      </c>
      <c r="S302" s="82">
        <f t="shared" si="2934"/>
        <v>-3487500.0000000005</v>
      </c>
      <c r="T302" s="82">
        <f t="shared" si="2934"/>
        <v>-3555000</v>
      </c>
      <c r="U302" s="82">
        <f t="shared" si="2934"/>
        <v>-5242500</v>
      </c>
      <c r="V302" s="82">
        <f t="shared" si="2934"/>
        <v>-5242500</v>
      </c>
      <c r="W302" s="82">
        <f t="shared" si="2934"/>
        <v>-2734632</v>
      </c>
      <c r="X302" s="82">
        <f t="shared" si="2934"/>
        <v>0</v>
      </c>
      <c r="Y302" s="82">
        <f t="shared" si="2934"/>
        <v>0</v>
      </c>
      <c r="Z302" s="82">
        <f t="shared" si="2934"/>
        <v>0</v>
      </c>
      <c r="AA302" s="82">
        <f t="shared" si="2934"/>
        <v>0</v>
      </c>
      <c r="AB302" s="82">
        <f t="shared" si="2934"/>
        <v>0</v>
      </c>
      <c r="AC302" s="82">
        <f t="shared" si="2934"/>
        <v>0</v>
      </c>
      <c r="AD302" s="82">
        <f t="shared" si="2934"/>
        <v>0</v>
      </c>
      <c r="AE302" s="82">
        <f t="shared" si="2934"/>
        <v>0</v>
      </c>
      <c r="AF302" s="82">
        <f t="shared" si="2934"/>
        <v>0</v>
      </c>
      <c r="AG302" s="82">
        <f t="shared" si="2934"/>
        <v>0</v>
      </c>
      <c r="AH302" s="82">
        <f t="shared" si="2934"/>
        <v>0</v>
      </c>
      <c r="AI302" s="82">
        <f t="shared" si="2934"/>
        <v>0</v>
      </c>
      <c r="AJ302" s="82">
        <f t="shared" si="2934"/>
        <v>0</v>
      </c>
      <c r="AK302" s="82">
        <f t="shared" si="2934"/>
        <v>0</v>
      </c>
      <c r="AL302" s="82">
        <f t="shared" si="2934"/>
        <v>0</v>
      </c>
      <c r="AM302" s="82">
        <f t="shared" si="2934"/>
        <v>0</v>
      </c>
      <c r="AN302" s="82">
        <f t="shared" si="2934"/>
        <v>0</v>
      </c>
      <c r="AO302" s="82">
        <f t="shared" si="2934"/>
        <v>0</v>
      </c>
      <c r="AP302" s="82">
        <f t="shared" si="2934"/>
        <v>0</v>
      </c>
      <c r="AQ302" s="82">
        <f t="shared" si="2934"/>
        <v>0</v>
      </c>
      <c r="AR302" s="82">
        <f t="shared" si="2934"/>
        <v>0</v>
      </c>
      <c r="AS302" s="82">
        <f t="shared" si="2934"/>
        <v>0</v>
      </c>
      <c r="AT302" s="82">
        <f t="shared" si="2934"/>
        <v>0</v>
      </c>
      <c r="AU302" s="82">
        <f t="shared" si="2934"/>
        <v>0</v>
      </c>
      <c r="AV302" s="82">
        <f t="shared" si="2934"/>
        <v>0</v>
      </c>
      <c r="AW302" s="82">
        <f t="shared" si="2934"/>
        <v>0</v>
      </c>
      <c r="AX302" s="82">
        <f t="shared" si="2934"/>
        <v>0</v>
      </c>
      <c r="AY302" s="82">
        <f t="shared" si="2934"/>
        <v>0</v>
      </c>
      <c r="AZ302" s="82">
        <f t="shared" si="2934"/>
        <v>0</v>
      </c>
      <c r="BA302" s="82">
        <f t="shared" si="2934"/>
        <v>24496587.194380172</v>
      </c>
      <c r="BB302" s="82">
        <f t="shared" si="2934"/>
        <v>-552601.48611945543</v>
      </c>
      <c r="BC302" s="82">
        <f t="shared" si="2934"/>
        <v>-552973.05188509997</v>
      </c>
      <c r="BD302" s="82">
        <f t="shared" si="2934"/>
        <v>-553345.52799253527</v>
      </c>
      <c r="BE302" s="82">
        <f t="shared" si="2934"/>
        <v>-553718.91685394116</v>
      </c>
      <c r="BF302" s="82">
        <f t="shared" si="2934"/>
        <v>-554093.2208883391</v>
      </c>
      <c r="BG302" s="82">
        <f t="shared" si="2934"/>
        <v>-554468.44252161437</v>
      </c>
      <c r="BH302" s="82">
        <f t="shared" si="2934"/>
        <v>-218327.74135448301</v>
      </c>
      <c r="BI302" s="82">
        <f t="shared" si="2934"/>
        <v>-218704.80549072241</v>
      </c>
      <c r="BJ302" s="82">
        <f t="shared" si="2934"/>
        <v>-219082.79454487766</v>
      </c>
      <c r="BK302" s="82">
        <f t="shared" si="2934"/>
        <v>32563.81551204971</v>
      </c>
      <c r="BL302" s="82">
        <f t="shared" si="2934"/>
        <v>-198553.42119678779</v>
      </c>
      <c r="BM302" s="82">
        <f t="shared" si="2934"/>
        <v>31803.190697422426</v>
      </c>
      <c r="BN302" s="82">
        <f t="shared" si="2934"/>
        <v>44639.47533246415</v>
      </c>
      <c r="BO302" s="82">
        <f t="shared" si="2934"/>
        <v>44232.524619776232</v>
      </c>
      <c r="BP302" s="82">
        <f t="shared" si="2934"/>
        <v>43824.539101742848</v>
      </c>
      <c r="BQ302" s="82">
        <f t="shared" si="2934"/>
        <v>43415.516003368422</v>
      </c>
      <c r="BR302" s="82">
        <f t="shared" si="2934"/>
        <v>43005.452541836537</v>
      </c>
      <c r="BS302" s="82">
        <f t="shared" ref="BS302:CW302" si="2935">+BS287-BS293</f>
        <v>42594.345926484326</v>
      </c>
      <c r="BT302" s="82">
        <f t="shared" si="2935"/>
        <v>42182.19335877971</v>
      </c>
      <c r="BU302" s="82">
        <f t="shared" si="2935"/>
        <v>41768.992032300215</v>
      </c>
      <c r="BV302" s="82">
        <f t="shared" si="2935"/>
        <v>41354.739132707065</v>
      </c>
      <c r="BW302" s="82">
        <f t="shared" si="2935"/>
        <v>40939.431837723998</v>
      </c>
      <c r="BX302" s="82">
        <f t="shared" si="2935"/>
        <v>40523.06731711264</v>
      </c>
      <c r="BY302" s="82">
        <f t="shared" si="2935"/>
        <v>40105.642732649168</v>
      </c>
      <c r="BZ302" s="82">
        <f t="shared" si="2935"/>
        <v>60834032.821433663</v>
      </c>
      <c r="CA302" s="82">
        <f t="shared" si="2935"/>
        <v>0</v>
      </c>
      <c r="CB302" s="82">
        <f t="shared" si="2935"/>
        <v>0</v>
      </c>
      <c r="CC302" s="82">
        <f t="shared" si="2935"/>
        <v>0</v>
      </c>
      <c r="CD302" s="82">
        <f t="shared" si="2935"/>
        <v>0</v>
      </c>
      <c r="CE302" s="82">
        <f t="shared" si="2935"/>
        <v>0</v>
      </c>
      <c r="CF302" s="82">
        <f t="shared" si="2935"/>
        <v>0</v>
      </c>
      <c r="CG302" s="82">
        <f t="shared" si="2935"/>
        <v>0</v>
      </c>
      <c r="CH302" s="82">
        <f t="shared" si="2935"/>
        <v>0</v>
      </c>
      <c r="CI302" s="82">
        <f t="shared" si="2935"/>
        <v>0</v>
      </c>
      <c r="CJ302" s="82">
        <f t="shared" si="2935"/>
        <v>0</v>
      </c>
      <c r="CK302" s="82">
        <f t="shared" si="2935"/>
        <v>0</v>
      </c>
      <c r="CL302" s="82">
        <f t="shared" si="2935"/>
        <v>0</v>
      </c>
      <c r="CM302" s="82">
        <f t="shared" si="2935"/>
        <v>0</v>
      </c>
      <c r="CN302" s="82">
        <f t="shared" si="2935"/>
        <v>0</v>
      </c>
      <c r="CO302" s="82">
        <f t="shared" si="2935"/>
        <v>0</v>
      </c>
      <c r="CP302" s="82">
        <f t="shared" si="2935"/>
        <v>0</v>
      </c>
      <c r="CQ302" s="82">
        <f t="shared" si="2935"/>
        <v>0</v>
      </c>
      <c r="CR302" s="82">
        <f t="shared" si="2935"/>
        <v>0</v>
      </c>
      <c r="CS302" s="82">
        <f t="shared" si="2935"/>
        <v>0</v>
      </c>
      <c r="CT302" s="82">
        <f t="shared" si="2935"/>
        <v>0</v>
      </c>
      <c r="CU302" s="82">
        <f t="shared" si="2935"/>
        <v>0</v>
      </c>
      <c r="CV302" s="82">
        <f t="shared" si="2935"/>
        <v>0</v>
      </c>
      <c r="CW302" s="82">
        <f t="shared" si="2935"/>
        <v>0</v>
      </c>
    </row>
    <row r="303" spans="2:101" outlineLevel="1" x14ac:dyDescent="0.25">
      <c r="B303" s="80"/>
      <c r="C303" s="81" t="str">
        <f>$C$276</f>
        <v>Internal Rate of Return (IRR):</v>
      </c>
      <c r="D303" s="48" t="s">
        <v>39</v>
      </c>
      <c r="E303" s="210">
        <f>XIRR(F302:CW302,Returns_Date_Range)</f>
        <v>0.10164434313774107</v>
      </c>
      <c r="F303" s="209"/>
      <c r="G303" s="80"/>
      <c r="H303" s="80"/>
      <c r="I303" s="80"/>
      <c r="J303" s="80"/>
      <c r="K303" s="80"/>
      <c r="L303" s="80"/>
      <c r="M303" s="80"/>
      <c r="N303" s="80"/>
      <c r="O303" s="80"/>
      <c r="P303" s="80"/>
      <c r="Q303" s="80"/>
      <c r="R303" s="80"/>
      <c r="S303" s="80"/>
      <c r="T303" s="80"/>
      <c r="U303" s="80"/>
      <c r="V303" s="80"/>
      <c r="W303" s="80"/>
      <c r="X303" s="80"/>
      <c r="Y303" s="80"/>
      <c r="Z303" s="80"/>
      <c r="AA303" s="80"/>
      <c r="AB303" s="80"/>
      <c r="AC303" s="80"/>
      <c r="AD303" s="80"/>
      <c r="AE303" s="80"/>
      <c r="AF303" s="80"/>
      <c r="AG303" s="80"/>
      <c r="AH303" s="80"/>
      <c r="AI303" s="80"/>
      <c r="AJ303" s="80"/>
      <c r="AK303" s="80"/>
      <c r="AL303" s="80"/>
      <c r="AM303" s="80"/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  <c r="AY303" s="80"/>
      <c r="AZ303" s="80"/>
      <c r="BA303" s="80"/>
      <c r="BB303" s="80"/>
      <c r="BC303" s="80"/>
      <c r="BD303" s="80"/>
      <c r="BE303" s="80"/>
      <c r="BF303" s="80"/>
      <c r="BG303" s="80"/>
      <c r="BH303" s="80"/>
    </row>
    <row r="304" spans="2:101" outlineLevel="1" x14ac:dyDescent="0.25">
      <c r="B304" s="80"/>
      <c r="C304" s="81" t="str">
        <f>$C$277</f>
        <v>Positive Cash Flows:</v>
      </c>
      <c r="D304" s="152" t="s">
        <v>107</v>
      </c>
      <c r="E304" s="212">
        <f>SUMIF(F302:CW302,"&gt;0",F302:CW302)</f>
        <v>85903572.941960245</v>
      </c>
      <c r="F304" s="212"/>
      <c r="G304" s="80"/>
      <c r="H304" s="80"/>
      <c r="I304" s="80"/>
      <c r="J304" s="80"/>
      <c r="K304" s="80"/>
      <c r="L304" s="80"/>
      <c r="M304" s="80"/>
      <c r="N304" s="80"/>
      <c r="O304" s="80"/>
      <c r="P304" s="80"/>
      <c r="Q304" s="80"/>
      <c r="R304" s="80"/>
      <c r="S304" s="80"/>
      <c r="T304" s="80"/>
      <c r="U304" s="80"/>
      <c r="V304" s="80"/>
      <c r="W304" s="80"/>
      <c r="X304" s="80"/>
      <c r="Y304" s="80"/>
      <c r="Z304" s="80"/>
      <c r="AA304" s="80"/>
      <c r="AB304" s="80"/>
      <c r="AC304" s="80"/>
      <c r="AD304" s="80"/>
      <c r="AE304" s="80"/>
      <c r="AF304" s="80"/>
      <c r="AG304" s="80"/>
      <c r="AH304" s="80"/>
      <c r="AI304" s="80"/>
      <c r="AJ304" s="80"/>
      <c r="AK304" s="80"/>
      <c r="AL304" s="80"/>
      <c r="AM304" s="80"/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  <c r="AY304" s="80"/>
      <c r="AZ304" s="80"/>
      <c r="BA304" s="80"/>
      <c r="BB304" s="80"/>
      <c r="BC304" s="80"/>
      <c r="BD304" s="80"/>
      <c r="BE304" s="80"/>
      <c r="BF304" s="80"/>
      <c r="BG304" s="80"/>
      <c r="BH304" s="80"/>
    </row>
    <row r="305" spans="2:101" outlineLevel="1" x14ac:dyDescent="0.25">
      <c r="B305" s="80"/>
      <c r="C305" s="81" t="str">
        <f>$C$278</f>
        <v>Invested Equity:</v>
      </c>
      <c r="D305" s="152" t="s">
        <v>107</v>
      </c>
      <c r="E305" s="212">
        <f>-SUMIF(F302:CW302,"&lt;=0",F302:CW302)</f>
        <v>56080501.408847854</v>
      </c>
      <c r="F305" s="197"/>
      <c r="G305" s="80"/>
      <c r="H305" s="80"/>
      <c r="I305" s="80"/>
      <c r="J305" s="80"/>
      <c r="K305" s="80"/>
      <c r="L305" s="80"/>
      <c r="M305" s="80"/>
      <c r="N305" s="80"/>
      <c r="O305" s="80"/>
      <c r="P305" s="80"/>
      <c r="Q305" s="80"/>
      <c r="R305" s="80"/>
      <c r="S305" s="80"/>
      <c r="T305" s="80"/>
      <c r="U305" s="80"/>
      <c r="V305" s="80"/>
      <c r="W305" s="80"/>
      <c r="X305" s="80"/>
      <c r="Y305" s="80"/>
      <c r="Z305" s="80"/>
      <c r="AA305" s="80"/>
      <c r="AB305" s="80"/>
      <c r="AC305" s="80"/>
      <c r="AD305" s="80"/>
      <c r="AE305" s="80"/>
      <c r="AF305" s="80"/>
      <c r="AG305" s="80"/>
      <c r="AH305" s="80"/>
      <c r="AI305" s="80"/>
      <c r="AJ305" s="80"/>
      <c r="AK305" s="80"/>
      <c r="AL305" s="80"/>
      <c r="AM305" s="80"/>
      <c r="AN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  <c r="AY305" s="80"/>
      <c r="AZ305" s="80"/>
      <c r="BA305" s="80"/>
      <c r="BB305" s="80"/>
      <c r="BC305" s="80"/>
      <c r="BD305" s="80"/>
      <c r="BE305" s="80"/>
      <c r="BF305" s="80"/>
      <c r="BG305" s="80"/>
      <c r="BH305" s="80"/>
    </row>
    <row r="306" spans="2:101" outlineLevel="1" x14ac:dyDescent="0.25">
      <c r="B306" s="80"/>
      <c r="C306" s="81" t="str">
        <f>$C$279</f>
        <v>Cash-on-Cash Multiple:</v>
      </c>
      <c r="D306" s="48" t="s">
        <v>74</v>
      </c>
      <c r="E306" s="213">
        <f>+E304/E305</f>
        <v>1.53179038674585</v>
      </c>
      <c r="F306" s="213"/>
      <c r="G306" s="80"/>
      <c r="H306" s="80"/>
      <c r="I306" s="80"/>
      <c r="J306" s="80"/>
      <c r="K306" s="80"/>
      <c r="L306" s="80"/>
      <c r="M306" s="80"/>
      <c r="N306" s="80"/>
      <c r="O306" s="80"/>
      <c r="P306" s="80"/>
      <c r="Q306" s="80"/>
      <c r="R306" s="80"/>
      <c r="S306" s="80"/>
      <c r="T306" s="80"/>
      <c r="U306" s="80"/>
      <c r="V306" s="80"/>
      <c r="W306" s="80"/>
      <c r="X306" s="80"/>
      <c r="Y306" s="80"/>
      <c r="Z306" s="80"/>
      <c r="AA306" s="80"/>
      <c r="AB306" s="80"/>
      <c r="AC306" s="80"/>
      <c r="AD306" s="80"/>
      <c r="AE306" s="80"/>
      <c r="AF306" s="80"/>
      <c r="AG306" s="80"/>
      <c r="AH306" s="80"/>
      <c r="AI306" s="80"/>
      <c r="AJ306" s="80"/>
      <c r="AK306" s="80"/>
      <c r="AL306" s="80"/>
      <c r="AM306" s="80"/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  <c r="AY306" s="80"/>
      <c r="AZ306" s="80"/>
      <c r="BA306" s="80"/>
      <c r="BB306" s="80"/>
      <c r="BC306" s="80"/>
      <c r="BD306" s="80"/>
      <c r="BE306" s="80"/>
      <c r="BF306" s="80"/>
      <c r="BG306" s="80"/>
      <c r="BH306" s="80"/>
    </row>
    <row r="307" spans="2:101" x14ac:dyDescent="0.25">
      <c r="CL307" s="117"/>
      <c r="CM307" s="117"/>
      <c r="CN307" s="117"/>
      <c r="CO307" s="117"/>
      <c r="CP307" s="117"/>
      <c r="CQ307" s="117"/>
      <c r="CR307" s="117"/>
      <c r="CS307" s="117"/>
      <c r="CT307" s="117"/>
      <c r="CU307" s="117"/>
      <c r="CV307" s="117"/>
      <c r="CW307" s="117"/>
    </row>
  </sheetData>
  <pageMargins left="0.7" right="0.7" top="0.75" bottom="0.75" header="0.3" footer="0.3"/>
  <pageSetup scale="33" orientation="portrait" horizontalDpi="1200" verticalDpi="1200" r:id="rId1"/>
  <rowBreaks count="7" manualBreakCount="7">
    <brk id="34" max="113" man="1"/>
    <brk id="75" max="113" man="1"/>
    <brk id="109" max="113" man="1"/>
    <brk id="144" max="113" man="1"/>
    <brk id="182" max="113" man="1"/>
    <brk id="227" max="113" man="1"/>
    <brk id="266" max="113" man="1"/>
  </rowBreaks>
  <ignoredErrors>
    <ignoredError sqref="F266:G266 F16:DI18 F20:DI20 F19:DI19 F37:F40 G37:DI40 E47:E48 E51:E59 F60:DI64 F48:DI59 E81:DI82 E115:DI116 E85:DI93 E119:DI121 F95:DI108 F129:DI140 F122:DI127 F186 G186:CW186 F231 G231:CW231 F265:CW265" unlockedFormula="1"/>
    <ignoredError sqref="E122:E127" evalError="1" unlockedFormula="1"/>
    <ignoredError sqref="F215:CW215 F250:CW25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Annual</vt:lpstr>
      <vt:lpstr>Monthly</vt:lpstr>
      <vt:lpstr>Constr_Costs</vt:lpstr>
      <vt:lpstr>Constr_End</vt:lpstr>
      <vt:lpstr>Constr_Loan_Ann_Interest</vt:lpstr>
      <vt:lpstr>Constr_Loan_Fees</vt:lpstr>
      <vt:lpstr>Constr_Loan_LTC</vt:lpstr>
      <vt:lpstr>Constr_Loan_Monthly_Interest</vt:lpstr>
      <vt:lpstr>Constr_Start_Date</vt:lpstr>
      <vt:lpstr>Cost_per_Sq_M</vt:lpstr>
      <vt:lpstr>Dev_Equity_Pct</vt:lpstr>
      <vt:lpstr>Developer_IRR</vt:lpstr>
      <vt:lpstr>Developer_Name</vt:lpstr>
      <vt:lpstr>Down_Months</vt:lpstr>
      <vt:lpstr>Exit_Date</vt:lpstr>
      <vt:lpstr>Exit_Fee_Pct</vt:lpstr>
      <vt:lpstr>Expenses_per_RSM</vt:lpstr>
      <vt:lpstr>Gross_Sq_M</vt:lpstr>
      <vt:lpstr>Hard_Costs</vt:lpstr>
      <vt:lpstr>Investor_Equity_Pct</vt:lpstr>
      <vt:lpstr>Investor_IRR</vt:lpstr>
      <vt:lpstr>Investor_Lookback_IRR</vt:lpstr>
      <vt:lpstr>Investor_Name</vt:lpstr>
      <vt:lpstr>Land_Acq_Costs</vt:lpstr>
      <vt:lpstr>Lookback_Range</vt:lpstr>
      <vt:lpstr>Max_Equity</vt:lpstr>
      <vt:lpstr>Mezz_Ann_Cash_Interest</vt:lpstr>
      <vt:lpstr>Mezz_Ann_PIK_Interest</vt:lpstr>
      <vt:lpstr>Mezz_Balance</vt:lpstr>
      <vt:lpstr>Mezz_Equity_Pct</vt:lpstr>
      <vt:lpstr>Mezz_LTV</vt:lpstr>
      <vt:lpstr>Mezz_Maturity</vt:lpstr>
      <vt:lpstr>Mezz_Monthly_Cash_Interest</vt:lpstr>
      <vt:lpstr>Mezz_Monthly_PIK_Interest</vt:lpstr>
      <vt:lpstr>Months</vt:lpstr>
      <vt:lpstr>New_Free_Rent_Months</vt:lpstr>
      <vt:lpstr>New_LC_Pct</vt:lpstr>
      <vt:lpstr>New_Lease_Years</vt:lpstr>
      <vt:lpstr>New_TIs</vt:lpstr>
      <vt:lpstr>Perm_Loan_Fees</vt:lpstr>
      <vt:lpstr>Perm_Loan_Prepay_Penalty</vt:lpstr>
      <vt:lpstr>Annual!Print_Area</vt:lpstr>
      <vt:lpstr>Monthly!Print_Area</vt:lpstr>
      <vt:lpstr>Prop_Mgmt_Fee_Pct</vt:lpstr>
      <vt:lpstr>Refi_Date</vt:lpstr>
      <vt:lpstr>Refi_Month</vt:lpstr>
      <vt:lpstr>Renewal_Free_Rent_Months</vt:lpstr>
      <vt:lpstr>Renewal_LC_Pct</vt:lpstr>
      <vt:lpstr>Renewal_Probability</vt:lpstr>
      <vt:lpstr>Renewal_TIs</vt:lpstr>
      <vt:lpstr>Rentable_Sq_M</vt:lpstr>
      <vt:lpstr>Reserves_per_RSM</vt:lpstr>
      <vt:lpstr>Returns_Date_Range</vt:lpstr>
      <vt:lpstr>Returns_Full_Range</vt:lpstr>
      <vt:lpstr>Scenario</vt:lpstr>
      <vt:lpstr>Senior_Loan_Amort_Period</vt:lpstr>
      <vt:lpstr>Senior_Loan_Ann_Interest</vt:lpstr>
      <vt:lpstr>Senior_Loan_Balance</vt:lpstr>
      <vt:lpstr>Senior_Loan_LTV</vt:lpstr>
      <vt:lpstr>Senior_Loan_Maturity</vt:lpstr>
      <vt:lpstr>Senior_Loan_Monthly_Interest</vt:lpstr>
      <vt:lpstr>Soft_Costs</vt:lpstr>
      <vt:lpstr>Tier_1_Investor_Split</vt:lpstr>
      <vt:lpstr>Tier_1_IRR_Max</vt:lpstr>
      <vt:lpstr>Tier_1_IRR_Min</vt:lpstr>
      <vt:lpstr>Tier_2_Investor_Split</vt:lpstr>
      <vt:lpstr>Tier_2_IRR_Max</vt:lpstr>
      <vt:lpstr>Tier_2_IRR_Min</vt:lpstr>
      <vt:lpstr>Tier_3_Investor_Split</vt:lpstr>
      <vt:lpstr>Tier_3_IRR_Max</vt:lpstr>
      <vt:lpstr>Tier_3_IRR_Min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MSI-BIWS</dc:creator>
  <cp:lastModifiedBy>MSI-BIWS</cp:lastModifiedBy>
  <cp:lastPrinted>2018-10-05T00:27:36Z</cp:lastPrinted>
  <dcterms:created xsi:type="dcterms:W3CDTF">2017-05-22T18:53:36Z</dcterms:created>
  <dcterms:modified xsi:type="dcterms:W3CDTF">2018-10-23T11:23:57Z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gmt_Fee_Pct" linkTarget="Prop_Mgmt_Fee_Pct">
    <vt:r8>0.03</vt:r8>
  </property>
</Properties>
</file>